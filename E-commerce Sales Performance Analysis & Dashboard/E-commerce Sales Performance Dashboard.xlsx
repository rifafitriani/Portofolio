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E:\RIFA KERJA\PORTOFOLIO\E-commerce Sales Performance Analysis &amp; Dashboard\"/>
    </mc:Choice>
  </mc:AlternateContent>
  <xr:revisionPtr revIDLastSave="0" documentId="13_ncr:1_{7D8AE352-EF33-441E-95F4-D581EBCD6178}" xr6:coauthVersionLast="47" xr6:coauthVersionMax="47" xr10:uidLastSave="{00000000-0000-0000-0000-000000000000}"/>
  <bookViews>
    <workbookView xWindow="-120" yWindow="-120" windowWidth="20730" windowHeight="11160" xr2:uid="{D6978D06-6AF1-4EDA-9F2A-504D8B85278A}"/>
  </bookViews>
  <sheets>
    <sheet name="Dashboard_1" sheetId="13" r:id="rId1"/>
    <sheet name="Pivot_1" sheetId="8" r:id="rId2"/>
    <sheet name="Data_1" sheetId="7" r:id="rId3"/>
  </sheets>
  <definedNames>
    <definedName name="Slicer_Product_Category">#N/A</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8" l="1"/>
  <c r="B15" i="8"/>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634" i="7"/>
  <c r="D635" i="7"/>
  <c r="D636" i="7"/>
  <c r="D637" i="7"/>
  <c r="D638" i="7"/>
  <c r="D639" i="7"/>
  <c r="D640" i="7"/>
  <c r="D641" i="7"/>
  <c r="D642" i="7"/>
  <c r="D643" i="7"/>
  <c r="D644" i="7"/>
  <c r="D645" i="7"/>
  <c r="D646" i="7"/>
  <c r="D647" i="7"/>
  <c r="D648" i="7"/>
  <c r="D649" i="7"/>
  <c r="D650" i="7"/>
  <c r="D651" i="7"/>
  <c r="D652" i="7"/>
  <c r="D653" i="7"/>
  <c r="D654" i="7"/>
  <c r="D655" i="7"/>
  <c r="D656" i="7"/>
  <c r="D657" i="7"/>
  <c r="D658" i="7"/>
  <c r="D659"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750" i="7"/>
  <c r="D751" i="7"/>
  <c r="D752" i="7"/>
  <c r="D753" i="7"/>
  <c r="D754" i="7"/>
  <c r="D755" i="7"/>
  <c r="D756" i="7"/>
  <c r="D757" i="7"/>
  <c r="D758" i="7"/>
  <c r="D759" i="7"/>
  <c r="D760" i="7"/>
  <c r="D761" i="7"/>
  <c r="D762" i="7"/>
  <c r="D763" i="7"/>
  <c r="D764" i="7"/>
  <c r="D765" i="7"/>
  <c r="D766" i="7"/>
  <c r="D767" i="7"/>
  <c r="D768"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826" i="7"/>
  <c r="D827" i="7"/>
  <c r="D828" i="7"/>
  <c r="D829" i="7"/>
  <c r="D830" i="7"/>
  <c r="D831" i="7"/>
  <c r="D832" i="7"/>
  <c r="D833" i="7"/>
  <c r="D834" i="7"/>
  <c r="D835" i="7"/>
  <c r="D836" i="7"/>
  <c r="D837" i="7"/>
  <c r="D838" i="7"/>
  <c r="D839" i="7"/>
  <c r="D840" i="7"/>
  <c r="D841" i="7"/>
  <c r="D842" i="7"/>
  <c r="D843" i="7"/>
  <c r="D844" i="7"/>
  <c r="D845" i="7"/>
  <c r="D846" i="7"/>
  <c r="D847" i="7"/>
  <c r="D848" i="7"/>
  <c r="D849" i="7"/>
  <c r="D850" i="7"/>
  <c r="D851" i="7"/>
  <c r="D852" i="7"/>
  <c r="D853" i="7"/>
  <c r="D854" i="7"/>
  <c r="D855" i="7"/>
  <c r="D856" i="7"/>
  <c r="D857" i="7"/>
  <c r="D858" i="7"/>
  <c r="D859" i="7"/>
  <c r="D860" i="7"/>
  <c r="D861" i="7"/>
  <c r="D862" i="7"/>
  <c r="D863" i="7"/>
  <c r="D864" i="7"/>
  <c r="D865" i="7"/>
  <c r="D866" i="7"/>
  <c r="D867" i="7"/>
  <c r="D868" i="7"/>
  <c r="D869" i="7"/>
  <c r="D870" i="7"/>
  <c r="D871"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D903" i="7"/>
  <c r="D904" i="7"/>
  <c r="D905" i="7"/>
  <c r="D906" i="7"/>
  <c r="D907" i="7"/>
  <c r="D908" i="7"/>
  <c r="D909" i="7"/>
  <c r="D910" i="7"/>
  <c r="D911" i="7"/>
  <c r="D912" i="7"/>
  <c r="D913" i="7"/>
  <c r="D914" i="7"/>
  <c r="D915" i="7"/>
  <c r="D916" i="7"/>
  <c r="D917" i="7"/>
  <c r="D918" i="7"/>
  <c r="D919" i="7"/>
  <c r="D920" i="7"/>
  <c r="D921" i="7"/>
  <c r="D922" i="7"/>
  <c r="D923" i="7"/>
  <c r="D924" i="7"/>
  <c r="D925" i="7"/>
  <c r="D926" i="7"/>
  <c r="D927" i="7"/>
  <c r="D928" i="7"/>
  <c r="D929" i="7"/>
  <c r="D930" i="7"/>
  <c r="D931" i="7"/>
  <c r="D932" i="7"/>
  <c r="D933" i="7"/>
  <c r="D934" i="7"/>
  <c r="D935" i="7"/>
  <c r="D936" i="7"/>
  <c r="D937" i="7"/>
  <c r="D938" i="7"/>
  <c r="D939" i="7"/>
  <c r="D940" i="7"/>
  <c r="D941" i="7"/>
  <c r="D942" i="7"/>
  <c r="D943" i="7"/>
  <c r="D944" i="7"/>
  <c r="D945" i="7"/>
  <c r="D946" i="7"/>
  <c r="D947" i="7"/>
  <c r="D948" i="7"/>
  <c r="D949" i="7"/>
  <c r="D950" i="7"/>
  <c r="D951" i="7"/>
  <c r="D952" i="7"/>
  <c r="D953" i="7"/>
  <c r="D954" i="7"/>
  <c r="D955" i="7"/>
  <c r="D956" i="7"/>
  <c r="D957" i="7"/>
  <c r="D958" i="7"/>
  <c r="D959" i="7"/>
  <c r="D960" i="7"/>
  <c r="D961" i="7"/>
  <c r="D962" i="7"/>
  <c r="D963" i="7"/>
  <c r="D964" i="7"/>
  <c r="D965" i="7"/>
  <c r="D966" i="7"/>
  <c r="D967" i="7"/>
  <c r="D968" i="7"/>
  <c r="D969" i="7"/>
  <c r="D970" i="7"/>
  <c r="D971" i="7"/>
  <c r="D972" i="7"/>
  <c r="D973" i="7"/>
  <c r="D974" i="7"/>
  <c r="D975" i="7"/>
  <c r="D976" i="7"/>
  <c r="D977" i="7"/>
  <c r="D978" i="7"/>
  <c r="D979" i="7"/>
  <c r="D980" i="7"/>
  <c r="D981" i="7"/>
  <c r="D982" i="7"/>
  <c r="D983" i="7"/>
  <c r="D984" i="7"/>
  <c r="D985" i="7"/>
  <c r="D986" i="7"/>
  <c r="D987" i="7"/>
  <c r="D988" i="7"/>
  <c r="D989" i="7"/>
  <c r="D990" i="7"/>
  <c r="D991" i="7"/>
  <c r="D992" i="7"/>
  <c r="D993" i="7"/>
  <c r="D994" i="7"/>
  <c r="D995" i="7"/>
  <c r="D996" i="7"/>
  <c r="D997" i="7"/>
  <c r="D998" i="7"/>
  <c r="D999" i="7"/>
  <c r="D1000" i="7"/>
  <c r="D1001" i="7"/>
  <c r="D1002" i="7"/>
  <c r="D1003" i="7"/>
  <c r="D1004" i="7"/>
  <c r="D1005" i="7"/>
  <c r="D1006" i="7"/>
  <c r="D1007" i="7"/>
  <c r="D1008" i="7"/>
  <c r="D1009" i="7"/>
  <c r="D1010" i="7"/>
  <c r="D1011" i="7"/>
  <c r="D1012" i="7"/>
  <c r="D1013" i="7"/>
  <c r="D1014" i="7"/>
  <c r="D1015" i="7"/>
  <c r="D1016" i="7"/>
  <c r="D1017" i="7"/>
  <c r="D1018" i="7"/>
  <c r="D1019" i="7"/>
  <c r="D1020" i="7"/>
  <c r="D1021" i="7"/>
  <c r="D1022" i="7"/>
  <c r="D1023" i="7"/>
  <c r="D1024" i="7"/>
  <c r="D1025" i="7"/>
  <c r="D1026" i="7"/>
  <c r="D1027" i="7"/>
  <c r="D1028" i="7"/>
  <c r="D1029" i="7"/>
  <c r="D1030" i="7"/>
  <c r="D1031" i="7"/>
  <c r="D1032" i="7"/>
  <c r="D1033" i="7"/>
  <c r="D1034" i="7"/>
  <c r="D1035" i="7"/>
  <c r="D1036" i="7"/>
  <c r="D1037" i="7"/>
  <c r="D1038" i="7"/>
  <c r="D1039" i="7"/>
  <c r="D1040" i="7"/>
  <c r="D1041" i="7"/>
  <c r="D1042" i="7"/>
  <c r="D1043" i="7"/>
  <c r="D1044" i="7"/>
  <c r="D1045" i="7"/>
  <c r="D1046" i="7"/>
  <c r="D1047" i="7"/>
  <c r="D1048" i="7"/>
  <c r="D1049" i="7"/>
  <c r="D1050" i="7"/>
  <c r="D1051" i="7"/>
  <c r="D1052" i="7"/>
  <c r="D1053" i="7"/>
  <c r="D1054" i="7"/>
  <c r="D1055" i="7"/>
  <c r="D1056" i="7"/>
  <c r="D1057" i="7"/>
  <c r="D1058" i="7"/>
  <c r="D1059" i="7"/>
  <c r="D1060" i="7"/>
  <c r="D1061" i="7"/>
  <c r="D1062" i="7"/>
  <c r="D1063" i="7"/>
  <c r="D1064" i="7"/>
  <c r="D1065" i="7"/>
  <c r="D1066" i="7"/>
  <c r="D1067" i="7"/>
  <c r="D1068" i="7"/>
  <c r="D1069" i="7"/>
  <c r="D1070" i="7"/>
  <c r="D1071" i="7"/>
  <c r="D1072" i="7"/>
  <c r="D1073" i="7"/>
  <c r="D1074" i="7"/>
  <c r="D1075" i="7"/>
  <c r="D1076" i="7"/>
  <c r="D1077" i="7"/>
  <c r="D1078" i="7"/>
  <c r="D1079" i="7"/>
  <c r="D1080" i="7"/>
  <c r="D1081" i="7"/>
  <c r="D1082" i="7"/>
  <c r="D1083" i="7"/>
  <c r="D1084" i="7"/>
  <c r="D1085" i="7"/>
  <c r="D1086" i="7"/>
  <c r="D1087" i="7"/>
  <c r="D1088" i="7"/>
  <c r="D1089" i="7"/>
  <c r="D1090" i="7"/>
  <c r="D1091" i="7"/>
  <c r="D1092" i="7"/>
  <c r="D1093" i="7"/>
  <c r="D1094" i="7"/>
  <c r="D1095" i="7"/>
  <c r="D1096" i="7"/>
  <c r="D1097" i="7"/>
  <c r="D1098" i="7"/>
  <c r="D1099" i="7"/>
  <c r="D1100" i="7"/>
  <c r="D1101" i="7"/>
  <c r="D1102" i="7"/>
  <c r="D1103" i="7"/>
  <c r="D1104" i="7"/>
  <c r="D1105" i="7"/>
  <c r="D1106" i="7"/>
  <c r="D1107" i="7"/>
  <c r="D1108" i="7"/>
  <c r="D1109" i="7"/>
  <c r="D1110" i="7"/>
  <c r="D1111" i="7"/>
  <c r="D1112" i="7"/>
  <c r="D1113" i="7"/>
  <c r="D1114" i="7"/>
  <c r="D1115" i="7"/>
  <c r="D1116" i="7"/>
  <c r="D1117" i="7"/>
  <c r="D1118" i="7"/>
  <c r="D1119" i="7"/>
  <c r="D1120" i="7"/>
  <c r="D1121" i="7"/>
  <c r="D1122" i="7"/>
  <c r="D1123" i="7"/>
  <c r="D1124" i="7"/>
  <c r="D1125" i="7"/>
  <c r="D1126" i="7"/>
  <c r="D1127" i="7"/>
  <c r="D1128" i="7"/>
  <c r="D1129" i="7"/>
  <c r="D1130" i="7"/>
  <c r="D1131" i="7"/>
  <c r="D1132" i="7"/>
  <c r="D1133" i="7"/>
  <c r="D1134" i="7"/>
  <c r="D1135" i="7"/>
  <c r="D1136" i="7"/>
  <c r="D1137" i="7"/>
  <c r="D1138" i="7"/>
  <c r="D1139" i="7"/>
  <c r="D1140" i="7"/>
  <c r="D1141" i="7"/>
  <c r="D1142" i="7"/>
  <c r="D1143" i="7"/>
  <c r="D1144" i="7"/>
  <c r="D1145" i="7"/>
  <c r="D1146" i="7"/>
  <c r="D1147" i="7"/>
  <c r="D1148" i="7"/>
  <c r="D1149" i="7"/>
  <c r="D1150" i="7"/>
  <c r="D1151" i="7"/>
  <c r="D1152" i="7"/>
  <c r="D1153" i="7"/>
  <c r="D1154" i="7"/>
  <c r="D1155" i="7"/>
  <c r="D1156" i="7"/>
  <c r="D1157" i="7"/>
  <c r="D1158" i="7"/>
  <c r="D1159" i="7"/>
  <c r="D1160" i="7"/>
  <c r="D1161" i="7"/>
  <c r="D1162" i="7"/>
  <c r="D1163" i="7"/>
  <c r="D1164" i="7"/>
  <c r="D1165" i="7"/>
  <c r="D1166" i="7"/>
  <c r="D1167" i="7"/>
  <c r="D1168" i="7"/>
  <c r="D1169" i="7"/>
  <c r="D1170" i="7"/>
  <c r="D1171" i="7"/>
  <c r="D1172" i="7"/>
  <c r="D1173" i="7"/>
  <c r="D1174" i="7"/>
  <c r="D1175" i="7"/>
  <c r="D1176" i="7"/>
  <c r="D1177" i="7"/>
  <c r="D1178" i="7"/>
  <c r="D1179" i="7"/>
  <c r="D1180" i="7"/>
  <c r="D1181" i="7"/>
  <c r="D1182" i="7"/>
  <c r="D1183" i="7"/>
  <c r="D1184" i="7"/>
  <c r="D1185" i="7"/>
  <c r="D1186" i="7"/>
  <c r="D1187" i="7"/>
  <c r="D1188" i="7"/>
  <c r="D1189" i="7"/>
  <c r="D1190" i="7"/>
  <c r="D1191" i="7"/>
  <c r="D1192" i="7"/>
  <c r="D1193" i="7"/>
  <c r="D1194" i="7"/>
  <c r="D1195" i="7"/>
  <c r="D1196" i="7"/>
  <c r="D1197" i="7"/>
  <c r="D1198" i="7"/>
  <c r="D1199" i="7"/>
  <c r="D1200" i="7"/>
  <c r="D1201" i="7"/>
  <c r="D1202" i="7"/>
  <c r="D1203" i="7"/>
  <c r="D1204" i="7"/>
  <c r="D1205" i="7"/>
  <c r="D1206" i="7"/>
  <c r="D1207" i="7"/>
  <c r="D1208" i="7"/>
  <c r="D1209" i="7"/>
  <c r="D1210" i="7"/>
  <c r="D1211" i="7"/>
  <c r="D1212" i="7"/>
  <c r="D1213" i="7"/>
  <c r="D1214" i="7"/>
  <c r="D1215" i="7"/>
  <c r="D1216" i="7"/>
  <c r="D1217" i="7"/>
  <c r="D1218" i="7"/>
  <c r="D1219" i="7"/>
  <c r="D1220" i="7"/>
  <c r="D1221" i="7"/>
  <c r="D1222" i="7"/>
  <c r="D1223" i="7"/>
  <c r="D1224" i="7"/>
  <c r="D1225" i="7"/>
  <c r="D1226" i="7"/>
  <c r="D1227" i="7"/>
  <c r="D1228" i="7"/>
  <c r="D1229" i="7"/>
  <c r="D1230" i="7"/>
  <c r="D1231" i="7"/>
  <c r="D1232" i="7"/>
  <c r="D1233" i="7"/>
  <c r="D1234" i="7"/>
  <c r="D1235" i="7"/>
  <c r="D1236" i="7"/>
  <c r="D1237" i="7"/>
  <c r="D1238" i="7"/>
  <c r="D1239" i="7"/>
  <c r="D1240" i="7"/>
  <c r="D1241" i="7"/>
  <c r="D1242" i="7"/>
  <c r="D1243" i="7"/>
  <c r="D1244" i="7"/>
  <c r="D1245" i="7"/>
  <c r="D1246" i="7"/>
  <c r="D1247" i="7"/>
  <c r="D1248" i="7"/>
  <c r="D1249" i="7"/>
  <c r="D1250" i="7"/>
  <c r="D1251" i="7"/>
  <c r="D1252" i="7"/>
  <c r="D1253" i="7"/>
  <c r="D1254" i="7"/>
  <c r="D1255" i="7"/>
  <c r="D1256" i="7"/>
  <c r="D1257" i="7"/>
  <c r="D1258" i="7"/>
  <c r="D1259" i="7"/>
  <c r="D1260" i="7"/>
  <c r="D1261" i="7"/>
  <c r="D1262" i="7"/>
  <c r="D1263" i="7"/>
  <c r="D1264" i="7"/>
  <c r="D1265" i="7"/>
  <c r="D1266" i="7"/>
  <c r="D1267" i="7"/>
  <c r="D1268" i="7"/>
  <c r="D1269" i="7"/>
  <c r="D1270" i="7"/>
  <c r="D1271" i="7"/>
  <c r="D1272" i="7"/>
  <c r="D1273" i="7"/>
  <c r="D1274" i="7"/>
  <c r="D1275" i="7"/>
  <c r="D1276" i="7"/>
  <c r="D1277" i="7"/>
  <c r="D1278" i="7"/>
  <c r="D1279" i="7"/>
  <c r="D1280" i="7"/>
  <c r="D1281" i="7"/>
  <c r="D1282" i="7"/>
  <c r="D1283" i="7"/>
  <c r="D1284" i="7"/>
  <c r="D1285" i="7"/>
  <c r="D1286" i="7"/>
  <c r="D1287" i="7"/>
  <c r="D1288" i="7"/>
  <c r="D1289" i="7"/>
  <c r="D1290" i="7"/>
  <c r="D1291" i="7"/>
  <c r="D1292" i="7"/>
  <c r="D1293" i="7"/>
  <c r="D1294" i="7"/>
  <c r="D1295" i="7"/>
  <c r="D1296" i="7"/>
  <c r="D1297" i="7"/>
  <c r="D1298" i="7"/>
  <c r="D1299" i="7"/>
  <c r="D1300" i="7"/>
  <c r="D1301" i="7"/>
  <c r="D1302" i="7"/>
  <c r="D1303" i="7"/>
  <c r="D1304" i="7"/>
  <c r="D1305" i="7"/>
  <c r="D1306" i="7"/>
  <c r="D1307" i="7"/>
  <c r="D1308" i="7"/>
  <c r="D1309" i="7"/>
  <c r="D1310" i="7"/>
  <c r="D1311" i="7"/>
  <c r="D1312" i="7"/>
  <c r="D1313" i="7"/>
  <c r="D1314" i="7"/>
  <c r="D1315" i="7"/>
  <c r="D1316" i="7"/>
  <c r="D1317" i="7"/>
  <c r="D1318" i="7"/>
  <c r="D1319" i="7"/>
  <c r="D1320" i="7"/>
  <c r="D1321" i="7"/>
  <c r="D1322" i="7"/>
  <c r="D1323" i="7"/>
  <c r="D1324" i="7"/>
  <c r="D1325" i="7"/>
  <c r="D1326" i="7"/>
  <c r="D1327" i="7"/>
  <c r="D1328" i="7"/>
  <c r="D1329" i="7"/>
  <c r="D1330" i="7"/>
  <c r="D1331" i="7"/>
  <c r="D1332" i="7"/>
  <c r="D1333" i="7"/>
  <c r="D1334" i="7"/>
  <c r="D1335" i="7"/>
  <c r="D1336" i="7"/>
  <c r="D1337" i="7"/>
  <c r="D1338" i="7"/>
  <c r="D1339" i="7"/>
  <c r="D1340" i="7"/>
  <c r="D1341" i="7"/>
  <c r="D1342" i="7"/>
  <c r="D1343" i="7"/>
  <c r="D1344" i="7"/>
  <c r="D1345" i="7"/>
  <c r="D1346" i="7"/>
  <c r="D1347" i="7"/>
  <c r="D1348" i="7"/>
  <c r="D1349" i="7"/>
  <c r="D1350" i="7"/>
  <c r="D1351" i="7"/>
  <c r="D1352" i="7"/>
  <c r="D1353" i="7"/>
  <c r="D1354" i="7"/>
  <c r="D1355" i="7"/>
  <c r="D1356" i="7"/>
  <c r="D1357" i="7"/>
  <c r="D1358" i="7"/>
  <c r="D1359" i="7"/>
  <c r="D1360" i="7"/>
  <c r="D1361" i="7"/>
  <c r="D1362" i="7"/>
  <c r="D1363" i="7"/>
  <c r="D1364" i="7"/>
  <c r="D1365" i="7"/>
  <c r="D1366" i="7"/>
  <c r="D1367" i="7"/>
  <c r="D1368" i="7"/>
  <c r="D1369" i="7"/>
  <c r="D1370" i="7"/>
  <c r="D1371" i="7"/>
  <c r="D1372" i="7"/>
  <c r="D1373" i="7"/>
  <c r="D1374" i="7"/>
  <c r="D1375" i="7"/>
  <c r="D1376" i="7"/>
  <c r="D1377" i="7"/>
  <c r="D1378" i="7"/>
  <c r="D1379" i="7"/>
  <c r="D1380" i="7"/>
  <c r="D1381" i="7"/>
  <c r="D1382" i="7"/>
  <c r="D1383" i="7"/>
  <c r="D1384" i="7"/>
  <c r="D1385" i="7"/>
  <c r="D1386" i="7"/>
  <c r="D1387" i="7"/>
  <c r="D1388" i="7"/>
  <c r="D1389" i="7"/>
  <c r="D1390" i="7"/>
  <c r="D1391" i="7"/>
  <c r="D1392" i="7"/>
  <c r="D1393" i="7"/>
  <c r="D1394" i="7"/>
  <c r="D1395" i="7"/>
  <c r="D1396" i="7"/>
  <c r="D1397" i="7"/>
  <c r="D1398" i="7"/>
  <c r="D1399" i="7"/>
  <c r="D1400" i="7"/>
  <c r="D1401" i="7"/>
  <c r="D1402" i="7"/>
  <c r="D1403" i="7"/>
  <c r="D1404" i="7"/>
  <c r="D1405" i="7"/>
  <c r="D1406" i="7"/>
  <c r="D1407" i="7"/>
  <c r="D1408" i="7"/>
  <c r="D1409" i="7"/>
  <c r="D1410" i="7"/>
  <c r="D1411" i="7"/>
  <c r="D1412" i="7"/>
  <c r="D1413" i="7"/>
  <c r="D1414" i="7"/>
  <c r="D1415" i="7"/>
  <c r="D1416" i="7"/>
  <c r="D1417" i="7"/>
  <c r="D1418" i="7"/>
  <c r="D1419" i="7"/>
  <c r="D1420" i="7"/>
  <c r="D1421" i="7"/>
  <c r="D1422" i="7"/>
  <c r="D1423" i="7"/>
  <c r="D1424" i="7"/>
  <c r="D1425" i="7"/>
  <c r="D1426" i="7"/>
  <c r="D1427" i="7"/>
  <c r="D1428" i="7"/>
  <c r="D1429" i="7"/>
  <c r="D1430" i="7"/>
  <c r="D1431" i="7"/>
  <c r="D1432" i="7"/>
  <c r="D1433" i="7"/>
  <c r="D1434" i="7"/>
  <c r="D1435" i="7"/>
  <c r="D1436" i="7"/>
  <c r="D1437" i="7"/>
  <c r="D1438" i="7"/>
  <c r="D1439" i="7"/>
  <c r="D1440" i="7"/>
  <c r="D1441" i="7"/>
  <c r="D1442" i="7"/>
  <c r="D1443" i="7"/>
  <c r="D1444" i="7"/>
  <c r="D1445" i="7"/>
  <c r="D1446" i="7"/>
  <c r="D1447" i="7"/>
  <c r="D1448" i="7"/>
  <c r="D1449" i="7"/>
  <c r="D1450" i="7"/>
  <c r="D1451" i="7"/>
  <c r="D1452" i="7"/>
  <c r="D1453" i="7"/>
  <c r="D1454" i="7"/>
  <c r="D1455" i="7"/>
  <c r="D1456" i="7"/>
  <c r="D1457" i="7"/>
  <c r="D1458" i="7"/>
  <c r="D1459" i="7"/>
  <c r="D1460" i="7"/>
  <c r="D1461" i="7"/>
  <c r="D1462" i="7"/>
  <c r="D1463" i="7"/>
  <c r="D1464" i="7"/>
  <c r="D1465" i="7"/>
  <c r="D1466" i="7"/>
  <c r="D1467" i="7"/>
  <c r="D1468" i="7"/>
  <c r="D1469" i="7"/>
  <c r="D1470" i="7"/>
  <c r="D1471" i="7"/>
  <c r="D1472" i="7"/>
  <c r="D1473" i="7"/>
  <c r="D1474" i="7"/>
  <c r="D1475" i="7"/>
  <c r="D1476" i="7"/>
  <c r="D1477" i="7"/>
  <c r="D1478" i="7"/>
  <c r="D1479" i="7"/>
  <c r="D1480" i="7"/>
  <c r="D1481" i="7"/>
  <c r="D1482" i="7"/>
  <c r="D1483" i="7"/>
  <c r="D1484" i="7"/>
  <c r="D1485" i="7"/>
  <c r="D1486" i="7"/>
  <c r="D1487" i="7"/>
  <c r="D1488" i="7"/>
  <c r="D1489" i="7"/>
  <c r="D1490" i="7"/>
  <c r="D1491" i="7"/>
  <c r="D1492" i="7"/>
  <c r="D1493" i="7"/>
  <c r="D1494" i="7"/>
  <c r="D1495" i="7"/>
  <c r="D1496" i="7"/>
  <c r="D1497" i="7"/>
  <c r="D1498" i="7"/>
  <c r="D1499" i="7"/>
  <c r="D1500" i="7"/>
  <c r="D1501" i="7"/>
  <c r="D1502" i="7"/>
  <c r="D1503" i="7"/>
  <c r="D1504" i="7"/>
  <c r="D1505" i="7"/>
  <c r="D1506" i="7"/>
  <c r="D1507" i="7"/>
  <c r="D1508" i="7"/>
  <c r="D1509" i="7"/>
  <c r="D1510" i="7"/>
  <c r="D1511" i="7"/>
  <c r="D1512" i="7"/>
  <c r="D1513" i="7"/>
  <c r="D1514" i="7"/>
  <c r="D1515" i="7"/>
  <c r="D1516" i="7"/>
  <c r="D1517" i="7"/>
  <c r="D1518" i="7"/>
  <c r="D1519" i="7"/>
  <c r="D1520" i="7"/>
  <c r="D1521" i="7"/>
  <c r="D1522" i="7"/>
  <c r="D1523" i="7"/>
  <c r="D1524" i="7"/>
  <c r="D1525" i="7"/>
  <c r="D1526" i="7"/>
  <c r="D1527" i="7"/>
  <c r="D1528" i="7"/>
  <c r="D1529" i="7"/>
  <c r="D1530" i="7"/>
  <c r="D1531" i="7"/>
  <c r="D1532" i="7"/>
  <c r="D1533" i="7"/>
  <c r="D1534" i="7"/>
  <c r="D1535" i="7"/>
  <c r="D1536" i="7"/>
  <c r="D1537" i="7"/>
  <c r="D1538" i="7"/>
  <c r="D1539" i="7"/>
  <c r="D1540" i="7"/>
  <c r="D1541" i="7"/>
  <c r="D1542" i="7"/>
  <c r="D1543" i="7"/>
  <c r="D1544" i="7"/>
  <c r="D1545" i="7"/>
  <c r="D1546" i="7"/>
  <c r="D1547" i="7"/>
  <c r="D1548" i="7"/>
  <c r="D1549" i="7"/>
  <c r="D1550" i="7"/>
  <c r="D1551" i="7"/>
  <c r="D1552" i="7"/>
  <c r="D1553" i="7"/>
  <c r="D1554" i="7"/>
  <c r="D1555" i="7"/>
  <c r="D1556" i="7"/>
  <c r="D1557" i="7"/>
  <c r="D1558" i="7"/>
  <c r="D1559" i="7"/>
  <c r="D1560" i="7"/>
  <c r="D1561" i="7"/>
  <c r="D1562" i="7"/>
  <c r="D1563" i="7"/>
  <c r="D1564" i="7"/>
  <c r="D1565" i="7"/>
  <c r="D1566" i="7"/>
  <c r="D1567" i="7"/>
  <c r="D1568" i="7"/>
  <c r="D1569" i="7"/>
  <c r="D1570" i="7"/>
  <c r="D1571" i="7"/>
  <c r="D1572" i="7"/>
  <c r="D1573" i="7"/>
  <c r="D1574" i="7"/>
  <c r="D1575" i="7"/>
  <c r="D1576" i="7"/>
  <c r="D1577" i="7"/>
  <c r="D1578" i="7"/>
  <c r="D1579" i="7"/>
  <c r="D1580" i="7"/>
  <c r="D1581" i="7"/>
  <c r="D1582" i="7"/>
  <c r="D1583" i="7"/>
  <c r="D1584" i="7"/>
  <c r="D1585" i="7"/>
  <c r="D1586" i="7"/>
  <c r="D1587" i="7"/>
  <c r="D1588" i="7"/>
  <c r="D1589" i="7"/>
  <c r="D1590" i="7"/>
  <c r="D1591" i="7"/>
  <c r="D1592" i="7"/>
  <c r="D1593" i="7"/>
  <c r="D1594" i="7"/>
  <c r="D1595" i="7"/>
  <c r="D1596" i="7"/>
  <c r="D1597" i="7"/>
  <c r="D1598" i="7"/>
  <c r="D1599" i="7"/>
  <c r="D1600" i="7"/>
  <c r="D1601" i="7"/>
  <c r="D1602" i="7"/>
  <c r="D1603" i="7"/>
  <c r="D1604" i="7"/>
  <c r="D1605" i="7"/>
  <c r="D1606" i="7"/>
  <c r="D1607" i="7"/>
  <c r="D1608" i="7"/>
  <c r="D1609" i="7"/>
  <c r="D1610" i="7"/>
  <c r="D1611" i="7"/>
  <c r="D1612" i="7"/>
  <c r="D1613" i="7"/>
  <c r="D1614" i="7"/>
  <c r="D1615" i="7"/>
  <c r="D1616" i="7"/>
  <c r="D1617" i="7"/>
  <c r="D1618" i="7"/>
  <c r="D1619" i="7"/>
  <c r="D1620" i="7"/>
  <c r="D1621" i="7"/>
  <c r="D1622" i="7"/>
  <c r="D1623" i="7"/>
  <c r="D1624" i="7"/>
  <c r="D1625" i="7"/>
  <c r="D1626" i="7"/>
  <c r="D1627" i="7"/>
  <c r="D1628" i="7"/>
  <c r="D1629" i="7"/>
  <c r="D1630" i="7"/>
  <c r="D1631" i="7"/>
  <c r="D1632" i="7"/>
  <c r="D1633" i="7"/>
  <c r="D1634" i="7"/>
  <c r="D1635" i="7"/>
  <c r="D1636" i="7"/>
  <c r="D1637" i="7"/>
  <c r="D1638" i="7"/>
  <c r="D1639" i="7"/>
  <c r="D1640" i="7"/>
  <c r="D1641" i="7"/>
  <c r="D1642" i="7"/>
  <c r="D1643" i="7"/>
  <c r="D1644" i="7"/>
  <c r="D1645" i="7"/>
  <c r="D1646" i="7"/>
  <c r="D1647" i="7"/>
  <c r="D1648" i="7"/>
  <c r="D1649" i="7"/>
  <c r="D1650" i="7"/>
  <c r="D1651" i="7"/>
  <c r="D1652" i="7"/>
  <c r="D1653" i="7"/>
  <c r="D1654" i="7"/>
  <c r="D1655" i="7"/>
  <c r="D1656" i="7"/>
  <c r="D1657" i="7"/>
  <c r="D1658" i="7"/>
  <c r="D1659" i="7"/>
  <c r="D1660" i="7"/>
  <c r="D1661" i="7"/>
  <c r="D1662" i="7"/>
  <c r="D1663" i="7"/>
  <c r="D1664" i="7"/>
  <c r="D1665" i="7"/>
  <c r="D1666" i="7"/>
  <c r="D1667" i="7"/>
  <c r="D1668" i="7"/>
  <c r="D1669" i="7"/>
  <c r="D1670" i="7"/>
  <c r="D1671" i="7"/>
  <c r="D1672" i="7"/>
  <c r="D1673" i="7"/>
  <c r="D1674" i="7"/>
  <c r="D1675" i="7"/>
  <c r="D1676" i="7"/>
  <c r="D1677" i="7"/>
  <c r="D1678" i="7"/>
  <c r="D1679" i="7"/>
  <c r="D1680" i="7"/>
  <c r="D1681" i="7"/>
  <c r="D1682" i="7"/>
  <c r="D1683" i="7"/>
  <c r="D1684" i="7"/>
  <c r="D1685" i="7"/>
  <c r="D1686" i="7"/>
  <c r="D1687" i="7"/>
  <c r="D1688" i="7"/>
  <c r="D1689" i="7"/>
  <c r="D1690" i="7"/>
  <c r="D1691" i="7"/>
  <c r="D1692" i="7"/>
  <c r="D1693" i="7"/>
  <c r="D1694" i="7"/>
  <c r="D1695" i="7"/>
  <c r="D1696" i="7"/>
  <c r="D1697" i="7"/>
  <c r="D1698" i="7"/>
  <c r="D1699" i="7"/>
  <c r="D1700" i="7"/>
  <c r="D1701" i="7"/>
  <c r="D1702" i="7"/>
  <c r="D1703" i="7"/>
  <c r="D1704" i="7"/>
  <c r="D1705" i="7"/>
  <c r="D1706" i="7"/>
  <c r="D1707" i="7"/>
  <c r="D1708" i="7"/>
  <c r="D1709" i="7"/>
  <c r="D1710" i="7"/>
  <c r="D1711" i="7"/>
  <c r="D1712" i="7"/>
  <c r="D1713" i="7"/>
  <c r="D1714" i="7"/>
  <c r="D1715" i="7"/>
  <c r="D1716" i="7"/>
  <c r="D1717" i="7"/>
  <c r="D1718" i="7"/>
  <c r="D1719" i="7"/>
  <c r="D1720" i="7"/>
  <c r="D1721" i="7"/>
  <c r="D1722" i="7"/>
  <c r="D1723" i="7"/>
  <c r="D1724" i="7"/>
  <c r="D1725" i="7"/>
  <c r="D1726" i="7"/>
  <c r="D1727" i="7"/>
  <c r="D1728" i="7"/>
  <c r="D1729" i="7"/>
  <c r="D1730" i="7"/>
  <c r="D1731" i="7"/>
  <c r="D1732" i="7"/>
  <c r="D1733" i="7"/>
  <c r="D1734" i="7"/>
  <c r="D1735" i="7"/>
  <c r="D1736" i="7"/>
  <c r="D1737" i="7"/>
  <c r="D1738" i="7"/>
  <c r="D1739" i="7"/>
  <c r="D1740" i="7"/>
  <c r="D1741" i="7"/>
  <c r="D1742" i="7"/>
  <c r="D1743" i="7"/>
  <c r="D1744" i="7"/>
  <c r="D1745" i="7"/>
  <c r="D1746" i="7"/>
  <c r="D1747" i="7"/>
  <c r="D1748" i="7"/>
  <c r="D1749" i="7"/>
  <c r="D1750" i="7"/>
  <c r="D1751" i="7"/>
  <c r="D1752" i="7"/>
  <c r="D1753" i="7"/>
  <c r="D1754" i="7"/>
  <c r="D1755" i="7"/>
  <c r="D1756" i="7"/>
  <c r="D1757" i="7"/>
  <c r="D1758" i="7"/>
  <c r="D1759" i="7"/>
  <c r="D1760" i="7"/>
  <c r="D1761" i="7"/>
  <c r="D1762" i="7"/>
  <c r="D1763" i="7"/>
  <c r="D1764" i="7"/>
  <c r="D1765" i="7"/>
  <c r="D1766" i="7"/>
  <c r="D1767" i="7"/>
  <c r="D1768" i="7"/>
  <c r="D1769" i="7"/>
  <c r="D1770" i="7"/>
  <c r="D1771" i="7"/>
  <c r="D1772" i="7"/>
  <c r="D1773" i="7"/>
  <c r="D1774" i="7"/>
  <c r="D1775" i="7"/>
  <c r="D1776" i="7"/>
  <c r="D1777" i="7"/>
  <c r="D1778" i="7"/>
  <c r="D1779" i="7"/>
  <c r="D1780" i="7"/>
  <c r="D1781" i="7"/>
  <c r="D1782" i="7"/>
  <c r="D1783" i="7"/>
  <c r="D1784" i="7"/>
  <c r="D1785" i="7"/>
  <c r="D1786" i="7"/>
  <c r="D1787" i="7"/>
  <c r="D1788" i="7"/>
  <c r="D1789" i="7"/>
  <c r="D1790" i="7"/>
  <c r="D1791" i="7"/>
  <c r="D1792" i="7"/>
  <c r="D1793" i="7"/>
  <c r="D1794" i="7"/>
  <c r="D1795" i="7"/>
  <c r="D1796" i="7"/>
  <c r="D1797" i="7"/>
  <c r="D1798" i="7"/>
  <c r="D1799" i="7"/>
  <c r="D1800" i="7"/>
  <c r="D1801" i="7"/>
  <c r="D1802" i="7"/>
  <c r="D1803" i="7"/>
  <c r="D1804" i="7"/>
  <c r="D1805" i="7"/>
  <c r="D1806" i="7"/>
  <c r="D1807" i="7"/>
  <c r="D1808" i="7"/>
  <c r="D1809" i="7"/>
  <c r="D1810" i="7"/>
  <c r="D1811" i="7"/>
  <c r="D1812" i="7"/>
  <c r="D1813" i="7"/>
  <c r="D1814" i="7"/>
  <c r="D1815" i="7"/>
  <c r="D1816" i="7"/>
  <c r="D1817" i="7"/>
  <c r="D1818" i="7"/>
  <c r="D1819" i="7"/>
  <c r="D1820" i="7"/>
  <c r="D1821" i="7"/>
  <c r="D1822" i="7"/>
  <c r="D1823" i="7"/>
  <c r="D1824" i="7"/>
  <c r="D1825" i="7"/>
  <c r="D1826" i="7"/>
  <c r="D1827" i="7"/>
  <c r="D1828" i="7"/>
  <c r="D1829" i="7"/>
  <c r="D1830" i="7"/>
  <c r="D1831" i="7"/>
  <c r="D1832" i="7"/>
  <c r="D1833" i="7"/>
  <c r="D1834" i="7"/>
  <c r="D1835" i="7"/>
  <c r="D1836" i="7"/>
  <c r="D1837" i="7"/>
  <c r="D1838" i="7"/>
  <c r="D1839" i="7"/>
  <c r="D1840" i="7"/>
  <c r="D1841" i="7"/>
  <c r="D1842" i="7"/>
  <c r="D1843" i="7"/>
  <c r="D1844" i="7"/>
  <c r="D1845" i="7"/>
  <c r="D1846" i="7"/>
  <c r="D1847" i="7"/>
  <c r="D1848" i="7"/>
  <c r="D1849" i="7"/>
  <c r="D1850" i="7"/>
  <c r="D1851" i="7"/>
  <c r="D1852" i="7"/>
  <c r="D1853" i="7"/>
  <c r="D1854" i="7"/>
  <c r="D1855" i="7"/>
  <c r="D1856" i="7"/>
  <c r="D1857" i="7"/>
  <c r="D1858" i="7"/>
  <c r="D1859" i="7"/>
  <c r="D1860" i="7"/>
  <c r="D1861" i="7"/>
  <c r="D1862" i="7"/>
  <c r="D1863" i="7"/>
  <c r="D1864" i="7"/>
  <c r="D1865" i="7"/>
  <c r="D1866" i="7"/>
  <c r="D1867" i="7"/>
  <c r="D1868" i="7"/>
  <c r="D1869" i="7"/>
  <c r="D1870" i="7"/>
  <c r="D1871" i="7"/>
  <c r="D1872" i="7"/>
  <c r="D1873" i="7"/>
  <c r="D1874" i="7"/>
  <c r="D1875" i="7"/>
  <c r="D1876" i="7"/>
  <c r="D1877" i="7"/>
  <c r="D1878" i="7"/>
  <c r="D1879" i="7"/>
  <c r="D1880" i="7"/>
  <c r="D1881" i="7"/>
  <c r="D1882" i="7"/>
  <c r="D1883" i="7"/>
  <c r="D1884" i="7"/>
  <c r="D1885" i="7"/>
  <c r="D1886" i="7"/>
  <c r="D1887" i="7"/>
  <c r="D1888" i="7"/>
  <c r="D1889" i="7"/>
  <c r="D1890" i="7"/>
  <c r="D1891" i="7"/>
  <c r="D1892" i="7"/>
  <c r="D1893" i="7"/>
  <c r="D1894" i="7"/>
  <c r="D1895" i="7"/>
  <c r="D1896" i="7"/>
  <c r="D1897" i="7"/>
  <c r="D1898" i="7"/>
  <c r="D1899" i="7"/>
  <c r="D1900" i="7"/>
  <c r="D1901" i="7"/>
  <c r="D1902" i="7"/>
  <c r="D1903" i="7"/>
  <c r="D1904" i="7"/>
  <c r="D1905" i="7"/>
  <c r="D1906" i="7"/>
  <c r="D1907" i="7"/>
  <c r="D1908" i="7"/>
  <c r="D1909" i="7"/>
  <c r="D1910" i="7"/>
  <c r="D1911" i="7"/>
  <c r="D1912" i="7"/>
  <c r="D1913" i="7"/>
  <c r="D1914" i="7"/>
  <c r="D1915" i="7"/>
  <c r="D1916" i="7"/>
  <c r="D1917" i="7"/>
  <c r="D1918" i="7"/>
  <c r="D1919" i="7"/>
  <c r="D1920" i="7"/>
  <c r="D1921" i="7"/>
  <c r="D1922" i="7"/>
  <c r="D1923" i="7"/>
  <c r="D1924" i="7"/>
  <c r="D1925" i="7"/>
  <c r="D1926" i="7"/>
  <c r="D1927" i="7"/>
  <c r="D1928" i="7"/>
  <c r="D1929" i="7"/>
  <c r="D1930" i="7"/>
  <c r="D1931" i="7"/>
  <c r="D1932" i="7"/>
  <c r="D1933" i="7"/>
  <c r="D1934" i="7"/>
  <c r="D1935" i="7"/>
  <c r="D1936" i="7"/>
  <c r="D1937" i="7"/>
  <c r="D1938" i="7"/>
  <c r="D1939" i="7"/>
  <c r="D1940" i="7"/>
  <c r="D1941" i="7"/>
  <c r="D1942" i="7"/>
  <c r="D1943" i="7"/>
  <c r="D1944" i="7"/>
  <c r="D1945" i="7"/>
  <c r="D1946" i="7"/>
  <c r="D1947" i="7"/>
  <c r="D1948" i="7"/>
  <c r="D1949" i="7"/>
  <c r="D1950" i="7"/>
  <c r="D1951" i="7"/>
  <c r="D1952" i="7"/>
  <c r="D1953" i="7"/>
  <c r="D1954" i="7"/>
  <c r="D1955" i="7"/>
  <c r="D1956" i="7"/>
  <c r="D1957" i="7"/>
  <c r="D1958" i="7"/>
  <c r="D1959" i="7"/>
  <c r="D1960" i="7"/>
  <c r="D1961" i="7"/>
  <c r="D1962" i="7"/>
  <c r="D1963" i="7"/>
  <c r="D1964" i="7"/>
  <c r="D1965" i="7"/>
  <c r="D1966" i="7"/>
  <c r="D1967" i="7"/>
  <c r="D1968" i="7"/>
  <c r="D1969" i="7"/>
  <c r="D1970" i="7"/>
  <c r="D1971" i="7"/>
  <c r="D1972" i="7"/>
  <c r="D1973" i="7"/>
  <c r="D1974" i="7"/>
  <c r="D1975" i="7"/>
  <c r="D1976" i="7"/>
  <c r="D1977" i="7"/>
  <c r="D1978" i="7"/>
  <c r="D1979" i="7"/>
  <c r="D1980" i="7"/>
  <c r="D1981" i="7"/>
  <c r="D1982" i="7"/>
  <c r="D1983" i="7"/>
  <c r="D1984" i="7"/>
  <c r="D1985" i="7"/>
  <c r="D1986" i="7"/>
  <c r="D1987" i="7"/>
  <c r="D1988" i="7"/>
  <c r="D1989" i="7"/>
  <c r="D1990" i="7"/>
  <c r="D1991" i="7"/>
  <c r="D1992" i="7"/>
  <c r="D1993" i="7"/>
  <c r="D1994" i="7"/>
  <c r="D1995" i="7"/>
  <c r="D1996" i="7"/>
  <c r="D1997" i="7"/>
  <c r="D1998" i="7"/>
  <c r="D1999" i="7"/>
  <c r="D2000" i="7"/>
  <c r="D2001" i="7"/>
  <c r="D2002" i="7"/>
  <c r="D2003" i="7"/>
  <c r="D2004" i="7"/>
  <c r="D2005" i="7"/>
  <c r="D2006" i="7"/>
  <c r="D2007" i="7"/>
  <c r="D2008" i="7"/>
  <c r="D2009" i="7"/>
  <c r="D2010" i="7"/>
  <c r="D2011" i="7"/>
  <c r="D2012" i="7"/>
  <c r="D2013" i="7"/>
  <c r="D2014" i="7"/>
  <c r="D2015" i="7"/>
  <c r="D2016" i="7"/>
  <c r="D2017" i="7"/>
  <c r="D2018" i="7"/>
  <c r="D2019" i="7"/>
  <c r="D2020" i="7"/>
  <c r="D2021" i="7"/>
  <c r="D2022" i="7"/>
  <c r="D2023" i="7"/>
  <c r="D2024" i="7"/>
  <c r="D2025" i="7"/>
  <c r="D2026" i="7"/>
  <c r="D2027" i="7"/>
  <c r="D2028" i="7"/>
  <c r="D2029" i="7"/>
  <c r="D2030" i="7"/>
  <c r="D2031" i="7"/>
  <c r="D2032" i="7"/>
  <c r="D2033" i="7"/>
  <c r="D2034" i="7"/>
  <c r="D2035" i="7"/>
  <c r="D2036" i="7"/>
  <c r="D2037" i="7"/>
  <c r="D2038" i="7"/>
  <c r="D2039" i="7"/>
  <c r="D2040" i="7"/>
  <c r="D2041" i="7"/>
  <c r="D2042" i="7"/>
  <c r="D2043" i="7"/>
  <c r="D2044" i="7"/>
  <c r="D2045" i="7"/>
  <c r="D2046" i="7"/>
  <c r="D2047" i="7"/>
  <c r="D2048" i="7"/>
  <c r="D2049" i="7"/>
  <c r="D2050" i="7"/>
  <c r="D2051" i="7"/>
  <c r="D2052" i="7"/>
  <c r="D2053" i="7"/>
  <c r="D2054" i="7"/>
  <c r="D2055" i="7"/>
  <c r="D2056" i="7"/>
  <c r="D2057" i="7"/>
  <c r="D2058" i="7"/>
  <c r="D2059" i="7"/>
  <c r="D2060" i="7"/>
  <c r="D2061" i="7"/>
  <c r="D2062" i="7"/>
  <c r="D2063" i="7"/>
  <c r="D2064" i="7"/>
  <c r="D2065" i="7"/>
  <c r="D2066" i="7"/>
  <c r="D2067" i="7"/>
  <c r="D2068" i="7"/>
  <c r="D2069" i="7"/>
  <c r="D2070" i="7"/>
  <c r="D2071" i="7"/>
  <c r="D2072" i="7"/>
  <c r="D2073" i="7"/>
  <c r="D2074" i="7"/>
  <c r="D2075" i="7"/>
  <c r="D2076" i="7"/>
  <c r="D2077" i="7"/>
  <c r="D2078" i="7"/>
  <c r="D2079" i="7"/>
  <c r="D2080" i="7"/>
  <c r="D2081" i="7"/>
  <c r="D2082" i="7"/>
  <c r="D2083" i="7"/>
  <c r="D2084" i="7"/>
  <c r="D2085" i="7"/>
  <c r="D2086" i="7"/>
  <c r="D2087" i="7"/>
  <c r="D2088" i="7"/>
  <c r="D2089" i="7"/>
  <c r="D2090" i="7"/>
  <c r="D2091" i="7"/>
  <c r="D2092" i="7"/>
  <c r="D2093" i="7"/>
  <c r="D2094" i="7"/>
  <c r="D2095" i="7"/>
  <c r="D2096" i="7"/>
  <c r="D2097" i="7"/>
  <c r="D2098" i="7"/>
  <c r="D2099" i="7"/>
  <c r="D2100" i="7"/>
  <c r="D2101" i="7"/>
  <c r="D2102" i="7"/>
  <c r="D2103" i="7"/>
  <c r="D2104" i="7"/>
  <c r="D2105" i="7"/>
  <c r="D2106" i="7"/>
  <c r="D2107" i="7"/>
  <c r="D2108" i="7"/>
  <c r="D2109" i="7"/>
  <c r="D2110" i="7"/>
  <c r="D2111" i="7"/>
  <c r="D2112" i="7"/>
  <c r="D2113" i="7"/>
  <c r="D2114" i="7"/>
  <c r="D2115" i="7"/>
  <c r="D2116" i="7"/>
  <c r="D2117" i="7"/>
  <c r="D2118" i="7"/>
  <c r="D2119" i="7"/>
  <c r="D2120" i="7"/>
  <c r="D2121" i="7"/>
  <c r="D2122" i="7"/>
  <c r="D2123" i="7"/>
  <c r="D2124" i="7"/>
  <c r="D2125" i="7"/>
  <c r="D2126" i="7"/>
  <c r="D2127" i="7"/>
  <c r="D2128" i="7"/>
  <c r="D2129" i="7"/>
  <c r="D2130" i="7"/>
  <c r="D2131" i="7"/>
  <c r="D2132" i="7"/>
  <c r="D2133" i="7"/>
  <c r="D2134" i="7"/>
  <c r="D2135" i="7"/>
  <c r="D2136" i="7"/>
  <c r="D2137" i="7"/>
  <c r="D2138" i="7"/>
  <c r="D2139" i="7"/>
  <c r="D2140" i="7"/>
  <c r="D2141" i="7"/>
  <c r="D2142" i="7"/>
  <c r="D2143" i="7"/>
  <c r="D2144" i="7"/>
  <c r="D2145" i="7"/>
  <c r="D2146" i="7"/>
  <c r="D2147" i="7"/>
  <c r="D2148" i="7"/>
  <c r="D2149" i="7"/>
  <c r="D2150" i="7"/>
  <c r="D2151" i="7"/>
  <c r="D2152" i="7"/>
  <c r="D2153" i="7"/>
  <c r="D2154" i="7"/>
  <c r="D2155" i="7"/>
  <c r="D2156" i="7"/>
  <c r="D2157" i="7"/>
  <c r="D2158" i="7"/>
  <c r="D2159" i="7"/>
  <c r="D2160" i="7"/>
  <c r="D2161" i="7"/>
  <c r="D2162" i="7"/>
  <c r="D2163" i="7"/>
  <c r="D2164" i="7"/>
  <c r="D2165" i="7"/>
  <c r="D2166" i="7"/>
  <c r="D2167" i="7"/>
  <c r="D2168" i="7"/>
  <c r="D2169" i="7"/>
  <c r="D2170" i="7"/>
  <c r="D2171" i="7"/>
  <c r="D2172" i="7"/>
  <c r="D2173" i="7"/>
  <c r="D2174" i="7"/>
  <c r="D2175" i="7"/>
  <c r="D2176" i="7"/>
  <c r="D2177" i="7"/>
  <c r="D2178" i="7"/>
  <c r="D2179" i="7"/>
  <c r="D2180" i="7"/>
  <c r="D2181" i="7"/>
  <c r="D2182" i="7"/>
  <c r="D2183" i="7"/>
  <c r="D2184" i="7"/>
  <c r="D2185" i="7"/>
  <c r="D2186" i="7"/>
  <c r="D2187" i="7"/>
  <c r="D2188" i="7"/>
  <c r="D2189" i="7"/>
  <c r="D2190" i="7"/>
  <c r="D2191" i="7"/>
  <c r="D2192" i="7"/>
  <c r="D2193" i="7"/>
  <c r="D2194" i="7"/>
  <c r="D2195" i="7"/>
  <c r="D4" i="7"/>
  <c r="G2195" i="7"/>
  <c r="F2195" i="7"/>
  <c r="E2195" i="7"/>
  <c r="N2195" i="7"/>
  <c r="G2194" i="7"/>
  <c r="F2194" i="7"/>
  <c r="E2194" i="7"/>
  <c r="N2194" i="7"/>
  <c r="G2193" i="7"/>
  <c r="F2193" i="7"/>
  <c r="E2193" i="7"/>
  <c r="N2193" i="7"/>
  <c r="G2192" i="7"/>
  <c r="F2192" i="7"/>
  <c r="E2192" i="7"/>
  <c r="N2192" i="7"/>
  <c r="G2191" i="7"/>
  <c r="F2191" i="7"/>
  <c r="E2191" i="7"/>
  <c r="N2191" i="7"/>
  <c r="G2190" i="7"/>
  <c r="F2190" i="7"/>
  <c r="E2190" i="7"/>
  <c r="N2190" i="7"/>
  <c r="G2189" i="7"/>
  <c r="F2189" i="7"/>
  <c r="E2189" i="7"/>
  <c r="N2189" i="7"/>
  <c r="G2188" i="7"/>
  <c r="F2188" i="7"/>
  <c r="E2188" i="7"/>
  <c r="N2188" i="7"/>
  <c r="G2187" i="7"/>
  <c r="F2187" i="7"/>
  <c r="E2187" i="7"/>
  <c r="N2187" i="7"/>
  <c r="G2186" i="7"/>
  <c r="F2186" i="7"/>
  <c r="E2186" i="7"/>
  <c r="N2186" i="7"/>
  <c r="G2185" i="7"/>
  <c r="F2185" i="7"/>
  <c r="E2185" i="7"/>
  <c r="N2185" i="7"/>
  <c r="G2184" i="7"/>
  <c r="F2184" i="7"/>
  <c r="E2184" i="7"/>
  <c r="N2184" i="7"/>
  <c r="G2183" i="7"/>
  <c r="F2183" i="7"/>
  <c r="E2183" i="7"/>
  <c r="N2183" i="7"/>
  <c r="G2182" i="7"/>
  <c r="F2182" i="7"/>
  <c r="E2182" i="7"/>
  <c r="N2182" i="7"/>
  <c r="G2181" i="7"/>
  <c r="F2181" i="7"/>
  <c r="E2181" i="7"/>
  <c r="N2181" i="7"/>
  <c r="G2180" i="7"/>
  <c r="F2180" i="7"/>
  <c r="E2180" i="7"/>
  <c r="N2180" i="7"/>
  <c r="G2179" i="7"/>
  <c r="F2179" i="7"/>
  <c r="E2179" i="7"/>
  <c r="N2179" i="7"/>
  <c r="G2178" i="7"/>
  <c r="F2178" i="7"/>
  <c r="E2178" i="7"/>
  <c r="N2178" i="7"/>
  <c r="G2177" i="7"/>
  <c r="F2177" i="7"/>
  <c r="E2177" i="7"/>
  <c r="N2177" i="7"/>
  <c r="G2176" i="7"/>
  <c r="F2176" i="7"/>
  <c r="E2176" i="7"/>
  <c r="N2176" i="7"/>
  <c r="G2175" i="7"/>
  <c r="F2175" i="7"/>
  <c r="E2175" i="7"/>
  <c r="N2175" i="7"/>
  <c r="G2174" i="7"/>
  <c r="F2174" i="7"/>
  <c r="E2174" i="7"/>
  <c r="N2174" i="7"/>
  <c r="G2173" i="7"/>
  <c r="F2173" i="7"/>
  <c r="E2173" i="7"/>
  <c r="N2173" i="7"/>
  <c r="G2172" i="7"/>
  <c r="F2172" i="7"/>
  <c r="E2172" i="7"/>
  <c r="N2172" i="7"/>
  <c r="G2171" i="7"/>
  <c r="F2171" i="7"/>
  <c r="E2171" i="7"/>
  <c r="N2171" i="7"/>
  <c r="G2170" i="7"/>
  <c r="F2170" i="7"/>
  <c r="E2170" i="7"/>
  <c r="N2170" i="7"/>
  <c r="G2169" i="7"/>
  <c r="F2169" i="7"/>
  <c r="E2169" i="7"/>
  <c r="N2169" i="7"/>
  <c r="G2168" i="7"/>
  <c r="F2168" i="7"/>
  <c r="E2168" i="7"/>
  <c r="N2168" i="7"/>
  <c r="G2167" i="7"/>
  <c r="F2167" i="7"/>
  <c r="E2167" i="7"/>
  <c r="N2167" i="7"/>
  <c r="G2166" i="7"/>
  <c r="F2166" i="7"/>
  <c r="E2166" i="7"/>
  <c r="N2166" i="7"/>
  <c r="G2165" i="7"/>
  <c r="F2165" i="7"/>
  <c r="E2165" i="7"/>
  <c r="N2165" i="7"/>
  <c r="G2164" i="7"/>
  <c r="F2164" i="7"/>
  <c r="E2164" i="7"/>
  <c r="N2164" i="7"/>
  <c r="G2163" i="7"/>
  <c r="F2163" i="7"/>
  <c r="E2163" i="7"/>
  <c r="N2163" i="7"/>
  <c r="G2162" i="7"/>
  <c r="F2162" i="7"/>
  <c r="E2162" i="7"/>
  <c r="N2162" i="7"/>
  <c r="G2161" i="7"/>
  <c r="F2161" i="7"/>
  <c r="E2161" i="7"/>
  <c r="N2161" i="7"/>
  <c r="G2160" i="7"/>
  <c r="F2160" i="7"/>
  <c r="E2160" i="7"/>
  <c r="N2160" i="7"/>
  <c r="G2159" i="7"/>
  <c r="F2159" i="7"/>
  <c r="E2159" i="7"/>
  <c r="N2159" i="7"/>
  <c r="G2158" i="7"/>
  <c r="F2158" i="7"/>
  <c r="E2158" i="7"/>
  <c r="N2158" i="7"/>
  <c r="G2157" i="7"/>
  <c r="F2157" i="7"/>
  <c r="E2157" i="7"/>
  <c r="N2157" i="7"/>
  <c r="G2156" i="7"/>
  <c r="F2156" i="7"/>
  <c r="E2156" i="7"/>
  <c r="N2156" i="7"/>
  <c r="G2155" i="7"/>
  <c r="F2155" i="7"/>
  <c r="E2155" i="7"/>
  <c r="N2155" i="7"/>
  <c r="G2154" i="7"/>
  <c r="F2154" i="7"/>
  <c r="E2154" i="7"/>
  <c r="N2154" i="7"/>
  <c r="G2153" i="7"/>
  <c r="F2153" i="7"/>
  <c r="E2153" i="7"/>
  <c r="N2153" i="7"/>
  <c r="G2152" i="7"/>
  <c r="F2152" i="7"/>
  <c r="E2152" i="7"/>
  <c r="N2152" i="7"/>
  <c r="G2151" i="7"/>
  <c r="F2151" i="7"/>
  <c r="E2151" i="7"/>
  <c r="N2151" i="7"/>
  <c r="G2150" i="7"/>
  <c r="F2150" i="7"/>
  <c r="E2150" i="7"/>
  <c r="N2150" i="7"/>
  <c r="G2149" i="7"/>
  <c r="F2149" i="7"/>
  <c r="E2149" i="7"/>
  <c r="N2149" i="7"/>
  <c r="G2148" i="7"/>
  <c r="F2148" i="7"/>
  <c r="E2148" i="7"/>
  <c r="N2148" i="7"/>
  <c r="G2147" i="7"/>
  <c r="F2147" i="7"/>
  <c r="E2147" i="7"/>
  <c r="N2147" i="7"/>
  <c r="G2146" i="7"/>
  <c r="F2146" i="7"/>
  <c r="E2146" i="7"/>
  <c r="N2146" i="7"/>
  <c r="G2145" i="7"/>
  <c r="F2145" i="7"/>
  <c r="E2145" i="7"/>
  <c r="N2145" i="7"/>
  <c r="G2144" i="7"/>
  <c r="F2144" i="7"/>
  <c r="E2144" i="7"/>
  <c r="N2144" i="7"/>
  <c r="G2143" i="7"/>
  <c r="F2143" i="7"/>
  <c r="E2143" i="7"/>
  <c r="N2143" i="7"/>
  <c r="G2142" i="7"/>
  <c r="F2142" i="7"/>
  <c r="E2142" i="7"/>
  <c r="N2142" i="7"/>
  <c r="G2141" i="7"/>
  <c r="F2141" i="7"/>
  <c r="E2141" i="7"/>
  <c r="N2141" i="7"/>
  <c r="G2140" i="7"/>
  <c r="F2140" i="7"/>
  <c r="E2140" i="7"/>
  <c r="N2140" i="7"/>
  <c r="G2139" i="7"/>
  <c r="F2139" i="7"/>
  <c r="E2139" i="7"/>
  <c r="N2139" i="7"/>
  <c r="G2138" i="7"/>
  <c r="F2138" i="7"/>
  <c r="E2138" i="7"/>
  <c r="N2138" i="7"/>
  <c r="G2137" i="7"/>
  <c r="F2137" i="7"/>
  <c r="E2137" i="7"/>
  <c r="N2137" i="7"/>
  <c r="G2136" i="7"/>
  <c r="F2136" i="7"/>
  <c r="E2136" i="7"/>
  <c r="N2136" i="7"/>
  <c r="G2135" i="7"/>
  <c r="F2135" i="7"/>
  <c r="E2135" i="7"/>
  <c r="N2135" i="7"/>
  <c r="G2134" i="7"/>
  <c r="F2134" i="7"/>
  <c r="E2134" i="7"/>
  <c r="N2134" i="7"/>
  <c r="G2133" i="7"/>
  <c r="F2133" i="7"/>
  <c r="E2133" i="7"/>
  <c r="N2133" i="7"/>
  <c r="G2132" i="7"/>
  <c r="F2132" i="7"/>
  <c r="E2132" i="7"/>
  <c r="N2132" i="7"/>
  <c r="G2131" i="7"/>
  <c r="F2131" i="7"/>
  <c r="E2131" i="7"/>
  <c r="N2131" i="7"/>
  <c r="G2130" i="7"/>
  <c r="F2130" i="7"/>
  <c r="E2130" i="7"/>
  <c r="N2130" i="7"/>
  <c r="G2129" i="7"/>
  <c r="F2129" i="7"/>
  <c r="E2129" i="7"/>
  <c r="N2129" i="7"/>
  <c r="G2128" i="7"/>
  <c r="F2128" i="7"/>
  <c r="E2128" i="7"/>
  <c r="N2128" i="7"/>
  <c r="G2127" i="7"/>
  <c r="F2127" i="7"/>
  <c r="E2127" i="7"/>
  <c r="N2127" i="7"/>
  <c r="G2126" i="7"/>
  <c r="F2126" i="7"/>
  <c r="E2126" i="7"/>
  <c r="N2126" i="7"/>
  <c r="G2125" i="7"/>
  <c r="F2125" i="7"/>
  <c r="E2125" i="7"/>
  <c r="N2125" i="7"/>
  <c r="G2124" i="7"/>
  <c r="F2124" i="7"/>
  <c r="E2124" i="7"/>
  <c r="N2124" i="7"/>
  <c r="G2123" i="7"/>
  <c r="F2123" i="7"/>
  <c r="E2123" i="7"/>
  <c r="N2123" i="7"/>
  <c r="G2122" i="7"/>
  <c r="F2122" i="7"/>
  <c r="E2122" i="7"/>
  <c r="N2122" i="7"/>
  <c r="G2121" i="7"/>
  <c r="F2121" i="7"/>
  <c r="E2121" i="7"/>
  <c r="N2121" i="7"/>
  <c r="G2120" i="7"/>
  <c r="F2120" i="7"/>
  <c r="E2120" i="7"/>
  <c r="N2120" i="7"/>
  <c r="G2119" i="7"/>
  <c r="F2119" i="7"/>
  <c r="E2119" i="7"/>
  <c r="N2119" i="7"/>
  <c r="G2118" i="7"/>
  <c r="F2118" i="7"/>
  <c r="E2118" i="7"/>
  <c r="N2118" i="7"/>
  <c r="G2117" i="7"/>
  <c r="F2117" i="7"/>
  <c r="E2117" i="7"/>
  <c r="N2117" i="7"/>
  <c r="G2116" i="7"/>
  <c r="F2116" i="7"/>
  <c r="E2116" i="7"/>
  <c r="N2116" i="7"/>
  <c r="G2115" i="7"/>
  <c r="F2115" i="7"/>
  <c r="E2115" i="7"/>
  <c r="N2115" i="7"/>
  <c r="G2114" i="7"/>
  <c r="F2114" i="7"/>
  <c r="E2114" i="7"/>
  <c r="N2114" i="7"/>
  <c r="G2113" i="7"/>
  <c r="F2113" i="7"/>
  <c r="E2113" i="7"/>
  <c r="N2113" i="7"/>
  <c r="G2112" i="7"/>
  <c r="F2112" i="7"/>
  <c r="E2112" i="7"/>
  <c r="N2112" i="7"/>
  <c r="G2111" i="7"/>
  <c r="F2111" i="7"/>
  <c r="E2111" i="7"/>
  <c r="N2111" i="7"/>
  <c r="G2110" i="7"/>
  <c r="F2110" i="7"/>
  <c r="E2110" i="7"/>
  <c r="N2110" i="7"/>
  <c r="G2109" i="7"/>
  <c r="F2109" i="7"/>
  <c r="E2109" i="7"/>
  <c r="N2109" i="7"/>
  <c r="G2108" i="7"/>
  <c r="F2108" i="7"/>
  <c r="E2108" i="7"/>
  <c r="N2108" i="7"/>
  <c r="G2107" i="7"/>
  <c r="F2107" i="7"/>
  <c r="E2107" i="7"/>
  <c r="N2107" i="7"/>
  <c r="G2106" i="7"/>
  <c r="F2106" i="7"/>
  <c r="E2106" i="7"/>
  <c r="N2106" i="7"/>
  <c r="G2105" i="7"/>
  <c r="F2105" i="7"/>
  <c r="E2105" i="7"/>
  <c r="N2105" i="7"/>
  <c r="G2104" i="7"/>
  <c r="F2104" i="7"/>
  <c r="E2104" i="7"/>
  <c r="N2104" i="7"/>
  <c r="G2103" i="7"/>
  <c r="F2103" i="7"/>
  <c r="E2103" i="7"/>
  <c r="N2103" i="7"/>
  <c r="G2102" i="7"/>
  <c r="F2102" i="7"/>
  <c r="E2102" i="7"/>
  <c r="N2102" i="7"/>
  <c r="G2101" i="7"/>
  <c r="F2101" i="7"/>
  <c r="E2101" i="7"/>
  <c r="N2101" i="7"/>
  <c r="G2100" i="7"/>
  <c r="F2100" i="7"/>
  <c r="E2100" i="7"/>
  <c r="N2100" i="7"/>
  <c r="G2099" i="7"/>
  <c r="F2099" i="7"/>
  <c r="E2099" i="7"/>
  <c r="N2099" i="7"/>
  <c r="G2098" i="7"/>
  <c r="F2098" i="7"/>
  <c r="E2098" i="7"/>
  <c r="N2098" i="7"/>
  <c r="G2097" i="7"/>
  <c r="F2097" i="7"/>
  <c r="E2097" i="7"/>
  <c r="N2097" i="7"/>
  <c r="G2096" i="7"/>
  <c r="F2096" i="7"/>
  <c r="E2096" i="7"/>
  <c r="N2096" i="7"/>
  <c r="G2095" i="7"/>
  <c r="F2095" i="7"/>
  <c r="E2095" i="7"/>
  <c r="N2095" i="7"/>
  <c r="G2094" i="7"/>
  <c r="F2094" i="7"/>
  <c r="E2094" i="7"/>
  <c r="N2094" i="7"/>
  <c r="G2093" i="7"/>
  <c r="F2093" i="7"/>
  <c r="E2093" i="7"/>
  <c r="N2093" i="7"/>
  <c r="G2092" i="7"/>
  <c r="F2092" i="7"/>
  <c r="E2092" i="7"/>
  <c r="N2092" i="7"/>
  <c r="G2091" i="7"/>
  <c r="F2091" i="7"/>
  <c r="E2091" i="7"/>
  <c r="N2091" i="7"/>
  <c r="G2090" i="7"/>
  <c r="F2090" i="7"/>
  <c r="E2090" i="7"/>
  <c r="N2090" i="7"/>
  <c r="G2089" i="7"/>
  <c r="F2089" i="7"/>
  <c r="E2089" i="7"/>
  <c r="N2089" i="7"/>
  <c r="G2088" i="7"/>
  <c r="F2088" i="7"/>
  <c r="E2088" i="7"/>
  <c r="N2088" i="7"/>
  <c r="G2087" i="7"/>
  <c r="F2087" i="7"/>
  <c r="E2087" i="7"/>
  <c r="N2087" i="7"/>
  <c r="G2086" i="7"/>
  <c r="F2086" i="7"/>
  <c r="E2086" i="7"/>
  <c r="N2086" i="7"/>
  <c r="G2085" i="7"/>
  <c r="F2085" i="7"/>
  <c r="E2085" i="7"/>
  <c r="N2085" i="7"/>
  <c r="G2084" i="7"/>
  <c r="F2084" i="7"/>
  <c r="E2084" i="7"/>
  <c r="N2084" i="7"/>
  <c r="G2083" i="7"/>
  <c r="F2083" i="7"/>
  <c r="E2083" i="7"/>
  <c r="N2083" i="7"/>
  <c r="G2082" i="7"/>
  <c r="F2082" i="7"/>
  <c r="E2082" i="7"/>
  <c r="N2082" i="7"/>
  <c r="G2081" i="7"/>
  <c r="F2081" i="7"/>
  <c r="E2081" i="7"/>
  <c r="N2081" i="7"/>
  <c r="G2080" i="7"/>
  <c r="F2080" i="7"/>
  <c r="E2080" i="7"/>
  <c r="N2080" i="7"/>
  <c r="G2079" i="7"/>
  <c r="F2079" i="7"/>
  <c r="E2079" i="7"/>
  <c r="N2079" i="7"/>
  <c r="G2078" i="7"/>
  <c r="F2078" i="7"/>
  <c r="E2078" i="7"/>
  <c r="N2078" i="7"/>
  <c r="G2077" i="7"/>
  <c r="F2077" i="7"/>
  <c r="E2077" i="7"/>
  <c r="N2077" i="7"/>
  <c r="G2076" i="7"/>
  <c r="F2076" i="7"/>
  <c r="E2076" i="7"/>
  <c r="N2076" i="7"/>
  <c r="G2075" i="7"/>
  <c r="F2075" i="7"/>
  <c r="E2075" i="7"/>
  <c r="N2075" i="7"/>
  <c r="G2074" i="7"/>
  <c r="F2074" i="7"/>
  <c r="E2074" i="7"/>
  <c r="N2074" i="7"/>
  <c r="G2073" i="7"/>
  <c r="F2073" i="7"/>
  <c r="E2073" i="7"/>
  <c r="N2073" i="7"/>
  <c r="G2072" i="7"/>
  <c r="F2072" i="7"/>
  <c r="E2072" i="7"/>
  <c r="N2072" i="7"/>
  <c r="G2071" i="7"/>
  <c r="F2071" i="7"/>
  <c r="E2071" i="7"/>
  <c r="N2071" i="7"/>
  <c r="G2070" i="7"/>
  <c r="F2070" i="7"/>
  <c r="E2070" i="7"/>
  <c r="N2070" i="7"/>
  <c r="G2069" i="7"/>
  <c r="F2069" i="7"/>
  <c r="E2069" i="7"/>
  <c r="N2069" i="7"/>
  <c r="G2068" i="7"/>
  <c r="F2068" i="7"/>
  <c r="E2068" i="7"/>
  <c r="N2068" i="7"/>
  <c r="G2067" i="7"/>
  <c r="F2067" i="7"/>
  <c r="E2067" i="7"/>
  <c r="N2067" i="7"/>
  <c r="G2066" i="7"/>
  <c r="F2066" i="7"/>
  <c r="E2066" i="7"/>
  <c r="N2066" i="7"/>
  <c r="G2065" i="7"/>
  <c r="F2065" i="7"/>
  <c r="E2065" i="7"/>
  <c r="N2065" i="7"/>
  <c r="G2064" i="7"/>
  <c r="F2064" i="7"/>
  <c r="E2064" i="7"/>
  <c r="N2064" i="7"/>
  <c r="G2063" i="7"/>
  <c r="F2063" i="7"/>
  <c r="E2063" i="7"/>
  <c r="N2063" i="7"/>
  <c r="G2062" i="7"/>
  <c r="F2062" i="7"/>
  <c r="E2062" i="7"/>
  <c r="N2062" i="7"/>
  <c r="G2061" i="7"/>
  <c r="F2061" i="7"/>
  <c r="E2061" i="7"/>
  <c r="N2061" i="7"/>
  <c r="G2060" i="7"/>
  <c r="F2060" i="7"/>
  <c r="E2060" i="7"/>
  <c r="N2060" i="7"/>
  <c r="G2059" i="7"/>
  <c r="F2059" i="7"/>
  <c r="E2059" i="7"/>
  <c r="N2059" i="7"/>
  <c r="G2058" i="7"/>
  <c r="F2058" i="7"/>
  <c r="E2058" i="7"/>
  <c r="N2058" i="7"/>
  <c r="G2057" i="7"/>
  <c r="F2057" i="7"/>
  <c r="E2057" i="7"/>
  <c r="N2057" i="7"/>
  <c r="G2056" i="7"/>
  <c r="F2056" i="7"/>
  <c r="E2056" i="7"/>
  <c r="N2056" i="7"/>
  <c r="G2055" i="7"/>
  <c r="F2055" i="7"/>
  <c r="E2055" i="7"/>
  <c r="N2055" i="7"/>
  <c r="G2054" i="7"/>
  <c r="F2054" i="7"/>
  <c r="E2054" i="7"/>
  <c r="N2054" i="7"/>
  <c r="G2053" i="7"/>
  <c r="F2053" i="7"/>
  <c r="E2053" i="7"/>
  <c r="N2053" i="7"/>
  <c r="G2052" i="7"/>
  <c r="F2052" i="7"/>
  <c r="E2052" i="7"/>
  <c r="N2052" i="7"/>
  <c r="G2051" i="7"/>
  <c r="F2051" i="7"/>
  <c r="E2051" i="7"/>
  <c r="N2051" i="7"/>
  <c r="G2050" i="7"/>
  <c r="F2050" i="7"/>
  <c r="E2050" i="7"/>
  <c r="N2050" i="7"/>
  <c r="G2049" i="7"/>
  <c r="F2049" i="7"/>
  <c r="E2049" i="7"/>
  <c r="N2049" i="7"/>
  <c r="G2048" i="7"/>
  <c r="F2048" i="7"/>
  <c r="E2048" i="7"/>
  <c r="N2048" i="7"/>
  <c r="G2047" i="7"/>
  <c r="F2047" i="7"/>
  <c r="E2047" i="7"/>
  <c r="N2047" i="7"/>
  <c r="G2046" i="7"/>
  <c r="F2046" i="7"/>
  <c r="E2046" i="7"/>
  <c r="N2046" i="7"/>
  <c r="G2045" i="7"/>
  <c r="F2045" i="7"/>
  <c r="E2045" i="7"/>
  <c r="N2045" i="7"/>
  <c r="G2044" i="7"/>
  <c r="F2044" i="7"/>
  <c r="E2044" i="7"/>
  <c r="N2044" i="7"/>
  <c r="G2043" i="7"/>
  <c r="F2043" i="7"/>
  <c r="E2043" i="7"/>
  <c r="N2043" i="7"/>
  <c r="G2042" i="7"/>
  <c r="F2042" i="7"/>
  <c r="E2042" i="7"/>
  <c r="N2042" i="7"/>
  <c r="G2041" i="7"/>
  <c r="F2041" i="7"/>
  <c r="E2041" i="7"/>
  <c r="N2041" i="7"/>
  <c r="G2040" i="7"/>
  <c r="F2040" i="7"/>
  <c r="E2040" i="7"/>
  <c r="N2040" i="7"/>
  <c r="G2039" i="7"/>
  <c r="F2039" i="7"/>
  <c r="E2039" i="7"/>
  <c r="N2039" i="7"/>
  <c r="G2038" i="7"/>
  <c r="F2038" i="7"/>
  <c r="E2038" i="7"/>
  <c r="N2038" i="7"/>
  <c r="G2037" i="7"/>
  <c r="F2037" i="7"/>
  <c r="E2037" i="7"/>
  <c r="N2037" i="7"/>
  <c r="G2036" i="7"/>
  <c r="F2036" i="7"/>
  <c r="E2036" i="7"/>
  <c r="N2036" i="7"/>
  <c r="G2035" i="7"/>
  <c r="F2035" i="7"/>
  <c r="E2035" i="7"/>
  <c r="N2035" i="7"/>
  <c r="G2034" i="7"/>
  <c r="F2034" i="7"/>
  <c r="E2034" i="7"/>
  <c r="N2034" i="7"/>
  <c r="G2033" i="7"/>
  <c r="F2033" i="7"/>
  <c r="E2033" i="7"/>
  <c r="N2033" i="7"/>
  <c r="G2032" i="7"/>
  <c r="F2032" i="7"/>
  <c r="E2032" i="7"/>
  <c r="N2032" i="7"/>
  <c r="G2031" i="7"/>
  <c r="F2031" i="7"/>
  <c r="E2031" i="7"/>
  <c r="N2031" i="7"/>
  <c r="G2030" i="7"/>
  <c r="F2030" i="7"/>
  <c r="E2030" i="7"/>
  <c r="N2030" i="7"/>
  <c r="G2029" i="7"/>
  <c r="F2029" i="7"/>
  <c r="E2029" i="7"/>
  <c r="N2029" i="7"/>
  <c r="G2028" i="7"/>
  <c r="F2028" i="7"/>
  <c r="E2028" i="7"/>
  <c r="N2028" i="7"/>
  <c r="G2027" i="7"/>
  <c r="F2027" i="7"/>
  <c r="E2027" i="7"/>
  <c r="N2027" i="7"/>
  <c r="G2026" i="7"/>
  <c r="F2026" i="7"/>
  <c r="E2026" i="7"/>
  <c r="N2026" i="7"/>
  <c r="G2025" i="7"/>
  <c r="F2025" i="7"/>
  <c r="E2025" i="7"/>
  <c r="N2025" i="7"/>
  <c r="G2024" i="7"/>
  <c r="F2024" i="7"/>
  <c r="E2024" i="7"/>
  <c r="N2024" i="7"/>
  <c r="G2023" i="7"/>
  <c r="F2023" i="7"/>
  <c r="E2023" i="7"/>
  <c r="N2023" i="7"/>
  <c r="G2022" i="7"/>
  <c r="F2022" i="7"/>
  <c r="E2022" i="7"/>
  <c r="N2022" i="7"/>
  <c r="G2021" i="7"/>
  <c r="F2021" i="7"/>
  <c r="E2021" i="7"/>
  <c r="N2021" i="7"/>
  <c r="G2020" i="7"/>
  <c r="F2020" i="7"/>
  <c r="E2020" i="7"/>
  <c r="N2020" i="7"/>
  <c r="G2019" i="7"/>
  <c r="F2019" i="7"/>
  <c r="E2019" i="7"/>
  <c r="N2019" i="7"/>
  <c r="G2018" i="7"/>
  <c r="F2018" i="7"/>
  <c r="E2018" i="7"/>
  <c r="N2018" i="7"/>
  <c r="G2017" i="7"/>
  <c r="F2017" i="7"/>
  <c r="E2017" i="7"/>
  <c r="N2017" i="7"/>
  <c r="G2016" i="7"/>
  <c r="F2016" i="7"/>
  <c r="E2016" i="7"/>
  <c r="N2016" i="7"/>
  <c r="G2015" i="7"/>
  <c r="F2015" i="7"/>
  <c r="E2015" i="7"/>
  <c r="N2015" i="7"/>
  <c r="G2014" i="7"/>
  <c r="F2014" i="7"/>
  <c r="E2014" i="7"/>
  <c r="N2014" i="7"/>
  <c r="G2013" i="7"/>
  <c r="F2013" i="7"/>
  <c r="E2013" i="7"/>
  <c r="N2013" i="7"/>
  <c r="G2012" i="7"/>
  <c r="F2012" i="7"/>
  <c r="E2012" i="7"/>
  <c r="N2012" i="7"/>
  <c r="G2011" i="7"/>
  <c r="F2011" i="7"/>
  <c r="E2011" i="7"/>
  <c r="N2011" i="7"/>
  <c r="G2010" i="7"/>
  <c r="F2010" i="7"/>
  <c r="E2010" i="7"/>
  <c r="N2010" i="7"/>
  <c r="G2009" i="7"/>
  <c r="F2009" i="7"/>
  <c r="E2009" i="7"/>
  <c r="N2009" i="7"/>
  <c r="G2008" i="7"/>
  <c r="F2008" i="7"/>
  <c r="E2008" i="7"/>
  <c r="N2008" i="7"/>
  <c r="G2007" i="7"/>
  <c r="F2007" i="7"/>
  <c r="E2007" i="7"/>
  <c r="N2007" i="7"/>
  <c r="G2006" i="7"/>
  <c r="F2006" i="7"/>
  <c r="E2006" i="7"/>
  <c r="N2006" i="7"/>
  <c r="G2005" i="7"/>
  <c r="F2005" i="7"/>
  <c r="E2005" i="7"/>
  <c r="N2005" i="7"/>
  <c r="G2004" i="7"/>
  <c r="F2004" i="7"/>
  <c r="E2004" i="7"/>
  <c r="N2004" i="7"/>
  <c r="G2003" i="7"/>
  <c r="F2003" i="7"/>
  <c r="E2003" i="7"/>
  <c r="N2003" i="7"/>
  <c r="G2002" i="7"/>
  <c r="F2002" i="7"/>
  <c r="E2002" i="7"/>
  <c r="N2002" i="7"/>
  <c r="G2001" i="7"/>
  <c r="F2001" i="7"/>
  <c r="E2001" i="7"/>
  <c r="N2001" i="7"/>
  <c r="G2000" i="7"/>
  <c r="F2000" i="7"/>
  <c r="E2000" i="7"/>
  <c r="N2000" i="7"/>
  <c r="G1999" i="7"/>
  <c r="F1999" i="7"/>
  <c r="E1999" i="7"/>
  <c r="N1999" i="7"/>
  <c r="G1998" i="7"/>
  <c r="F1998" i="7"/>
  <c r="E1998" i="7"/>
  <c r="N1998" i="7"/>
  <c r="G1997" i="7"/>
  <c r="F1997" i="7"/>
  <c r="E1997" i="7"/>
  <c r="N1997" i="7"/>
  <c r="G1996" i="7"/>
  <c r="F1996" i="7"/>
  <c r="E1996" i="7"/>
  <c r="N1996" i="7"/>
  <c r="G1995" i="7"/>
  <c r="F1995" i="7"/>
  <c r="E1995" i="7"/>
  <c r="N1995" i="7"/>
  <c r="G1994" i="7"/>
  <c r="F1994" i="7"/>
  <c r="E1994" i="7"/>
  <c r="N1994" i="7"/>
  <c r="G1993" i="7"/>
  <c r="F1993" i="7"/>
  <c r="E1993" i="7"/>
  <c r="N1993" i="7"/>
  <c r="G1992" i="7"/>
  <c r="F1992" i="7"/>
  <c r="E1992" i="7"/>
  <c r="N1992" i="7"/>
  <c r="G1991" i="7"/>
  <c r="F1991" i="7"/>
  <c r="E1991" i="7"/>
  <c r="N1991" i="7"/>
  <c r="G1990" i="7"/>
  <c r="F1990" i="7"/>
  <c r="E1990" i="7"/>
  <c r="N1990" i="7"/>
  <c r="G1989" i="7"/>
  <c r="F1989" i="7"/>
  <c r="E1989" i="7"/>
  <c r="N1989" i="7"/>
  <c r="G1988" i="7"/>
  <c r="F1988" i="7"/>
  <c r="E1988" i="7"/>
  <c r="N1988" i="7"/>
  <c r="G1987" i="7"/>
  <c r="F1987" i="7"/>
  <c r="E1987" i="7"/>
  <c r="N1987" i="7"/>
  <c r="G1986" i="7"/>
  <c r="F1986" i="7"/>
  <c r="E1986" i="7"/>
  <c r="N1986" i="7"/>
  <c r="G1985" i="7"/>
  <c r="F1985" i="7"/>
  <c r="E1985" i="7"/>
  <c r="N1985" i="7"/>
  <c r="G1984" i="7"/>
  <c r="F1984" i="7"/>
  <c r="E1984" i="7"/>
  <c r="N1984" i="7"/>
  <c r="G1983" i="7"/>
  <c r="F1983" i="7"/>
  <c r="E1983" i="7"/>
  <c r="N1983" i="7"/>
  <c r="G1982" i="7"/>
  <c r="F1982" i="7"/>
  <c r="E1982" i="7"/>
  <c r="N1982" i="7"/>
  <c r="G1981" i="7"/>
  <c r="F1981" i="7"/>
  <c r="E1981" i="7"/>
  <c r="N1981" i="7"/>
  <c r="G1980" i="7"/>
  <c r="F1980" i="7"/>
  <c r="E1980" i="7"/>
  <c r="N1980" i="7"/>
  <c r="G1979" i="7"/>
  <c r="F1979" i="7"/>
  <c r="E1979" i="7"/>
  <c r="N1979" i="7"/>
  <c r="G1978" i="7"/>
  <c r="F1978" i="7"/>
  <c r="E1978" i="7"/>
  <c r="N1978" i="7"/>
  <c r="G1977" i="7"/>
  <c r="F1977" i="7"/>
  <c r="E1977" i="7"/>
  <c r="N1977" i="7"/>
  <c r="G1976" i="7"/>
  <c r="F1976" i="7"/>
  <c r="E1976" i="7"/>
  <c r="N1976" i="7"/>
  <c r="G1975" i="7"/>
  <c r="F1975" i="7"/>
  <c r="E1975" i="7"/>
  <c r="N1975" i="7"/>
  <c r="G1974" i="7"/>
  <c r="F1974" i="7"/>
  <c r="E1974" i="7"/>
  <c r="N1974" i="7"/>
  <c r="G1973" i="7"/>
  <c r="F1973" i="7"/>
  <c r="E1973" i="7"/>
  <c r="N1973" i="7"/>
  <c r="G1972" i="7"/>
  <c r="F1972" i="7"/>
  <c r="E1972" i="7"/>
  <c r="N1972" i="7"/>
  <c r="G1971" i="7"/>
  <c r="F1971" i="7"/>
  <c r="E1971" i="7"/>
  <c r="N1971" i="7"/>
  <c r="G1970" i="7"/>
  <c r="F1970" i="7"/>
  <c r="E1970" i="7"/>
  <c r="N1970" i="7"/>
  <c r="G1969" i="7"/>
  <c r="F1969" i="7"/>
  <c r="E1969" i="7"/>
  <c r="N1969" i="7"/>
  <c r="G1968" i="7"/>
  <c r="F1968" i="7"/>
  <c r="E1968" i="7"/>
  <c r="N1968" i="7"/>
  <c r="G1967" i="7"/>
  <c r="F1967" i="7"/>
  <c r="E1967" i="7"/>
  <c r="N1967" i="7"/>
  <c r="G1966" i="7"/>
  <c r="F1966" i="7"/>
  <c r="E1966" i="7"/>
  <c r="N1966" i="7"/>
  <c r="G1965" i="7"/>
  <c r="F1965" i="7"/>
  <c r="E1965" i="7"/>
  <c r="N1965" i="7"/>
  <c r="G1964" i="7"/>
  <c r="F1964" i="7"/>
  <c r="E1964" i="7"/>
  <c r="N1964" i="7"/>
  <c r="G1963" i="7"/>
  <c r="F1963" i="7"/>
  <c r="E1963" i="7"/>
  <c r="N1963" i="7"/>
  <c r="G1962" i="7"/>
  <c r="F1962" i="7"/>
  <c r="E1962" i="7"/>
  <c r="N1962" i="7"/>
  <c r="G1961" i="7"/>
  <c r="F1961" i="7"/>
  <c r="E1961" i="7"/>
  <c r="N1961" i="7"/>
  <c r="G1960" i="7"/>
  <c r="F1960" i="7"/>
  <c r="E1960" i="7"/>
  <c r="N1960" i="7"/>
  <c r="G1959" i="7"/>
  <c r="F1959" i="7"/>
  <c r="E1959" i="7"/>
  <c r="N1959" i="7"/>
  <c r="G1958" i="7"/>
  <c r="F1958" i="7"/>
  <c r="E1958" i="7"/>
  <c r="N1958" i="7"/>
  <c r="G1957" i="7"/>
  <c r="F1957" i="7"/>
  <c r="E1957" i="7"/>
  <c r="N1957" i="7"/>
  <c r="G1956" i="7"/>
  <c r="F1956" i="7"/>
  <c r="E1956" i="7"/>
  <c r="N1956" i="7"/>
  <c r="G1955" i="7"/>
  <c r="F1955" i="7"/>
  <c r="E1955" i="7"/>
  <c r="N1955" i="7"/>
  <c r="G1954" i="7"/>
  <c r="F1954" i="7"/>
  <c r="E1954" i="7"/>
  <c r="N1954" i="7"/>
  <c r="G1953" i="7"/>
  <c r="F1953" i="7"/>
  <c r="E1953" i="7"/>
  <c r="N1953" i="7"/>
  <c r="G1952" i="7"/>
  <c r="F1952" i="7"/>
  <c r="E1952" i="7"/>
  <c r="N1952" i="7"/>
  <c r="G1951" i="7"/>
  <c r="F1951" i="7"/>
  <c r="E1951" i="7"/>
  <c r="N1951" i="7"/>
  <c r="G1950" i="7"/>
  <c r="F1950" i="7"/>
  <c r="E1950" i="7"/>
  <c r="N1950" i="7"/>
  <c r="G1949" i="7"/>
  <c r="F1949" i="7"/>
  <c r="E1949" i="7"/>
  <c r="N1949" i="7"/>
  <c r="G1948" i="7"/>
  <c r="F1948" i="7"/>
  <c r="E1948" i="7"/>
  <c r="N1948" i="7"/>
  <c r="G1947" i="7"/>
  <c r="F1947" i="7"/>
  <c r="E1947" i="7"/>
  <c r="N1947" i="7"/>
  <c r="G1946" i="7"/>
  <c r="F1946" i="7"/>
  <c r="E1946" i="7"/>
  <c r="N1946" i="7"/>
  <c r="G1945" i="7"/>
  <c r="F1945" i="7"/>
  <c r="E1945" i="7"/>
  <c r="N1945" i="7"/>
  <c r="G1944" i="7"/>
  <c r="F1944" i="7"/>
  <c r="E1944" i="7"/>
  <c r="N1944" i="7"/>
  <c r="G1943" i="7"/>
  <c r="F1943" i="7"/>
  <c r="E1943" i="7"/>
  <c r="N1943" i="7"/>
  <c r="G1942" i="7"/>
  <c r="F1942" i="7"/>
  <c r="E1942" i="7"/>
  <c r="N1942" i="7"/>
  <c r="G1941" i="7"/>
  <c r="F1941" i="7"/>
  <c r="E1941" i="7"/>
  <c r="N1941" i="7"/>
  <c r="G1940" i="7"/>
  <c r="F1940" i="7"/>
  <c r="E1940" i="7"/>
  <c r="N1940" i="7"/>
  <c r="G1939" i="7"/>
  <c r="F1939" i="7"/>
  <c r="E1939" i="7"/>
  <c r="N1939" i="7"/>
  <c r="G1938" i="7"/>
  <c r="F1938" i="7"/>
  <c r="E1938" i="7"/>
  <c r="N1938" i="7"/>
  <c r="G1937" i="7"/>
  <c r="F1937" i="7"/>
  <c r="E1937" i="7"/>
  <c r="N1937" i="7"/>
  <c r="G1936" i="7"/>
  <c r="F1936" i="7"/>
  <c r="E1936" i="7"/>
  <c r="N1936" i="7"/>
  <c r="G1935" i="7"/>
  <c r="F1935" i="7"/>
  <c r="E1935" i="7"/>
  <c r="N1935" i="7"/>
  <c r="G1934" i="7"/>
  <c r="F1934" i="7"/>
  <c r="E1934" i="7"/>
  <c r="N1934" i="7"/>
  <c r="G1933" i="7"/>
  <c r="F1933" i="7"/>
  <c r="E1933" i="7"/>
  <c r="N1933" i="7"/>
  <c r="G1932" i="7"/>
  <c r="F1932" i="7"/>
  <c r="E1932" i="7"/>
  <c r="N1932" i="7"/>
  <c r="G1931" i="7"/>
  <c r="F1931" i="7"/>
  <c r="E1931" i="7"/>
  <c r="N1931" i="7"/>
  <c r="G1930" i="7"/>
  <c r="F1930" i="7"/>
  <c r="E1930" i="7"/>
  <c r="N1930" i="7"/>
  <c r="G1929" i="7"/>
  <c r="F1929" i="7"/>
  <c r="E1929" i="7"/>
  <c r="N1929" i="7"/>
  <c r="G1928" i="7"/>
  <c r="F1928" i="7"/>
  <c r="E1928" i="7"/>
  <c r="N1928" i="7"/>
  <c r="G1927" i="7"/>
  <c r="F1927" i="7"/>
  <c r="E1927" i="7"/>
  <c r="N1927" i="7"/>
  <c r="G1926" i="7"/>
  <c r="F1926" i="7"/>
  <c r="E1926" i="7"/>
  <c r="N1926" i="7"/>
  <c r="G1925" i="7"/>
  <c r="F1925" i="7"/>
  <c r="E1925" i="7"/>
  <c r="N1925" i="7"/>
  <c r="G1924" i="7"/>
  <c r="F1924" i="7"/>
  <c r="E1924" i="7"/>
  <c r="N1924" i="7"/>
  <c r="G1923" i="7"/>
  <c r="F1923" i="7"/>
  <c r="E1923" i="7"/>
  <c r="N1923" i="7"/>
  <c r="G1922" i="7"/>
  <c r="F1922" i="7"/>
  <c r="E1922" i="7"/>
  <c r="N1922" i="7"/>
  <c r="G1921" i="7"/>
  <c r="F1921" i="7"/>
  <c r="E1921" i="7"/>
  <c r="N1921" i="7"/>
  <c r="G1920" i="7"/>
  <c r="F1920" i="7"/>
  <c r="E1920" i="7"/>
  <c r="N1920" i="7"/>
  <c r="G1919" i="7"/>
  <c r="F1919" i="7"/>
  <c r="E1919" i="7"/>
  <c r="N1919" i="7"/>
  <c r="G1918" i="7"/>
  <c r="F1918" i="7"/>
  <c r="E1918" i="7"/>
  <c r="N1918" i="7"/>
  <c r="G1917" i="7"/>
  <c r="F1917" i="7"/>
  <c r="E1917" i="7"/>
  <c r="N1917" i="7"/>
  <c r="G1916" i="7"/>
  <c r="F1916" i="7"/>
  <c r="E1916" i="7"/>
  <c r="N1916" i="7"/>
  <c r="G1915" i="7"/>
  <c r="F1915" i="7"/>
  <c r="E1915" i="7"/>
  <c r="N1915" i="7"/>
  <c r="G1914" i="7"/>
  <c r="F1914" i="7"/>
  <c r="E1914" i="7"/>
  <c r="N1914" i="7"/>
  <c r="G1913" i="7"/>
  <c r="F1913" i="7"/>
  <c r="E1913" i="7"/>
  <c r="N1913" i="7"/>
  <c r="G1912" i="7"/>
  <c r="F1912" i="7"/>
  <c r="E1912" i="7"/>
  <c r="N1912" i="7"/>
  <c r="G1911" i="7"/>
  <c r="F1911" i="7"/>
  <c r="E1911" i="7"/>
  <c r="N1911" i="7"/>
  <c r="G1910" i="7"/>
  <c r="F1910" i="7"/>
  <c r="E1910" i="7"/>
  <c r="N1910" i="7"/>
  <c r="G1909" i="7"/>
  <c r="F1909" i="7"/>
  <c r="E1909" i="7"/>
  <c r="N1909" i="7"/>
  <c r="G1908" i="7"/>
  <c r="F1908" i="7"/>
  <c r="E1908" i="7"/>
  <c r="N1908" i="7"/>
  <c r="G1907" i="7"/>
  <c r="F1907" i="7"/>
  <c r="E1907" i="7"/>
  <c r="N1907" i="7"/>
  <c r="G1906" i="7"/>
  <c r="F1906" i="7"/>
  <c r="E1906" i="7"/>
  <c r="N1906" i="7"/>
  <c r="G1905" i="7"/>
  <c r="F1905" i="7"/>
  <c r="E1905" i="7"/>
  <c r="N1905" i="7"/>
  <c r="G1904" i="7"/>
  <c r="F1904" i="7"/>
  <c r="E1904" i="7"/>
  <c r="N1904" i="7"/>
  <c r="G1903" i="7"/>
  <c r="F1903" i="7"/>
  <c r="E1903" i="7"/>
  <c r="N1903" i="7"/>
  <c r="G1902" i="7"/>
  <c r="F1902" i="7"/>
  <c r="E1902" i="7"/>
  <c r="N1902" i="7"/>
  <c r="G1901" i="7"/>
  <c r="F1901" i="7"/>
  <c r="E1901" i="7"/>
  <c r="N1901" i="7"/>
  <c r="G1900" i="7"/>
  <c r="F1900" i="7"/>
  <c r="E1900" i="7"/>
  <c r="N1900" i="7"/>
  <c r="G1899" i="7"/>
  <c r="F1899" i="7"/>
  <c r="E1899" i="7"/>
  <c r="N1899" i="7"/>
  <c r="G1898" i="7"/>
  <c r="F1898" i="7"/>
  <c r="E1898" i="7"/>
  <c r="N1898" i="7"/>
  <c r="G1897" i="7"/>
  <c r="F1897" i="7"/>
  <c r="E1897" i="7"/>
  <c r="N1897" i="7"/>
  <c r="G1896" i="7"/>
  <c r="F1896" i="7"/>
  <c r="E1896" i="7"/>
  <c r="N1896" i="7"/>
  <c r="G1895" i="7"/>
  <c r="F1895" i="7"/>
  <c r="E1895" i="7"/>
  <c r="N1895" i="7"/>
  <c r="G1894" i="7"/>
  <c r="F1894" i="7"/>
  <c r="E1894" i="7"/>
  <c r="N1894" i="7"/>
  <c r="G1893" i="7"/>
  <c r="F1893" i="7"/>
  <c r="E1893" i="7"/>
  <c r="N1893" i="7"/>
  <c r="G1892" i="7"/>
  <c r="F1892" i="7"/>
  <c r="E1892" i="7"/>
  <c r="N1892" i="7"/>
  <c r="G1891" i="7"/>
  <c r="F1891" i="7"/>
  <c r="E1891" i="7"/>
  <c r="N1891" i="7"/>
  <c r="G1890" i="7"/>
  <c r="F1890" i="7"/>
  <c r="E1890" i="7"/>
  <c r="N1890" i="7"/>
  <c r="G1889" i="7"/>
  <c r="F1889" i="7"/>
  <c r="E1889" i="7"/>
  <c r="N1889" i="7"/>
  <c r="G1888" i="7"/>
  <c r="F1888" i="7"/>
  <c r="E1888" i="7"/>
  <c r="N1888" i="7"/>
  <c r="G1887" i="7"/>
  <c r="F1887" i="7"/>
  <c r="E1887" i="7"/>
  <c r="N1887" i="7"/>
  <c r="G1886" i="7"/>
  <c r="F1886" i="7"/>
  <c r="E1886" i="7"/>
  <c r="N1886" i="7"/>
  <c r="G1885" i="7"/>
  <c r="F1885" i="7"/>
  <c r="E1885" i="7"/>
  <c r="N1885" i="7"/>
  <c r="G1884" i="7"/>
  <c r="F1884" i="7"/>
  <c r="E1884" i="7"/>
  <c r="N1884" i="7"/>
  <c r="G1883" i="7"/>
  <c r="F1883" i="7"/>
  <c r="E1883" i="7"/>
  <c r="N1883" i="7"/>
  <c r="G1882" i="7"/>
  <c r="F1882" i="7"/>
  <c r="E1882" i="7"/>
  <c r="N1882" i="7"/>
  <c r="G1881" i="7"/>
  <c r="F1881" i="7"/>
  <c r="E1881" i="7"/>
  <c r="N1881" i="7"/>
  <c r="G1880" i="7"/>
  <c r="F1880" i="7"/>
  <c r="E1880" i="7"/>
  <c r="N1880" i="7"/>
  <c r="G1879" i="7"/>
  <c r="F1879" i="7"/>
  <c r="E1879" i="7"/>
  <c r="N1879" i="7"/>
  <c r="G1878" i="7"/>
  <c r="F1878" i="7"/>
  <c r="E1878" i="7"/>
  <c r="N1878" i="7"/>
  <c r="G1877" i="7"/>
  <c r="F1877" i="7"/>
  <c r="E1877" i="7"/>
  <c r="N1877" i="7"/>
  <c r="G1876" i="7"/>
  <c r="F1876" i="7"/>
  <c r="E1876" i="7"/>
  <c r="N1876" i="7"/>
  <c r="G1875" i="7"/>
  <c r="F1875" i="7"/>
  <c r="E1875" i="7"/>
  <c r="N1875" i="7"/>
  <c r="G1874" i="7"/>
  <c r="F1874" i="7"/>
  <c r="E1874" i="7"/>
  <c r="N1874" i="7"/>
  <c r="G1873" i="7"/>
  <c r="F1873" i="7"/>
  <c r="E1873" i="7"/>
  <c r="N1873" i="7"/>
  <c r="G1872" i="7"/>
  <c r="F1872" i="7"/>
  <c r="E1872" i="7"/>
  <c r="N1872" i="7"/>
  <c r="G1871" i="7"/>
  <c r="F1871" i="7"/>
  <c r="E1871" i="7"/>
  <c r="N1871" i="7"/>
  <c r="G1870" i="7"/>
  <c r="F1870" i="7"/>
  <c r="E1870" i="7"/>
  <c r="N1870" i="7"/>
  <c r="G1869" i="7"/>
  <c r="F1869" i="7"/>
  <c r="E1869" i="7"/>
  <c r="N1869" i="7"/>
  <c r="G1868" i="7"/>
  <c r="F1868" i="7"/>
  <c r="E1868" i="7"/>
  <c r="N1868" i="7"/>
  <c r="G1867" i="7"/>
  <c r="F1867" i="7"/>
  <c r="E1867" i="7"/>
  <c r="N1867" i="7"/>
  <c r="G1866" i="7"/>
  <c r="F1866" i="7"/>
  <c r="E1866" i="7"/>
  <c r="N1866" i="7"/>
  <c r="G1865" i="7"/>
  <c r="F1865" i="7"/>
  <c r="E1865" i="7"/>
  <c r="N1865" i="7"/>
  <c r="G1864" i="7"/>
  <c r="F1864" i="7"/>
  <c r="E1864" i="7"/>
  <c r="N1864" i="7"/>
  <c r="G1863" i="7"/>
  <c r="F1863" i="7"/>
  <c r="E1863" i="7"/>
  <c r="N1863" i="7"/>
  <c r="G1862" i="7"/>
  <c r="F1862" i="7"/>
  <c r="E1862" i="7"/>
  <c r="N1862" i="7"/>
  <c r="G1861" i="7"/>
  <c r="F1861" i="7"/>
  <c r="E1861" i="7"/>
  <c r="N1861" i="7"/>
  <c r="G1860" i="7"/>
  <c r="F1860" i="7"/>
  <c r="E1860" i="7"/>
  <c r="N1860" i="7"/>
  <c r="G1859" i="7"/>
  <c r="F1859" i="7"/>
  <c r="E1859" i="7"/>
  <c r="N1859" i="7"/>
  <c r="G1858" i="7"/>
  <c r="F1858" i="7"/>
  <c r="E1858" i="7"/>
  <c r="N1858" i="7"/>
  <c r="G1857" i="7"/>
  <c r="F1857" i="7"/>
  <c r="E1857" i="7"/>
  <c r="N1857" i="7"/>
  <c r="G1856" i="7"/>
  <c r="F1856" i="7"/>
  <c r="E1856" i="7"/>
  <c r="N1856" i="7"/>
  <c r="G1855" i="7"/>
  <c r="F1855" i="7"/>
  <c r="E1855" i="7"/>
  <c r="N1855" i="7"/>
  <c r="G1854" i="7"/>
  <c r="F1854" i="7"/>
  <c r="E1854" i="7"/>
  <c r="N1854" i="7"/>
  <c r="G1853" i="7"/>
  <c r="F1853" i="7"/>
  <c r="E1853" i="7"/>
  <c r="N1853" i="7"/>
  <c r="G1852" i="7"/>
  <c r="F1852" i="7"/>
  <c r="E1852" i="7"/>
  <c r="N1852" i="7"/>
  <c r="G1851" i="7"/>
  <c r="F1851" i="7"/>
  <c r="E1851" i="7"/>
  <c r="N1851" i="7"/>
  <c r="G1850" i="7"/>
  <c r="F1850" i="7"/>
  <c r="E1850" i="7"/>
  <c r="N1850" i="7"/>
  <c r="G1849" i="7"/>
  <c r="F1849" i="7"/>
  <c r="E1849" i="7"/>
  <c r="N1849" i="7"/>
  <c r="G1848" i="7"/>
  <c r="F1848" i="7"/>
  <c r="E1848" i="7"/>
  <c r="N1848" i="7"/>
  <c r="G1847" i="7"/>
  <c r="F1847" i="7"/>
  <c r="E1847" i="7"/>
  <c r="N1847" i="7"/>
  <c r="G1846" i="7"/>
  <c r="F1846" i="7"/>
  <c r="E1846" i="7"/>
  <c r="N1846" i="7"/>
  <c r="G1845" i="7"/>
  <c r="F1845" i="7"/>
  <c r="E1845" i="7"/>
  <c r="N1845" i="7"/>
  <c r="G1844" i="7"/>
  <c r="F1844" i="7"/>
  <c r="E1844" i="7"/>
  <c r="N1844" i="7"/>
  <c r="G1843" i="7"/>
  <c r="F1843" i="7"/>
  <c r="E1843" i="7"/>
  <c r="N1843" i="7"/>
  <c r="G1842" i="7"/>
  <c r="F1842" i="7"/>
  <c r="E1842" i="7"/>
  <c r="N1842" i="7"/>
  <c r="G1841" i="7"/>
  <c r="F1841" i="7"/>
  <c r="E1841" i="7"/>
  <c r="N1841" i="7"/>
  <c r="G1840" i="7"/>
  <c r="F1840" i="7"/>
  <c r="E1840" i="7"/>
  <c r="N1840" i="7"/>
  <c r="G1839" i="7"/>
  <c r="F1839" i="7"/>
  <c r="E1839" i="7"/>
  <c r="N1839" i="7"/>
  <c r="G1838" i="7"/>
  <c r="F1838" i="7"/>
  <c r="E1838" i="7"/>
  <c r="N1838" i="7"/>
  <c r="G1837" i="7"/>
  <c r="F1837" i="7"/>
  <c r="E1837" i="7"/>
  <c r="N1837" i="7"/>
  <c r="G1836" i="7"/>
  <c r="F1836" i="7"/>
  <c r="E1836" i="7"/>
  <c r="N1836" i="7"/>
  <c r="G1835" i="7"/>
  <c r="F1835" i="7"/>
  <c r="E1835" i="7"/>
  <c r="N1835" i="7"/>
  <c r="G1834" i="7"/>
  <c r="F1834" i="7"/>
  <c r="E1834" i="7"/>
  <c r="N1834" i="7"/>
  <c r="G1833" i="7"/>
  <c r="F1833" i="7"/>
  <c r="E1833" i="7"/>
  <c r="N1833" i="7"/>
  <c r="G1832" i="7"/>
  <c r="F1832" i="7"/>
  <c r="E1832" i="7"/>
  <c r="N1832" i="7"/>
  <c r="G1831" i="7"/>
  <c r="F1831" i="7"/>
  <c r="E1831" i="7"/>
  <c r="N1831" i="7"/>
  <c r="G1830" i="7"/>
  <c r="F1830" i="7"/>
  <c r="E1830" i="7"/>
  <c r="N1830" i="7"/>
  <c r="G1829" i="7"/>
  <c r="F1829" i="7"/>
  <c r="E1829" i="7"/>
  <c r="N1829" i="7"/>
  <c r="G1828" i="7"/>
  <c r="F1828" i="7"/>
  <c r="E1828" i="7"/>
  <c r="N1828" i="7"/>
  <c r="G1827" i="7"/>
  <c r="F1827" i="7"/>
  <c r="E1827" i="7"/>
  <c r="N1827" i="7"/>
  <c r="G1826" i="7"/>
  <c r="F1826" i="7"/>
  <c r="E1826" i="7"/>
  <c r="N1826" i="7"/>
  <c r="G1825" i="7"/>
  <c r="F1825" i="7"/>
  <c r="E1825" i="7"/>
  <c r="N1825" i="7"/>
  <c r="G1824" i="7"/>
  <c r="F1824" i="7"/>
  <c r="E1824" i="7"/>
  <c r="N1824" i="7"/>
  <c r="G1823" i="7"/>
  <c r="F1823" i="7"/>
  <c r="E1823" i="7"/>
  <c r="N1823" i="7"/>
  <c r="G1822" i="7"/>
  <c r="F1822" i="7"/>
  <c r="E1822" i="7"/>
  <c r="N1822" i="7"/>
  <c r="G1821" i="7"/>
  <c r="F1821" i="7"/>
  <c r="E1821" i="7"/>
  <c r="N1821" i="7"/>
  <c r="G1820" i="7"/>
  <c r="F1820" i="7"/>
  <c r="E1820" i="7"/>
  <c r="N1820" i="7"/>
  <c r="G1819" i="7"/>
  <c r="F1819" i="7"/>
  <c r="E1819" i="7"/>
  <c r="N1819" i="7"/>
  <c r="G1818" i="7"/>
  <c r="F1818" i="7"/>
  <c r="E1818" i="7"/>
  <c r="N1818" i="7"/>
  <c r="G1817" i="7"/>
  <c r="F1817" i="7"/>
  <c r="E1817" i="7"/>
  <c r="N1817" i="7"/>
  <c r="G1816" i="7"/>
  <c r="F1816" i="7"/>
  <c r="E1816" i="7"/>
  <c r="N1816" i="7"/>
  <c r="G1815" i="7"/>
  <c r="F1815" i="7"/>
  <c r="E1815" i="7"/>
  <c r="N1815" i="7"/>
  <c r="G1814" i="7"/>
  <c r="F1814" i="7"/>
  <c r="E1814" i="7"/>
  <c r="N1814" i="7"/>
  <c r="G1813" i="7"/>
  <c r="F1813" i="7"/>
  <c r="E1813" i="7"/>
  <c r="N1813" i="7"/>
  <c r="G1812" i="7"/>
  <c r="F1812" i="7"/>
  <c r="E1812" i="7"/>
  <c r="N1812" i="7"/>
  <c r="G1811" i="7"/>
  <c r="F1811" i="7"/>
  <c r="E1811" i="7"/>
  <c r="N1811" i="7"/>
  <c r="G1810" i="7"/>
  <c r="F1810" i="7"/>
  <c r="E1810" i="7"/>
  <c r="N1810" i="7"/>
  <c r="G1809" i="7"/>
  <c r="F1809" i="7"/>
  <c r="E1809" i="7"/>
  <c r="N1809" i="7"/>
  <c r="G1808" i="7"/>
  <c r="F1808" i="7"/>
  <c r="E1808" i="7"/>
  <c r="N1808" i="7"/>
  <c r="G1807" i="7"/>
  <c r="F1807" i="7"/>
  <c r="E1807" i="7"/>
  <c r="N1807" i="7"/>
  <c r="G1806" i="7"/>
  <c r="F1806" i="7"/>
  <c r="E1806" i="7"/>
  <c r="N1806" i="7"/>
  <c r="G1805" i="7"/>
  <c r="F1805" i="7"/>
  <c r="E1805" i="7"/>
  <c r="N1805" i="7"/>
  <c r="G1804" i="7"/>
  <c r="F1804" i="7"/>
  <c r="E1804" i="7"/>
  <c r="N1804" i="7"/>
  <c r="G1803" i="7"/>
  <c r="F1803" i="7"/>
  <c r="E1803" i="7"/>
  <c r="N1803" i="7"/>
  <c r="G1802" i="7"/>
  <c r="F1802" i="7"/>
  <c r="E1802" i="7"/>
  <c r="N1802" i="7"/>
  <c r="G1801" i="7"/>
  <c r="F1801" i="7"/>
  <c r="E1801" i="7"/>
  <c r="N1801" i="7"/>
  <c r="G1800" i="7"/>
  <c r="F1800" i="7"/>
  <c r="E1800" i="7"/>
  <c r="N1800" i="7"/>
  <c r="G1799" i="7"/>
  <c r="F1799" i="7"/>
  <c r="E1799" i="7"/>
  <c r="N1799" i="7"/>
  <c r="G1798" i="7"/>
  <c r="F1798" i="7"/>
  <c r="E1798" i="7"/>
  <c r="N1798" i="7"/>
  <c r="G1797" i="7"/>
  <c r="F1797" i="7"/>
  <c r="E1797" i="7"/>
  <c r="N1797" i="7"/>
  <c r="G1796" i="7"/>
  <c r="F1796" i="7"/>
  <c r="E1796" i="7"/>
  <c r="N1796" i="7"/>
  <c r="G1795" i="7"/>
  <c r="F1795" i="7"/>
  <c r="E1795" i="7"/>
  <c r="N1795" i="7"/>
  <c r="G1794" i="7"/>
  <c r="F1794" i="7"/>
  <c r="E1794" i="7"/>
  <c r="N1794" i="7"/>
  <c r="G1793" i="7"/>
  <c r="F1793" i="7"/>
  <c r="E1793" i="7"/>
  <c r="N1793" i="7"/>
  <c r="G1792" i="7"/>
  <c r="F1792" i="7"/>
  <c r="E1792" i="7"/>
  <c r="N1792" i="7"/>
  <c r="G1791" i="7"/>
  <c r="F1791" i="7"/>
  <c r="E1791" i="7"/>
  <c r="N1791" i="7"/>
  <c r="G1790" i="7"/>
  <c r="F1790" i="7"/>
  <c r="E1790" i="7"/>
  <c r="N1790" i="7"/>
  <c r="G1789" i="7"/>
  <c r="F1789" i="7"/>
  <c r="E1789" i="7"/>
  <c r="N1789" i="7"/>
  <c r="G1788" i="7"/>
  <c r="F1788" i="7"/>
  <c r="E1788" i="7"/>
  <c r="N1788" i="7"/>
  <c r="G1787" i="7"/>
  <c r="F1787" i="7"/>
  <c r="E1787" i="7"/>
  <c r="N1787" i="7"/>
  <c r="G1786" i="7"/>
  <c r="F1786" i="7"/>
  <c r="E1786" i="7"/>
  <c r="N1786" i="7"/>
  <c r="G1785" i="7"/>
  <c r="F1785" i="7"/>
  <c r="E1785" i="7"/>
  <c r="N1785" i="7"/>
  <c r="G1784" i="7"/>
  <c r="F1784" i="7"/>
  <c r="E1784" i="7"/>
  <c r="N1784" i="7"/>
  <c r="G1783" i="7"/>
  <c r="F1783" i="7"/>
  <c r="E1783" i="7"/>
  <c r="N1783" i="7"/>
  <c r="G1782" i="7"/>
  <c r="F1782" i="7"/>
  <c r="E1782" i="7"/>
  <c r="N1782" i="7"/>
  <c r="G1781" i="7"/>
  <c r="F1781" i="7"/>
  <c r="E1781" i="7"/>
  <c r="N1781" i="7"/>
  <c r="G1780" i="7"/>
  <c r="F1780" i="7"/>
  <c r="E1780" i="7"/>
  <c r="N1780" i="7"/>
  <c r="G1779" i="7"/>
  <c r="F1779" i="7"/>
  <c r="E1779" i="7"/>
  <c r="N1779" i="7"/>
  <c r="G1778" i="7"/>
  <c r="F1778" i="7"/>
  <c r="E1778" i="7"/>
  <c r="N1778" i="7"/>
  <c r="G1777" i="7"/>
  <c r="F1777" i="7"/>
  <c r="E1777" i="7"/>
  <c r="N1777" i="7"/>
  <c r="G1776" i="7"/>
  <c r="F1776" i="7"/>
  <c r="E1776" i="7"/>
  <c r="N1776" i="7"/>
  <c r="G1775" i="7"/>
  <c r="F1775" i="7"/>
  <c r="E1775" i="7"/>
  <c r="N1775" i="7"/>
  <c r="G1774" i="7"/>
  <c r="F1774" i="7"/>
  <c r="E1774" i="7"/>
  <c r="N1774" i="7"/>
  <c r="G1773" i="7"/>
  <c r="F1773" i="7"/>
  <c r="E1773" i="7"/>
  <c r="N1773" i="7"/>
  <c r="G1772" i="7"/>
  <c r="F1772" i="7"/>
  <c r="E1772" i="7"/>
  <c r="N1772" i="7"/>
  <c r="G1771" i="7"/>
  <c r="F1771" i="7"/>
  <c r="E1771" i="7"/>
  <c r="N1771" i="7"/>
  <c r="G1770" i="7"/>
  <c r="F1770" i="7"/>
  <c r="E1770" i="7"/>
  <c r="N1770" i="7"/>
  <c r="G1769" i="7"/>
  <c r="F1769" i="7"/>
  <c r="E1769" i="7"/>
  <c r="N1769" i="7"/>
  <c r="G1768" i="7"/>
  <c r="F1768" i="7"/>
  <c r="E1768" i="7"/>
  <c r="N1768" i="7"/>
  <c r="G1767" i="7"/>
  <c r="F1767" i="7"/>
  <c r="E1767" i="7"/>
  <c r="N1767" i="7"/>
  <c r="G1766" i="7"/>
  <c r="F1766" i="7"/>
  <c r="E1766" i="7"/>
  <c r="N1766" i="7"/>
  <c r="G1765" i="7"/>
  <c r="F1765" i="7"/>
  <c r="E1765" i="7"/>
  <c r="N1765" i="7"/>
  <c r="G1764" i="7"/>
  <c r="F1764" i="7"/>
  <c r="E1764" i="7"/>
  <c r="N1764" i="7"/>
  <c r="G1763" i="7"/>
  <c r="F1763" i="7"/>
  <c r="E1763" i="7"/>
  <c r="N1763" i="7"/>
  <c r="G1762" i="7"/>
  <c r="F1762" i="7"/>
  <c r="E1762" i="7"/>
  <c r="N1762" i="7"/>
  <c r="G1761" i="7"/>
  <c r="F1761" i="7"/>
  <c r="E1761" i="7"/>
  <c r="N1761" i="7"/>
  <c r="G1760" i="7"/>
  <c r="F1760" i="7"/>
  <c r="E1760" i="7"/>
  <c r="N1760" i="7"/>
  <c r="G1759" i="7"/>
  <c r="F1759" i="7"/>
  <c r="E1759" i="7"/>
  <c r="N1759" i="7"/>
  <c r="G1758" i="7"/>
  <c r="F1758" i="7"/>
  <c r="E1758" i="7"/>
  <c r="N1758" i="7"/>
  <c r="G1757" i="7"/>
  <c r="F1757" i="7"/>
  <c r="E1757" i="7"/>
  <c r="N1757" i="7"/>
  <c r="G1756" i="7"/>
  <c r="F1756" i="7"/>
  <c r="E1756" i="7"/>
  <c r="N1756" i="7"/>
  <c r="G1755" i="7"/>
  <c r="F1755" i="7"/>
  <c r="E1755" i="7"/>
  <c r="N1755" i="7"/>
  <c r="G1754" i="7"/>
  <c r="F1754" i="7"/>
  <c r="E1754" i="7"/>
  <c r="N1754" i="7"/>
  <c r="G1753" i="7"/>
  <c r="F1753" i="7"/>
  <c r="E1753" i="7"/>
  <c r="N1753" i="7"/>
  <c r="G1752" i="7"/>
  <c r="F1752" i="7"/>
  <c r="E1752" i="7"/>
  <c r="N1752" i="7"/>
  <c r="G1751" i="7"/>
  <c r="F1751" i="7"/>
  <c r="E1751" i="7"/>
  <c r="N1751" i="7"/>
  <c r="G1750" i="7"/>
  <c r="F1750" i="7"/>
  <c r="E1750" i="7"/>
  <c r="N1750" i="7"/>
  <c r="G1749" i="7"/>
  <c r="F1749" i="7"/>
  <c r="E1749" i="7"/>
  <c r="N1749" i="7"/>
  <c r="G1748" i="7"/>
  <c r="F1748" i="7"/>
  <c r="E1748" i="7"/>
  <c r="N1748" i="7"/>
  <c r="G1747" i="7"/>
  <c r="F1747" i="7"/>
  <c r="E1747" i="7"/>
  <c r="N1747" i="7"/>
  <c r="G1746" i="7"/>
  <c r="F1746" i="7"/>
  <c r="E1746" i="7"/>
  <c r="N1746" i="7"/>
  <c r="G1745" i="7"/>
  <c r="F1745" i="7"/>
  <c r="E1745" i="7"/>
  <c r="N1745" i="7"/>
  <c r="G1744" i="7"/>
  <c r="F1744" i="7"/>
  <c r="E1744" i="7"/>
  <c r="N1744" i="7"/>
  <c r="G1743" i="7"/>
  <c r="F1743" i="7"/>
  <c r="E1743" i="7"/>
  <c r="N1743" i="7"/>
  <c r="G1742" i="7"/>
  <c r="F1742" i="7"/>
  <c r="E1742" i="7"/>
  <c r="N1742" i="7"/>
  <c r="G1741" i="7"/>
  <c r="F1741" i="7"/>
  <c r="E1741" i="7"/>
  <c r="N1741" i="7"/>
  <c r="G1740" i="7"/>
  <c r="F1740" i="7"/>
  <c r="E1740" i="7"/>
  <c r="N1740" i="7"/>
  <c r="G1739" i="7"/>
  <c r="F1739" i="7"/>
  <c r="E1739" i="7"/>
  <c r="N1739" i="7"/>
  <c r="G1738" i="7"/>
  <c r="F1738" i="7"/>
  <c r="E1738" i="7"/>
  <c r="N1738" i="7"/>
  <c r="G1737" i="7"/>
  <c r="F1737" i="7"/>
  <c r="E1737" i="7"/>
  <c r="N1737" i="7"/>
  <c r="G1736" i="7"/>
  <c r="F1736" i="7"/>
  <c r="E1736" i="7"/>
  <c r="N1736" i="7"/>
  <c r="G1735" i="7"/>
  <c r="F1735" i="7"/>
  <c r="E1735" i="7"/>
  <c r="N1735" i="7"/>
  <c r="G1734" i="7"/>
  <c r="F1734" i="7"/>
  <c r="E1734" i="7"/>
  <c r="N1734" i="7"/>
  <c r="G1733" i="7"/>
  <c r="F1733" i="7"/>
  <c r="E1733" i="7"/>
  <c r="N1733" i="7"/>
  <c r="G1732" i="7"/>
  <c r="F1732" i="7"/>
  <c r="E1732" i="7"/>
  <c r="N1732" i="7"/>
  <c r="G1731" i="7"/>
  <c r="F1731" i="7"/>
  <c r="E1731" i="7"/>
  <c r="N1731" i="7"/>
  <c r="G1730" i="7"/>
  <c r="F1730" i="7"/>
  <c r="E1730" i="7"/>
  <c r="N1730" i="7"/>
  <c r="G1729" i="7"/>
  <c r="F1729" i="7"/>
  <c r="E1729" i="7"/>
  <c r="N1729" i="7"/>
  <c r="G1728" i="7"/>
  <c r="F1728" i="7"/>
  <c r="E1728" i="7"/>
  <c r="N1728" i="7"/>
  <c r="G1727" i="7"/>
  <c r="F1727" i="7"/>
  <c r="E1727" i="7"/>
  <c r="N1727" i="7"/>
  <c r="G1726" i="7"/>
  <c r="F1726" i="7"/>
  <c r="E1726" i="7"/>
  <c r="N1726" i="7"/>
  <c r="G1725" i="7"/>
  <c r="F1725" i="7"/>
  <c r="E1725" i="7"/>
  <c r="N1725" i="7"/>
  <c r="G1724" i="7"/>
  <c r="F1724" i="7"/>
  <c r="E1724" i="7"/>
  <c r="N1724" i="7"/>
  <c r="G1723" i="7"/>
  <c r="F1723" i="7"/>
  <c r="E1723" i="7"/>
  <c r="N1723" i="7"/>
  <c r="G1722" i="7"/>
  <c r="F1722" i="7"/>
  <c r="E1722" i="7"/>
  <c r="N1722" i="7"/>
  <c r="G1721" i="7"/>
  <c r="F1721" i="7"/>
  <c r="E1721" i="7"/>
  <c r="N1721" i="7"/>
  <c r="G1720" i="7"/>
  <c r="F1720" i="7"/>
  <c r="E1720" i="7"/>
  <c r="N1720" i="7"/>
  <c r="G1719" i="7"/>
  <c r="F1719" i="7"/>
  <c r="E1719" i="7"/>
  <c r="N1719" i="7"/>
  <c r="G1718" i="7"/>
  <c r="F1718" i="7"/>
  <c r="E1718" i="7"/>
  <c r="N1718" i="7"/>
  <c r="G1717" i="7"/>
  <c r="F1717" i="7"/>
  <c r="E1717" i="7"/>
  <c r="N1717" i="7"/>
  <c r="G1716" i="7"/>
  <c r="F1716" i="7"/>
  <c r="E1716" i="7"/>
  <c r="N1716" i="7"/>
  <c r="G1715" i="7"/>
  <c r="F1715" i="7"/>
  <c r="E1715" i="7"/>
  <c r="N1715" i="7"/>
  <c r="G1714" i="7"/>
  <c r="F1714" i="7"/>
  <c r="E1714" i="7"/>
  <c r="N1714" i="7"/>
  <c r="G1713" i="7"/>
  <c r="F1713" i="7"/>
  <c r="E1713" i="7"/>
  <c r="N1713" i="7"/>
  <c r="G1712" i="7"/>
  <c r="F1712" i="7"/>
  <c r="E1712" i="7"/>
  <c r="N1712" i="7"/>
  <c r="G1711" i="7"/>
  <c r="F1711" i="7"/>
  <c r="E1711" i="7"/>
  <c r="N1711" i="7"/>
  <c r="G1710" i="7"/>
  <c r="F1710" i="7"/>
  <c r="E1710" i="7"/>
  <c r="N1710" i="7"/>
  <c r="G1709" i="7"/>
  <c r="F1709" i="7"/>
  <c r="E1709" i="7"/>
  <c r="N1709" i="7"/>
  <c r="G1708" i="7"/>
  <c r="F1708" i="7"/>
  <c r="E1708" i="7"/>
  <c r="N1708" i="7"/>
  <c r="G1707" i="7"/>
  <c r="F1707" i="7"/>
  <c r="E1707" i="7"/>
  <c r="N1707" i="7"/>
  <c r="G1706" i="7"/>
  <c r="F1706" i="7"/>
  <c r="E1706" i="7"/>
  <c r="N1706" i="7"/>
  <c r="G1705" i="7"/>
  <c r="F1705" i="7"/>
  <c r="E1705" i="7"/>
  <c r="N1705" i="7"/>
  <c r="G1704" i="7"/>
  <c r="F1704" i="7"/>
  <c r="E1704" i="7"/>
  <c r="N1704" i="7"/>
  <c r="G1703" i="7"/>
  <c r="F1703" i="7"/>
  <c r="E1703" i="7"/>
  <c r="N1703" i="7"/>
  <c r="G1702" i="7"/>
  <c r="F1702" i="7"/>
  <c r="E1702" i="7"/>
  <c r="N1702" i="7"/>
  <c r="G1701" i="7"/>
  <c r="F1701" i="7"/>
  <c r="E1701" i="7"/>
  <c r="N1701" i="7"/>
  <c r="G1700" i="7"/>
  <c r="F1700" i="7"/>
  <c r="E1700" i="7"/>
  <c r="N1700" i="7"/>
  <c r="G1699" i="7"/>
  <c r="F1699" i="7"/>
  <c r="E1699" i="7"/>
  <c r="N1699" i="7"/>
  <c r="G1698" i="7"/>
  <c r="F1698" i="7"/>
  <c r="E1698" i="7"/>
  <c r="N1698" i="7"/>
  <c r="G1697" i="7"/>
  <c r="F1697" i="7"/>
  <c r="E1697" i="7"/>
  <c r="N1697" i="7"/>
  <c r="G1696" i="7"/>
  <c r="F1696" i="7"/>
  <c r="E1696" i="7"/>
  <c r="N1696" i="7"/>
  <c r="G1695" i="7"/>
  <c r="F1695" i="7"/>
  <c r="E1695" i="7"/>
  <c r="N1695" i="7"/>
  <c r="G1694" i="7"/>
  <c r="F1694" i="7"/>
  <c r="E1694" i="7"/>
  <c r="N1694" i="7"/>
  <c r="G1693" i="7"/>
  <c r="F1693" i="7"/>
  <c r="E1693" i="7"/>
  <c r="N1693" i="7"/>
  <c r="G1692" i="7"/>
  <c r="F1692" i="7"/>
  <c r="E1692" i="7"/>
  <c r="N1692" i="7"/>
  <c r="G1691" i="7"/>
  <c r="F1691" i="7"/>
  <c r="E1691" i="7"/>
  <c r="N1691" i="7"/>
  <c r="G1690" i="7"/>
  <c r="F1690" i="7"/>
  <c r="E1690" i="7"/>
  <c r="N1690" i="7"/>
  <c r="G1689" i="7"/>
  <c r="F1689" i="7"/>
  <c r="E1689" i="7"/>
  <c r="N1689" i="7"/>
  <c r="G1688" i="7"/>
  <c r="F1688" i="7"/>
  <c r="E1688" i="7"/>
  <c r="N1688" i="7"/>
  <c r="G1687" i="7"/>
  <c r="F1687" i="7"/>
  <c r="E1687" i="7"/>
  <c r="N1687" i="7"/>
  <c r="G1686" i="7"/>
  <c r="F1686" i="7"/>
  <c r="E1686" i="7"/>
  <c r="N1686" i="7"/>
  <c r="G1685" i="7"/>
  <c r="F1685" i="7"/>
  <c r="E1685" i="7"/>
  <c r="N1685" i="7"/>
  <c r="G1684" i="7"/>
  <c r="F1684" i="7"/>
  <c r="E1684" i="7"/>
  <c r="N1684" i="7"/>
  <c r="G1683" i="7"/>
  <c r="F1683" i="7"/>
  <c r="E1683" i="7"/>
  <c r="N1683" i="7"/>
  <c r="G1682" i="7"/>
  <c r="F1682" i="7"/>
  <c r="E1682" i="7"/>
  <c r="N1682" i="7"/>
  <c r="G1681" i="7"/>
  <c r="F1681" i="7"/>
  <c r="E1681" i="7"/>
  <c r="N1681" i="7"/>
  <c r="G1680" i="7"/>
  <c r="F1680" i="7"/>
  <c r="E1680" i="7"/>
  <c r="N1680" i="7"/>
  <c r="G1679" i="7"/>
  <c r="F1679" i="7"/>
  <c r="E1679" i="7"/>
  <c r="N1679" i="7"/>
  <c r="G1678" i="7"/>
  <c r="F1678" i="7"/>
  <c r="E1678" i="7"/>
  <c r="N1678" i="7"/>
  <c r="G1677" i="7"/>
  <c r="F1677" i="7"/>
  <c r="E1677" i="7"/>
  <c r="N1677" i="7"/>
  <c r="G1676" i="7"/>
  <c r="F1676" i="7"/>
  <c r="E1676" i="7"/>
  <c r="N1676" i="7"/>
  <c r="G1675" i="7"/>
  <c r="F1675" i="7"/>
  <c r="E1675" i="7"/>
  <c r="N1675" i="7"/>
  <c r="G1674" i="7"/>
  <c r="F1674" i="7"/>
  <c r="E1674" i="7"/>
  <c r="N1674" i="7"/>
  <c r="G1673" i="7"/>
  <c r="F1673" i="7"/>
  <c r="E1673" i="7"/>
  <c r="N1673" i="7"/>
  <c r="G1672" i="7"/>
  <c r="F1672" i="7"/>
  <c r="E1672" i="7"/>
  <c r="N1672" i="7"/>
  <c r="G1671" i="7"/>
  <c r="F1671" i="7"/>
  <c r="E1671" i="7"/>
  <c r="N1671" i="7"/>
  <c r="G1670" i="7"/>
  <c r="F1670" i="7"/>
  <c r="E1670" i="7"/>
  <c r="N1670" i="7"/>
  <c r="G1669" i="7"/>
  <c r="F1669" i="7"/>
  <c r="E1669" i="7"/>
  <c r="N1669" i="7"/>
  <c r="G1668" i="7"/>
  <c r="F1668" i="7"/>
  <c r="E1668" i="7"/>
  <c r="N1668" i="7"/>
  <c r="G1667" i="7"/>
  <c r="F1667" i="7"/>
  <c r="E1667" i="7"/>
  <c r="N1667" i="7"/>
  <c r="G1666" i="7"/>
  <c r="F1666" i="7"/>
  <c r="E1666" i="7"/>
  <c r="N1666" i="7"/>
  <c r="G1665" i="7"/>
  <c r="F1665" i="7"/>
  <c r="E1665" i="7"/>
  <c r="N1665" i="7"/>
  <c r="G1664" i="7"/>
  <c r="F1664" i="7"/>
  <c r="E1664" i="7"/>
  <c r="N1664" i="7"/>
  <c r="G1663" i="7"/>
  <c r="F1663" i="7"/>
  <c r="E1663" i="7"/>
  <c r="N1663" i="7"/>
  <c r="G1662" i="7"/>
  <c r="F1662" i="7"/>
  <c r="E1662" i="7"/>
  <c r="N1662" i="7"/>
  <c r="G1661" i="7"/>
  <c r="F1661" i="7"/>
  <c r="E1661" i="7"/>
  <c r="N1661" i="7"/>
  <c r="G1660" i="7"/>
  <c r="F1660" i="7"/>
  <c r="E1660" i="7"/>
  <c r="N1660" i="7"/>
  <c r="G1659" i="7"/>
  <c r="F1659" i="7"/>
  <c r="E1659" i="7"/>
  <c r="N1659" i="7"/>
  <c r="G1658" i="7"/>
  <c r="F1658" i="7"/>
  <c r="E1658" i="7"/>
  <c r="N1658" i="7"/>
  <c r="G1657" i="7"/>
  <c r="F1657" i="7"/>
  <c r="E1657" i="7"/>
  <c r="N1657" i="7"/>
  <c r="G1656" i="7"/>
  <c r="F1656" i="7"/>
  <c r="E1656" i="7"/>
  <c r="N1656" i="7"/>
  <c r="G1655" i="7"/>
  <c r="F1655" i="7"/>
  <c r="E1655" i="7"/>
  <c r="N1655" i="7"/>
  <c r="G1654" i="7"/>
  <c r="F1654" i="7"/>
  <c r="E1654" i="7"/>
  <c r="N1654" i="7"/>
  <c r="G1653" i="7"/>
  <c r="F1653" i="7"/>
  <c r="E1653" i="7"/>
  <c r="N1653" i="7"/>
  <c r="G1652" i="7"/>
  <c r="F1652" i="7"/>
  <c r="E1652" i="7"/>
  <c r="N1652" i="7"/>
  <c r="G1651" i="7"/>
  <c r="F1651" i="7"/>
  <c r="E1651" i="7"/>
  <c r="N1651" i="7"/>
  <c r="G1650" i="7"/>
  <c r="F1650" i="7"/>
  <c r="E1650" i="7"/>
  <c r="N1650" i="7"/>
  <c r="G1649" i="7"/>
  <c r="F1649" i="7"/>
  <c r="E1649" i="7"/>
  <c r="N1649" i="7"/>
  <c r="G1648" i="7"/>
  <c r="F1648" i="7"/>
  <c r="E1648" i="7"/>
  <c r="N1648" i="7"/>
  <c r="G1647" i="7"/>
  <c r="F1647" i="7"/>
  <c r="E1647" i="7"/>
  <c r="N1647" i="7"/>
  <c r="G1646" i="7"/>
  <c r="F1646" i="7"/>
  <c r="E1646" i="7"/>
  <c r="N1646" i="7"/>
  <c r="G1645" i="7"/>
  <c r="F1645" i="7"/>
  <c r="E1645" i="7"/>
  <c r="N1645" i="7"/>
  <c r="G1644" i="7"/>
  <c r="F1644" i="7"/>
  <c r="E1644" i="7"/>
  <c r="N1644" i="7"/>
  <c r="G1643" i="7"/>
  <c r="F1643" i="7"/>
  <c r="E1643" i="7"/>
  <c r="N1643" i="7"/>
  <c r="G1642" i="7"/>
  <c r="F1642" i="7"/>
  <c r="E1642" i="7"/>
  <c r="N1642" i="7"/>
  <c r="G1641" i="7"/>
  <c r="F1641" i="7"/>
  <c r="E1641" i="7"/>
  <c r="N1641" i="7"/>
  <c r="G1640" i="7"/>
  <c r="F1640" i="7"/>
  <c r="E1640" i="7"/>
  <c r="N1640" i="7"/>
  <c r="G1639" i="7"/>
  <c r="F1639" i="7"/>
  <c r="E1639" i="7"/>
  <c r="N1639" i="7"/>
  <c r="G1638" i="7"/>
  <c r="F1638" i="7"/>
  <c r="E1638" i="7"/>
  <c r="N1638" i="7"/>
  <c r="G1637" i="7"/>
  <c r="F1637" i="7"/>
  <c r="E1637" i="7"/>
  <c r="N1637" i="7"/>
  <c r="G1636" i="7"/>
  <c r="F1636" i="7"/>
  <c r="E1636" i="7"/>
  <c r="N1636" i="7"/>
  <c r="G1635" i="7"/>
  <c r="F1635" i="7"/>
  <c r="E1635" i="7"/>
  <c r="N1635" i="7"/>
  <c r="G1634" i="7"/>
  <c r="F1634" i="7"/>
  <c r="E1634" i="7"/>
  <c r="N1634" i="7"/>
  <c r="G1633" i="7"/>
  <c r="F1633" i="7"/>
  <c r="E1633" i="7"/>
  <c r="N1633" i="7"/>
  <c r="G1632" i="7"/>
  <c r="F1632" i="7"/>
  <c r="E1632" i="7"/>
  <c r="N1632" i="7"/>
  <c r="G1631" i="7"/>
  <c r="F1631" i="7"/>
  <c r="E1631" i="7"/>
  <c r="N1631" i="7"/>
  <c r="G1630" i="7"/>
  <c r="F1630" i="7"/>
  <c r="E1630" i="7"/>
  <c r="N1630" i="7"/>
  <c r="G1629" i="7"/>
  <c r="F1629" i="7"/>
  <c r="E1629" i="7"/>
  <c r="N1629" i="7"/>
  <c r="G1628" i="7"/>
  <c r="F1628" i="7"/>
  <c r="E1628" i="7"/>
  <c r="N1628" i="7"/>
  <c r="G1627" i="7"/>
  <c r="F1627" i="7"/>
  <c r="E1627" i="7"/>
  <c r="N1627" i="7"/>
  <c r="G1626" i="7"/>
  <c r="F1626" i="7"/>
  <c r="E1626" i="7"/>
  <c r="N1626" i="7"/>
  <c r="G1625" i="7"/>
  <c r="F1625" i="7"/>
  <c r="E1625" i="7"/>
  <c r="N1625" i="7"/>
  <c r="G1624" i="7"/>
  <c r="F1624" i="7"/>
  <c r="E1624" i="7"/>
  <c r="N1624" i="7"/>
  <c r="G1623" i="7"/>
  <c r="F1623" i="7"/>
  <c r="E1623" i="7"/>
  <c r="N1623" i="7"/>
  <c r="G1622" i="7"/>
  <c r="F1622" i="7"/>
  <c r="E1622" i="7"/>
  <c r="N1622" i="7"/>
  <c r="G1621" i="7"/>
  <c r="F1621" i="7"/>
  <c r="E1621" i="7"/>
  <c r="N1621" i="7"/>
  <c r="G1620" i="7"/>
  <c r="F1620" i="7"/>
  <c r="E1620" i="7"/>
  <c r="N1620" i="7"/>
  <c r="G1619" i="7"/>
  <c r="F1619" i="7"/>
  <c r="E1619" i="7"/>
  <c r="N1619" i="7"/>
  <c r="G1618" i="7"/>
  <c r="F1618" i="7"/>
  <c r="E1618" i="7"/>
  <c r="N1618" i="7"/>
  <c r="G1617" i="7"/>
  <c r="F1617" i="7"/>
  <c r="E1617" i="7"/>
  <c r="N1617" i="7"/>
  <c r="G1616" i="7"/>
  <c r="F1616" i="7"/>
  <c r="E1616" i="7"/>
  <c r="N1616" i="7"/>
  <c r="G1615" i="7"/>
  <c r="F1615" i="7"/>
  <c r="E1615" i="7"/>
  <c r="N1615" i="7"/>
  <c r="G1614" i="7"/>
  <c r="F1614" i="7"/>
  <c r="E1614" i="7"/>
  <c r="N1614" i="7"/>
  <c r="G1613" i="7"/>
  <c r="F1613" i="7"/>
  <c r="E1613" i="7"/>
  <c r="N1613" i="7"/>
  <c r="G1612" i="7"/>
  <c r="F1612" i="7"/>
  <c r="E1612" i="7"/>
  <c r="N1612" i="7"/>
  <c r="G1611" i="7"/>
  <c r="F1611" i="7"/>
  <c r="E1611" i="7"/>
  <c r="N1611" i="7"/>
  <c r="G1610" i="7"/>
  <c r="F1610" i="7"/>
  <c r="E1610" i="7"/>
  <c r="N1610" i="7"/>
  <c r="G1609" i="7"/>
  <c r="F1609" i="7"/>
  <c r="E1609" i="7"/>
  <c r="N1609" i="7"/>
  <c r="G1608" i="7"/>
  <c r="F1608" i="7"/>
  <c r="E1608" i="7"/>
  <c r="N1608" i="7"/>
  <c r="G1607" i="7"/>
  <c r="F1607" i="7"/>
  <c r="E1607" i="7"/>
  <c r="N1607" i="7"/>
  <c r="G1606" i="7"/>
  <c r="F1606" i="7"/>
  <c r="E1606" i="7"/>
  <c r="N1606" i="7"/>
  <c r="G1605" i="7"/>
  <c r="F1605" i="7"/>
  <c r="E1605" i="7"/>
  <c r="N1605" i="7"/>
  <c r="G1604" i="7"/>
  <c r="F1604" i="7"/>
  <c r="E1604" i="7"/>
  <c r="N1604" i="7"/>
  <c r="G1603" i="7"/>
  <c r="F1603" i="7"/>
  <c r="E1603" i="7"/>
  <c r="N1603" i="7"/>
  <c r="G1602" i="7"/>
  <c r="F1602" i="7"/>
  <c r="E1602" i="7"/>
  <c r="N1602" i="7"/>
  <c r="G1601" i="7"/>
  <c r="F1601" i="7"/>
  <c r="E1601" i="7"/>
  <c r="N1601" i="7"/>
  <c r="G1600" i="7"/>
  <c r="F1600" i="7"/>
  <c r="E1600" i="7"/>
  <c r="N1600" i="7"/>
  <c r="G1599" i="7"/>
  <c r="F1599" i="7"/>
  <c r="E1599" i="7"/>
  <c r="N1599" i="7"/>
  <c r="G1598" i="7"/>
  <c r="F1598" i="7"/>
  <c r="E1598" i="7"/>
  <c r="N1598" i="7"/>
  <c r="G1597" i="7"/>
  <c r="F1597" i="7"/>
  <c r="E1597" i="7"/>
  <c r="N1597" i="7"/>
  <c r="G1596" i="7"/>
  <c r="F1596" i="7"/>
  <c r="E1596" i="7"/>
  <c r="N1596" i="7"/>
  <c r="G1595" i="7"/>
  <c r="F1595" i="7"/>
  <c r="E1595" i="7"/>
  <c r="N1595" i="7"/>
  <c r="G1594" i="7"/>
  <c r="F1594" i="7"/>
  <c r="E1594" i="7"/>
  <c r="N1594" i="7"/>
  <c r="G1593" i="7"/>
  <c r="F1593" i="7"/>
  <c r="E1593" i="7"/>
  <c r="N1593" i="7"/>
  <c r="G1592" i="7"/>
  <c r="F1592" i="7"/>
  <c r="E1592" i="7"/>
  <c r="N1592" i="7"/>
  <c r="G1591" i="7"/>
  <c r="F1591" i="7"/>
  <c r="E1591" i="7"/>
  <c r="N1591" i="7"/>
  <c r="G1590" i="7"/>
  <c r="F1590" i="7"/>
  <c r="E1590" i="7"/>
  <c r="N1590" i="7"/>
  <c r="G1589" i="7"/>
  <c r="F1589" i="7"/>
  <c r="E1589" i="7"/>
  <c r="N1589" i="7"/>
  <c r="G1588" i="7"/>
  <c r="F1588" i="7"/>
  <c r="E1588" i="7"/>
  <c r="N1588" i="7"/>
  <c r="G1587" i="7"/>
  <c r="F1587" i="7"/>
  <c r="E1587" i="7"/>
  <c r="N1587" i="7"/>
  <c r="G1586" i="7"/>
  <c r="F1586" i="7"/>
  <c r="E1586" i="7"/>
  <c r="N1586" i="7"/>
  <c r="G1585" i="7"/>
  <c r="F1585" i="7"/>
  <c r="E1585" i="7"/>
  <c r="N1585" i="7"/>
  <c r="G1584" i="7"/>
  <c r="F1584" i="7"/>
  <c r="E1584" i="7"/>
  <c r="N1584" i="7"/>
  <c r="G1583" i="7"/>
  <c r="F1583" i="7"/>
  <c r="E1583" i="7"/>
  <c r="N1583" i="7"/>
  <c r="G1582" i="7"/>
  <c r="F1582" i="7"/>
  <c r="E1582" i="7"/>
  <c r="N1582" i="7"/>
  <c r="G1581" i="7"/>
  <c r="F1581" i="7"/>
  <c r="E1581" i="7"/>
  <c r="N1581" i="7"/>
  <c r="G1580" i="7"/>
  <c r="F1580" i="7"/>
  <c r="E1580" i="7"/>
  <c r="N1580" i="7"/>
  <c r="G1579" i="7"/>
  <c r="F1579" i="7"/>
  <c r="E1579" i="7"/>
  <c r="N1579" i="7"/>
  <c r="G1578" i="7"/>
  <c r="F1578" i="7"/>
  <c r="E1578" i="7"/>
  <c r="N1578" i="7"/>
  <c r="G1577" i="7"/>
  <c r="F1577" i="7"/>
  <c r="E1577" i="7"/>
  <c r="N1577" i="7"/>
  <c r="G1576" i="7"/>
  <c r="F1576" i="7"/>
  <c r="E1576" i="7"/>
  <c r="N1576" i="7"/>
  <c r="G1575" i="7"/>
  <c r="F1575" i="7"/>
  <c r="E1575" i="7"/>
  <c r="N1575" i="7"/>
  <c r="G1574" i="7"/>
  <c r="F1574" i="7"/>
  <c r="E1574" i="7"/>
  <c r="N1574" i="7"/>
  <c r="G1573" i="7"/>
  <c r="F1573" i="7"/>
  <c r="E1573" i="7"/>
  <c r="N1573" i="7"/>
  <c r="G1572" i="7"/>
  <c r="F1572" i="7"/>
  <c r="E1572" i="7"/>
  <c r="N1572" i="7"/>
  <c r="G1571" i="7"/>
  <c r="F1571" i="7"/>
  <c r="E1571" i="7"/>
  <c r="N1571" i="7"/>
  <c r="G1570" i="7"/>
  <c r="F1570" i="7"/>
  <c r="E1570" i="7"/>
  <c r="N1570" i="7"/>
  <c r="G1569" i="7"/>
  <c r="F1569" i="7"/>
  <c r="E1569" i="7"/>
  <c r="N1569" i="7"/>
  <c r="G1568" i="7"/>
  <c r="F1568" i="7"/>
  <c r="E1568" i="7"/>
  <c r="N1568" i="7"/>
  <c r="G1567" i="7"/>
  <c r="F1567" i="7"/>
  <c r="E1567" i="7"/>
  <c r="N1567" i="7"/>
  <c r="G1566" i="7"/>
  <c r="F1566" i="7"/>
  <c r="E1566" i="7"/>
  <c r="N1566" i="7"/>
  <c r="G1565" i="7"/>
  <c r="F1565" i="7"/>
  <c r="E1565" i="7"/>
  <c r="N1565" i="7"/>
  <c r="G1564" i="7"/>
  <c r="F1564" i="7"/>
  <c r="E1564" i="7"/>
  <c r="N1564" i="7"/>
  <c r="G1563" i="7"/>
  <c r="F1563" i="7"/>
  <c r="E1563" i="7"/>
  <c r="N1563" i="7"/>
  <c r="G1562" i="7"/>
  <c r="F1562" i="7"/>
  <c r="E1562" i="7"/>
  <c r="N1562" i="7"/>
  <c r="G1561" i="7"/>
  <c r="F1561" i="7"/>
  <c r="E1561" i="7"/>
  <c r="N1561" i="7"/>
  <c r="G1560" i="7"/>
  <c r="F1560" i="7"/>
  <c r="E1560" i="7"/>
  <c r="N1560" i="7"/>
  <c r="G1559" i="7"/>
  <c r="F1559" i="7"/>
  <c r="E1559" i="7"/>
  <c r="N1559" i="7"/>
  <c r="G1558" i="7"/>
  <c r="F1558" i="7"/>
  <c r="E1558" i="7"/>
  <c r="N1558" i="7"/>
  <c r="G1557" i="7"/>
  <c r="F1557" i="7"/>
  <c r="E1557" i="7"/>
  <c r="N1557" i="7"/>
  <c r="G1556" i="7"/>
  <c r="F1556" i="7"/>
  <c r="E1556" i="7"/>
  <c r="N1556" i="7"/>
  <c r="G1555" i="7"/>
  <c r="F1555" i="7"/>
  <c r="E1555" i="7"/>
  <c r="N1555" i="7"/>
  <c r="G1554" i="7"/>
  <c r="F1554" i="7"/>
  <c r="E1554" i="7"/>
  <c r="N1554" i="7"/>
  <c r="G1553" i="7"/>
  <c r="F1553" i="7"/>
  <c r="E1553" i="7"/>
  <c r="N1553" i="7"/>
  <c r="G1552" i="7"/>
  <c r="F1552" i="7"/>
  <c r="E1552" i="7"/>
  <c r="N1552" i="7"/>
  <c r="G1551" i="7"/>
  <c r="F1551" i="7"/>
  <c r="E1551" i="7"/>
  <c r="N1551" i="7"/>
  <c r="G1550" i="7"/>
  <c r="F1550" i="7"/>
  <c r="E1550" i="7"/>
  <c r="N1550" i="7"/>
  <c r="G1549" i="7"/>
  <c r="F1549" i="7"/>
  <c r="E1549" i="7"/>
  <c r="N1549" i="7"/>
  <c r="G1548" i="7"/>
  <c r="F1548" i="7"/>
  <c r="E1548" i="7"/>
  <c r="N1548" i="7"/>
  <c r="G1547" i="7"/>
  <c r="F1547" i="7"/>
  <c r="E1547" i="7"/>
  <c r="N1547" i="7"/>
  <c r="G1546" i="7"/>
  <c r="F1546" i="7"/>
  <c r="E1546" i="7"/>
  <c r="N1546" i="7"/>
  <c r="G1545" i="7"/>
  <c r="F1545" i="7"/>
  <c r="E1545" i="7"/>
  <c r="N1545" i="7"/>
  <c r="G1544" i="7"/>
  <c r="F1544" i="7"/>
  <c r="E1544" i="7"/>
  <c r="N1544" i="7"/>
  <c r="G1543" i="7"/>
  <c r="F1543" i="7"/>
  <c r="E1543" i="7"/>
  <c r="N1543" i="7"/>
  <c r="G1542" i="7"/>
  <c r="F1542" i="7"/>
  <c r="E1542" i="7"/>
  <c r="N1542" i="7"/>
  <c r="G1541" i="7"/>
  <c r="F1541" i="7"/>
  <c r="E1541" i="7"/>
  <c r="N1541" i="7"/>
  <c r="G1540" i="7"/>
  <c r="F1540" i="7"/>
  <c r="E1540" i="7"/>
  <c r="N1540" i="7"/>
  <c r="G1539" i="7"/>
  <c r="F1539" i="7"/>
  <c r="E1539" i="7"/>
  <c r="N1539" i="7"/>
  <c r="G1538" i="7"/>
  <c r="F1538" i="7"/>
  <c r="E1538" i="7"/>
  <c r="N1538" i="7"/>
  <c r="G1537" i="7"/>
  <c r="F1537" i="7"/>
  <c r="E1537" i="7"/>
  <c r="N1537" i="7"/>
  <c r="G1536" i="7"/>
  <c r="F1536" i="7"/>
  <c r="E1536" i="7"/>
  <c r="N1536" i="7"/>
  <c r="G1535" i="7"/>
  <c r="F1535" i="7"/>
  <c r="E1535" i="7"/>
  <c r="N1535" i="7"/>
  <c r="G1534" i="7"/>
  <c r="F1534" i="7"/>
  <c r="E1534" i="7"/>
  <c r="N1534" i="7"/>
  <c r="G1533" i="7"/>
  <c r="F1533" i="7"/>
  <c r="E1533" i="7"/>
  <c r="N1533" i="7"/>
  <c r="G1532" i="7"/>
  <c r="F1532" i="7"/>
  <c r="E1532" i="7"/>
  <c r="N1532" i="7"/>
  <c r="G1531" i="7"/>
  <c r="F1531" i="7"/>
  <c r="E1531" i="7"/>
  <c r="N1531" i="7"/>
  <c r="G1530" i="7"/>
  <c r="F1530" i="7"/>
  <c r="E1530" i="7"/>
  <c r="N1530" i="7"/>
  <c r="G1529" i="7"/>
  <c r="F1529" i="7"/>
  <c r="E1529" i="7"/>
  <c r="N1529" i="7"/>
  <c r="G1528" i="7"/>
  <c r="F1528" i="7"/>
  <c r="E1528" i="7"/>
  <c r="N1528" i="7"/>
  <c r="G1527" i="7"/>
  <c r="F1527" i="7"/>
  <c r="E1527" i="7"/>
  <c r="N1527" i="7"/>
  <c r="G1526" i="7"/>
  <c r="F1526" i="7"/>
  <c r="E1526" i="7"/>
  <c r="N1526" i="7"/>
  <c r="G1525" i="7"/>
  <c r="F1525" i="7"/>
  <c r="E1525" i="7"/>
  <c r="N1525" i="7"/>
  <c r="G1524" i="7"/>
  <c r="F1524" i="7"/>
  <c r="E1524" i="7"/>
  <c r="N1524" i="7"/>
  <c r="G1523" i="7"/>
  <c r="F1523" i="7"/>
  <c r="E1523" i="7"/>
  <c r="N1523" i="7"/>
  <c r="G1522" i="7"/>
  <c r="F1522" i="7"/>
  <c r="E1522" i="7"/>
  <c r="N1522" i="7"/>
  <c r="G1521" i="7"/>
  <c r="F1521" i="7"/>
  <c r="E1521" i="7"/>
  <c r="N1521" i="7"/>
  <c r="G1520" i="7"/>
  <c r="F1520" i="7"/>
  <c r="E1520" i="7"/>
  <c r="N1520" i="7"/>
  <c r="G1519" i="7"/>
  <c r="F1519" i="7"/>
  <c r="E1519" i="7"/>
  <c r="N1519" i="7"/>
  <c r="G1518" i="7"/>
  <c r="F1518" i="7"/>
  <c r="E1518" i="7"/>
  <c r="N1518" i="7"/>
  <c r="G1517" i="7"/>
  <c r="F1517" i="7"/>
  <c r="E1517" i="7"/>
  <c r="N1517" i="7"/>
  <c r="G1516" i="7"/>
  <c r="F1516" i="7"/>
  <c r="E1516" i="7"/>
  <c r="N1516" i="7"/>
  <c r="G1515" i="7"/>
  <c r="F1515" i="7"/>
  <c r="E1515" i="7"/>
  <c r="N1515" i="7"/>
  <c r="G1514" i="7"/>
  <c r="F1514" i="7"/>
  <c r="E1514" i="7"/>
  <c r="N1514" i="7"/>
  <c r="G1513" i="7"/>
  <c r="F1513" i="7"/>
  <c r="E1513" i="7"/>
  <c r="N1513" i="7"/>
  <c r="G1512" i="7"/>
  <c r="F1512" i="7"/>
  <c r="E1512" i="7"/>
  <c r="N1512" i="7"/>
  <c r="G1511" i="7"/>
  <c r="F1511" i="7"/>
  <c r="E1511" i="7"/>
  <c r="N1511" i="7"/>
  <c r="G1510" i="7"/>
  <c r="F1510" i="7"/>
  <c r="E1510" i="7"/>
  <c r="N1510" i="7"/>
  <c r="G1509" i="7"/>
  <c r="F1509" i="7"/>
  <c r="E1509" i="7"/>
  <c r="N1509" i="7"/>
  <c r="G1508" i="7"/>
  <c r="F1508" i="7"/>
  <c r="E1508" i="7"/>
  <c r="N1508" i="7"/>
  <c r="G1507" i="7"/>
  <c r="F1507" i="7"/>
  <c r="E1507" i="7"/>
  <c r="N1507" i="7"/>
  <c r="G1506" i="7"/>
  <c r="F1506" i="7"/>
  <c r="E1506" i="7"/>
  <c r="N1506" i="7"/>
  <c r="G1505" i="7"/>
  <c r="F1505" i="7"/>
  <c r="E1505" i="7"/>
  <c r="N1505" i="7"/>
  <c r="G1504" i="7"/>
  <c r="F1504" i="7"/>
  <c r="E1504" i="7"/>
  <c r="N1504" i="7"/>
  <c r="G1503" i="7"/>
  <c r="F1503" i="7"/>
  <c r="E1503" i="7"/>
  <c r="N1503" i="7"/>
  <c r="G1502" i="7"/>
  <c r="F1502" i="7"/>
  <c r="E1502" i="7"/>
  <c r="N1502" i="7"/>
  <c r="G1501" i="7"/>
  <c r="F1501" i="7"/>
  <c r="E1501" i="7"/>
  <c r="N1501" i="7"/>
  <c r="G1500" i="7"/>
  <c r="F1500" i="7"/>
  <c r="E1500" i="7"/>
  <c r="N1500" i="7"/>
  <c r="G1499" i="7"/>
  <c r="F1499" i="7"/>
  <c r="E1499" i="7"/>
  <c r="N1499" i="7"/>
  <c r="G1498" i="7"/>
  <c r="F1498" i="7"/>
  <c r="E1498" i="7"/>
  <c r="N1498" i="7"/>
  <c r="G1497" i="7"/>
  <c r="F1497" i="7"/>
  <c r="E1497" i="7"/>
  <c r="N1497" i="7"/>
  <c r="G1496" i="7"/>
  <c r="F1496" i="7"/>
  <c r="E1496" i="7"/>
  <c r="N1496" i="7"/>
  <c r="G1495" i="7"/>
  <c r="F1495" i="7"/>
  <c r="E1495" i="7"/>
  <c r="N1495" i="7"/>
  <c r="G1494" i="7"/>
  <c r="F1494" i="7"/>
  <c r="E1494" i="7"/>
  <c r="N1494" i="7"/>
  <c r="G1493" i="7"/>
  <c r="F1493" i="7"/>
  <c r="E1493" i="7"/>
  <c r="N1493" i="7"/>
  <c r="G1492" i="7"/>
  <c r="F1492" i="7"/>
  <c r="E1492" i="7"/>
  <c r="N1492" i="7"/>
  <c r="G1491" i="7"/>
  <c r="F1491" i="7"/>
  <c r="E1491" i="7"/>
  <c r="N1491" i="7"/>
  <c r="G1490" i="7"/>
  <c r="F1490" i="7"/>
  <c r="E1490" i="7"/>
  <c r="N1490" i="7"/>
  <c r="G1489" i="7"/>
  <c r="F1489" i="7"/>
  <c r="E1489" i="7"/>
  <c r="N1489" i="7"/>
  <c r="G1488" i="7"/>
  <c r="F1488" i="7"/>
  <c r="E1488" i="7"/>
  <c r="N1488" i="7"/>
  <c r="G1487" i="7"/>
  <c r="F1487" i="7"/>
  <c r="E1487" i="7"/>
  <c r="N1487" i="7"/>
  <c r="G1486" i="7"/>
  <c r="F1486" i="7"/>
  <c r="E1486" i="7"/>
  <c r="N1486" i="7"/>
  <c r="G1485" i="7"/>
  <c r="F1485" i="7"/>
  <c r="E1485" i="7"/>
  <c r="N1485" i="7"/>
  <c r="G1484" i="7"/>
  <c r="F1484" i="7"/>
  <c r="E1484" i="7"/>
  <c r="N1484" i="7"/>
  <c r="G1483" i="7"/>
  <c r="F1483" i="7"/>
  <c r="E1483" i="7"/>
  <c r="N1483" i="7"/>
  <c r="G1482" i="7"/>
  <c r="F1482" i="7"/>
  <c r="E1482" i="7"/>
  <c r="N1482" i="7"/>
  <c r="G1481" i="7"/>
  <c r="F1481" i="7"/>
  <c r="E1481" i="7"/>
  <c r="N1481" i="7"/>
  <c r="G1480" i="7"/>
  <c r="F1480" i="7"/>
  <c r="E1480" i="7"/>
  <c r="N1480" i="7"/>
  <c r="G1479" i="7"/>
  <c r="F1479" i="7"/>
  <c r="E1479" i="7"/>
  <c r="N1479" i="7"/>
  <c r="G1478" i="7"/>
  <c r="F1478" i="7"/>
  <c r="E1478" i="7"/>
  <c r="N1478" i="7"/>
  <c r="G1477" i="7"/>
  <c r="F1477" i="7"/>
  <c r="E1477" i="7"/>
  <c r="N1477" i="7"/>
  <c r="G1476" i="7"/>
  <c r="F1476" i="7"/>
  <c r="E1476" i="7"/>
  <c r="N1476" i="7"/>
  <c r="G1475" i="7"/>
  <c r="F1475" i="7"/>
  <c r="E1475" i="7"/>
  <c r="N1475" i="7"/>
  <c r="G1474" i="7"/>
  <c r="F1474" i="7"/>
  <c r="E1474" i="7"/>
  <c r="N1474" i="7"/>
  <c r="G1473" i="7"/>
  <c r="F1473" i="7"/>
  <c r="E1473" i="7"/>
  <c r="N1473" i="7"/>
  <c r="G1472" i="7"/>
  <c r="F1472" i="7"/>
  <c r="E1472" i="7"/>
  <c r="N1472" i="7"/>
  <c r="G1471" i="7"/>
  <c r="F1471" i="7"/>
  <c r="E1471" i="7"/>
  <c r="N1471" i="7"/>
  <c r="G1470" i="7"/>
  <c r="F1470" i="7"/>
  <c r="E1470" i="7"/>
  <c r="N1470" i="7"/>
  <c r="G1469" i="7"/>
  <c r="F1469" i="7"/>
  <c r="E1469" i="7"/>
  <c r="N1469" i="7"/>
  <c r="G1468" i="7"/>
  <c r="F1468" i="7"/>
  <c r="E1468" i="7"/>
  <c r="N1468" i="7"/>
  <c r="G1467" i="7"/>
  <c r="F1467" i="7"/>
  <c r="E1467" i="7"/>
  <c r="N1467" i="7"/>
  <c r="G1466" i="7"/>
  <c r="F1466" i="7"/>
  <c r="E1466" i="7"/>
  <c r="N1466" i="7"/>
  <c r="G1465" i="7"/>
  <c r="F1465" i="7"/>
  <c r="E1465" i="7"/>
  <c r="N1465" i="7"/>
  <c r="G1464" i="7"/>
  <c r="F1464" i="7"/>
  <c r="E1464" i="7"/>
  <c r="N1464" i="7"/>
  <c r="G1463" i="7"/>
  <c r="F1463" i="7"/>
  <c r="E1463" i="7"/>
  <c r="N1463" i="7"/>
  <c r="G1462" i="7"/>
  <c r="F1462" i="7"/>
  <c r="E1462" i="7"/>
  <c r="N1462" i="7"/>
  <c r="G1461" i="7"/>
  <c r="F1461" i="7"/>
  <c r="E1461" i="7"/>
  <c r="N1461" i="7"/>
  <c r="G1460" i="7"/>
  <c r="F1460" i="7"/>
  <c r="E1460" i="7"/>
  <c r="N1460" i="7"/>
  <c r="G1459" i="7"/>
  <c r="F1459" i="7"/>
  <c r="E1459" i="7"/>
  <c r="N1459" i="7"/>
  <c r="G1458" i="7"/>
  <c r="F1458" i="7"/>
  <c r="E1458" i="7"/>
  <c r="N1458" i="7"/>
  <c r="G1457" i="7"/>
  <c r="F1457" i="7"/>
  <c r="E1457" i="7"/>
  <c r="N1457" i="7"/>
  <c r="G1456" i="7"/>
  <c r="F1456" i="7"/>
  <c r="E1456" i="7"/>
  <c r="N1456" i="7"/>
  <c r="G1455" i="7"/>
  <c r="F1455" i="7"/>
  <c r="E1455" i="7"/>
  <c r="N1455" i="7"/>
  <c r="G1454" i="7"/>
  <c r="F1454" i="7"/>
  <c r="E1454" i="7"/>
  <c r="N1454" i="7"/>
  <c r="G1453" i="7"/>
  <c r="F1453" i="7"/>
  <c r="E1453" i="7"/>
  <c r="N1453" i="7"/>
  <c r="G1452" i="7"/>
  <c r="F1452" i="7"/>
  <c r="E1452" i="7"/>
  <c r="N1452" i="7"/>
  <c r="G1451" i="7"/>
  <c r="F1451" i="7"/>
  <c r="E1451" i="7"/>
  <c r="N1451" i="7"/>
  <c r="G1450" i="7"/>
  <c r="F1450" i="7"/>
  <c r="E1450" i="7"/>
  <c r="N1450" i="7"/>
  <c r="G1449" i="7"/>
  <c r="F1449" i="7"/>
  <c r="E1449" i="7"/>
  <c r="N1449" i="7"/>
  <c r="G1448" i="7"/>
  <c r="F1448" i="7"/>
  <c r="E1448" i="7"/>
  <c r="N1448" i="7"/>
  <c r="G1447" i="7"/>
  <c r="F1447" i="7"/>
  <c r="E1447" i="7"/>
  <c r="N1447" i="7"/>
  <c r="G1446" i="7"/>
  <c r="F1446" i="7"/>
  <c r="E1446" i="7"/>
  <c r="N1446" i="7"/>
  <c r="G1445" i="7"/>
  <c r="F1445" i="7"/>
  <c r="E1445" i="7"/>
  <c r="N1445" i="7"/>
  <c r="G1444" i="7"/>
  <c r="F1444" i="7"/>
  <c r="E1444" i="7"/>
  <c r="N1444" i="7"/>
  <c r="G1443" i="7"/>
  <c r="F1443" i="7"/>
  <c r="E1443" i="7"/>
  <c r="N1443" i="7"/>
  <c r="G1442" i="7"/>
  <c r="F1442" i="7"/>
  <c r="E1442" i="7"/>
  <c r="N1442" i="7"/>
  <c r="G1441" i="7"/>
  <c r="F1441" i="7"/>
  <c r="E1441" i="7"/>
  <c r="N1441" i="7"/>
  <c r="G1440" i="7"/>
  <c r="F1440" i="7"/>
  <c r="E1440" i="7"/>
  <c r="N1440" i="7"/>
  <c r="G1439" i="7"/>
  <c r="F1439" i="7"/>
  <c r="E1439" i="7"/>
  <c r="N1439" i="7"/>
  <c r="G1438" i="7"/>
  <c r="F1438" i="7"/>
  <c r="E1438" i="7"/>
  <c r="N1438" i="7"/>
  <c r="G1437" i="7"/>
  <c r="F1437" i="7"/>
  <c r="E1437" i="7"/>
  <c r="N1437" i="7"/>
  <c r="G1436" i="7"/>
  <c r="F1436" i="7"/>
  <c r="E1436" i="7"/>
  <c r="N1436" i="7"/>
  <c r="G1435" i="7"/>
  <c r="F1435" i="7"/>
  <c r="E1435" i="7"/>
  <c r="N1435" i="7"/>
  <c r="G1434" i="7"/>
  <c r="F1434" i="7"/>
  <c r="E1434" i="7"/>
  <c r="N1434" i="7"/>
  <c r="G1433" i="7"/>
  <c r="F1433" i="7"/>
  <c r="E1433" i="7"/>
  <c r="N1433" i="7"/>
  <c r="G1432" i="7"/>
  <c r="F1432" i="7"/>
  <c r="E1432" i="7"/>
  <c r="N1432" i="7"/>
  <c r="G1431" i="7"/>
  <c r="F1431" i="7"/>
  <c r="E1431" i="7"/>
  <c r="N1431" i="7"/>
  <c r="G1430" i="7"/>
  <c r="F1430" i="7"/>
  <c r="E1430" i="7"/>
  <c r="N1430" i="7"/>
  <c r="G1429" i="7"/>
  <c r="F1429" i="7"/>
  <c r="E1429" i="7"/>
  <c r="N1429" i="7"/>
  <c r="G1428" i="7"/>
  <c r="F1428" i="7"/>
  <c r="E1428" i="7"/>
  <c r="N1428" i="7"/>
  <c r="G1427" i="7"/>
  <c r="F1427" i="7"/>
  <c r="E1427" i="7"/>
  <c r="N1427" i="7"/>
  <c r="G1426" i="7"/>
  <c r="F1426" i="7"/>
  <c r="E1426" i="7"/>
  <c r="N1426" i="7"/>
  <c r="G1425" i="7"/>
  <c r="F1425" i="7"/>
  <c r="E1425" i="7"/>
  <c r="N1425" i="7"/>
  <c r="G1424" i="7"/>
  <c r="F1424" i="7"/>
  <c r="E1424" i="7"/>
  <c r="N1424" i="7"/>
  <c r="G1423" i="7"/>
  <c r="F1423" i="7"/>
  <c r="E1423" i="7"/>
  <c r="N1423" i="7"/>
  <c r="G1422" i="7"/>
  <c r="F1422" i="7"/>
  <c r="E1422" i="7"/>
  <c r="N1422" i="7"/>
  <c r="G1421" i="7"/>
  <c r="F1421" i="7"/>
  <c r="E1421" i="7"/>
  <c r="N1421" i="7"/>
  <c r="G1420" i="7"/>
  <c r="F1420" i="7"/>
  <c r="E1420" i="7"/>
  <c r="N1420" i="7"/>
  <c r="G1419" i="7"/>
  <c r="F1419" i="7"/>
  <c r="E1419" i="7"/>
  <c r="N1419" i="7"/>
  <c r="G1418" i="7"/>
  <c r="F1418" i="7"/>
  <c r="E1418" i="7"/>
  <c r="N1418" i="7"/>
  <c r="G1417" i="7"/>
  <c r="F1417" i="7"/>
  <c r="E1417" i="7"/>
  <c r="N1417" i="7"/>
  <c r="G1416" i="7"/>
  <c r="F1416" i="7"/>
  <c r="E1416" i="7"/>
  <c r="N1416" i="7"/>
  <c r="G1415" i="7"/>
  <c r="F1415" i="7"/>
  <c r="E1415" i="7"/>
  <c r="N1415" i="7"/>
  <c r="G1414" i="7"/>
  <c r="F1414" i="7"/>
  <c r="E1414" i="7"/>
  <c r="N1414" i="7"/>
  <c r="G1413" i="7"/>
  <c r="F1413" i="7"/>
  <c r="E1413" i="7"/>
  <c r="N1413" i="7"/>
  <c r="G1412" i="7"/>
  <c r="F1412" i="7"/>
  <c r="E1412" i="7"/>
  <c r="N1412" i="7"/>
  <c r="G1411" i="7"/>
  <c r="F1411" i="7"/>
  <c r="E1411" i="7"/>
  <c r="N1411" i="7"/>
  <c r="G1410" i="7"/>
  <c r="F1410" i="7"/>
  <c r="E1410" i="7"/>
  <c r="N1410" i="7"/>
  <c r="G1409" i="7"/>
  <c r="F1409" i="7"/>
  <c r="E1409" i="7"/>
  <c r="N1409" i="7"/>
  <c r="G1408" i="7"/>
  <c r="F1408" i="7"/>
  <c r="E1408" i="7"/>
  <c r="N1408" i="7"/>
  <c r="G1407" i="7"/>
  <c r="F1407" i="7"/>
  <c r="E1407" i="7"/>
  <c r="N1407" i="7"/>
  <c r="G1406" i="7"/>
  <c r="F1406" i="7"/>
  <c r="E1406" i="7"/>
  <c r="N1406" i="7"/>
  <c r="G1405" i="7"/>
  <c r="F1405" i="7"/>
  <c r="E1405" i="7"/>
  <c r="N1405" i="7"/>
  <c r="G1404" i="7"/>
  <c r="F1404" i="7"/>
  <c r="E1404" i="7"/>
  <c r="N1404" i="7"/>
  <c r="G1403" i="7"/>
  <c r="F1403" i="7"/>
  <c r="E1403" i="7"/>
  <c r="N1403" i="7"/>
  <c r="G1402" i="7"/>
  <c r="F1402" i="7"/>
  <c r="E1402" i="7"/>
  <c r="N1402" i="7"/>
  <c r="G1401" i="7"/>
  <c r="F1401" i="7"/>
  <c r="E1401" i="7"/>
  <c r="N1401" i="7"/>
  <c r="G1400" i="7"/>
  <c r="F1400" i="7"/>
  <c r="E1400" i="7"/>
  <c r="N1400" i="7"/>
  <c r="G1399" i="7"/>
  <c r="F1399" i="7"/>
  <c r="E1399" i="7"/>
  <c r="N1399" i="7"/>
  <c r="G1398" i="7"/>
  <c r="F1398" i="7"/>
  <c r="E1398" i="7"/>
  <c r="N1398" i="7"/>
  <c r="G1397" i="7"/>
  <c r="F1397" i="7"/>
  <c r="E1397" i="7"/>
  <c r="N1397" i="7"/>
  <c r="G1396" i="7"/>
  <c r="F1396" i="7"/>
  <c r="E1396" i="7"/>
  <c r="N1396" i="7"/>
  <c r="G1395" i="7"/>
  <c r="F1395" i="7"/>
  <c r="E1395" i="7"/>
  <c r="N1395" i="7"/>
  <c r="G1394" i="7"/>
  <c r="F1394" i="7"/>
  <c r="E1394" i="7"/>
  <c r="N1394" i="7"/>
  <c r="G1393" i="7"/>
  <c r="F1393" i="7"/>
  <c r="E1393" i="7"/>
  <c r="N1393" i="7"/>
  <c r="G1392" i="7"/>
  <c r="F1392" i="7"/>
  <c r="E1392" i="7"/>
  <c r="N1392" i="7"/>
  <c r="G1391" i="7"/>
  <c r="F1391" i="7"/>
  <c r="E1391" i="7"/>
  <c r="N1391" i="7"/>
  <c r="G1390" i="7"/>
  <c r="F1390" i="7"/>
  <c r="E1390" i="7"/>
  <c r="N1390" i="7"/>
  <c r="G1389" i="7"/>
  <c r="F1389" i="7"/>
  <c r="E1389" i="7"/>
  <c r="N1389" i="7"/>
  <c r="G1388" i="7"/>
  <c r="F1388" i="7"/>
  <c r="E1388" i="7"/>
  <c r="N1388" i="7"/>
  <c r="G1387" i="7"/>
  <c r="F1387" i="7"/>
  <c r="E1387" i="7"/>
  <c r="N1387" i="7"/>
  <c r="G1386" i="7"/>
  <c r="F1386" i="7"/>
  <c r="E1386" i="7"/>
  <c r="N1386" i="7"/>
  <c r="G1385" i="7"/>
  <c r="F1385" i="7"/>
  <c r="E1385" i="7"/>
  <c r="N1385" i="7"/>
  <c r="G1384" i="7"/>
  <c r="F1384" i="7"/>
  <c r="E1384" i="7"/>
  <c r="N1384" i="7"/>
  <c r="G1383" i="7"/>
  <c r="F1383" i="7"/>
  <c r="E1383" i="7"/>
  <c r="N1383" i="7"/>
  <c r="G1382" i="7"/>
  <c r="F1382" i="7"/>
  <c r="E1382" i="7"/>
  <c r="N1382" i="7"/>
  <c r="G1381" i="7"/>
  <c r="F1381" i="7"/>
  <c r="E1381" i="7"/>
  <c r="N1381" i="7"/>
  <c r="G1380" i="7"/>
  <c r="F1380" i="7"/>
  <c r="E1380" i="7"/>
  <c r="N1380" i="7"/>
  <c r="G1379" i="7"/>
  <c r="F1379" i="7"/>
  <c r="E1379" i="7"/>
  <c r="N1379" i="7"/>
  <c r="G1378" i="7"/>
  <c r="F1378" i="7"/>
  <c r="E1378" i="7"/>
  <c r="N1378" i="7"/>
  <c r="G1377" i="7"/>
  <c r="F1377" i="7"/>
  <c r="E1377" i="7"/>
  <c r="N1377" i="7"/>
  <c r="G1376" i="7"/>
  <c r="F1376" i="7"/>
  <c r="E1376" i="7"/>
  <c r="N1376" i="7"/>
  <c r="G1375" i="7"/>
  <c r="F1375" i="7"/>
  <c r="E1375" i="7"/>
  <c r="N1375" i="7"/>
  <c r="G1374" i="7"/>
  <c r="F1374" i="7"/>
  <c r="E1374" i="7"/>
  <c r="N1374" i="7"/>
  <c r="G1373" i="7"/>
  <c r="F1373" i="7"/>
  <c r="E1373" i="7"/>
  <c r="N1373" i="7"/>
  <c r="G1372" i="7"/>
  <c r="F1372" i="7"/>
  <c r="E1372" i="7"/>
  <c r="N1372" i="7"/>
  <c r="G1371" i="7"/>
  <c r="F1371" i="7"/>
  <c r="E1371" i="7"/>
  <c r="N1371" i="7"/>
  <c r="G1370" i="7"/>
  <c r="F1370" i="7"/>
  <c r="E1370" i="7"/>
  <c r="N1370" i="7"/>
  <c r="G1369" i="7"/>
  <c r="F1369" i="7"/>
  <c r="E1369" i="7"/>
  <c r="N1369" i="7"/>
  <c r="G1368" i="7"/>
  <c r="F1368" i="7"/>
  <c r="E1368" i="7"/>
  <c r="N1368" i="7"/>
  <c r="G1367" i="7"/>
  <c r="F1367" i="7"/>
  <c r="E1367" i="7"/>
  <c r="N1367" i="7"/>
  <c r="G1366" i="7"/>
  <c r="F1366" i="7"/>
  <c r="E1366" i="7"/>
  <c r="N1366" i="7"/>
  <c r="G1365" i="7"/>
  <c r="F1365" i="7"/>
  <c r="E1365" i="7"/>
  <c r="N1365" i="7"/>
  <c r="G1364" i="7"/>
  <c r="F1364" i="7"/>
  <c r="E1364" i="7"/>
  <c r="N1364" i="7"/>
  <c r="G1363" i="7"/>
  <c r="F1363" i="7"/>
  <c r="E1363" i="7"/>
  <c r="N1363" i="7"/>
  <c r="G1362" i="7"/>
  <c r="F1362" i="7"/>
  <c r="E1362" i="7"/>
  <c r="N1362" i="7"/>
  <c r="G1361" i="7"/>
  <c r="F1361" i="7"/>
  <c r="E1361" i="7"/>
  <c r="N1361" i="7"/>
  <c r="G1360" i="7"/>
  <c r="F1360" i="7"/>
  <c r="E1360" i="7"/>
  <c r="N1360" i="7"/>
  <c r="G1359" i="7"/>
  <c r="F1359" i="7"/>
  <c r="E1359" i="7"/>
  <c r="N1359" i="7"/>
  <c r="G1358" i="7"/>
  <c r="F1358" i="7"/>
  <c r="E1358" i="7"/>
  <c r="N1358" i="7"/>
  <c r="G1357" i="7"/>
  <c r="F1357" i="7"/>
  <c r="E1357" i="7"/>
  <c r="N1357" i="7"/>
  <c r="G1356" i="7"/>
  <c r="F1356" i="7"/>
  <c r="E1356" i="7"/>
  <c r="N1356" i="7"/>
  <c r="G1355" i="7"/>
  <c r="F1355" i="7"/>
  <c r="E1355" i="7"/>
  <c r="N1355" i="7"/>
  <c r="G1354" i="7"/>
  <c r="F1354" i="7"/>
  <c r="E1354" i="7"/>
  <c r="N1354" i="7"/>
  <c r="G1353" i="7"/>
  <c r="F1353" i="7"/>
  <c r="E1353" i="7"/>
  <c r="N1353" i="7"/>
  <c r="G1352" i="7"/>
  <c r="F1352" i="7"/>
  <c r="E1352" i="7"/>
  <c r="N1352" i="7"/>
  <c r="G1351" i="7"/>
  <c r="F1351" i="7"/>
  <c r="E1351" i="7"/>
  <c r="N1351" i="7"/>
  <c r="G1350" i="7"/>
  <c r="F1350" i="7"/>
  <c r="E1350" i="7"/>
  <c r="N1350" i="7"/>
  <c r="G1349" i="7"/>
  <c r="F1349" i="7"/>
  <c r="E1349" i="7"/>
  <c r="N1349" i="7"/>
  <c r="G1348" i="7"/>
  <c r="F1348" i="7"/>
  <c r="E1348" i="7"/>
  <c r="N1348" i="7"/>
  <c r="G1347" i="7"/>
  <c r="F1347" i="7"/>
  <c r="E1347" i="7"/>
  <c r="N1347" i="7"/>
  <c r="G1346" i="7"/>
  <c r="F1346" i="7"/>
  <c r="E1346" i="7"/>
  <c r="N1346" i="7"/>
  <c r="G1345" i="7"/>
  <c r="F1345" i="7"/>
  <c r="E1345" i="7"/>
  <c r="N1345" i="7"/>
  <c r="G1344" i="7"/>
  <c r="F1344" i="7"/>
  <c r="E1344" i="7"/>
  <c r="N1344" i="7"/>
  <c r="G1343" i="7"/>
  <c r="F1343" i="7"/>
  <c r="E1343" i="7"/>
  <c r="N1343" i="7"/>
  <c r="G1342" i="7"/>
  <c r="F1342" i="7"/>
  <c r="E1342" i="7"/>
  <c r="N1342" i="7"/>
  <c r="G1341" i="7"/>
  <c r="F1341" i="7"/>
  <c r="E1341" i="7"/>
  <c r="N1341" i="7"/>
  <c r="G1340" i="7"/>
  <c r="F1340" i="7"/>
  <c r="E1340" i="7"/>
  <c r="N1340" i="7"/>
  <c r="G1339" i="7"/>
  <c r="F1339" i="7"/>
  <c r="E1339" i="7"/>
  <c r="N1339" i="7"/>
  <c r="G1338" i="7"/>
  <c r="F1338" i="7"/>
  <c r="E1338" i="7"/>
  <c r="N1338" i="7"/>
  <c r="G1337" i="7"/>
  <c r="F1337" i="7"/>
  <c r="E1337" i="7"/>
  <c r="N1337" i="7"/>
  <c r="G1336" i="7"/>
  <c r="F1336" i="7"/>
  <c r="E1336" i="7"/>
  <c r="N1336" i="7"/>
  <c r="G1335" i="7"/>
  <c r="F1335" i="7"/>
  <c r="E1335" i="7"/>
  <c r="N1335" i="7"/>
  <c r="G1334" i="7"/>
  <c r="F1334" i="7"/>
  <c r="E1334" i="7"/>
  <c r="N1334" i="7"/>
  <c r="G1333" i="7"/>
  <c r="F1333" i="7"/>
  <c r="E1333" i="7"/>
  <c r="N1333" i="7"/>
  <c r="G1332" i="7"/>
  <c r="F1332" i="7"/>
  <c r="E1332" i="7"/>
  <c r="N1332" i="7"/>
  <c r="G1331" i="7"/>
  <c r="F1331" i="7"/>
  <c r="E1331" i="7"/>
  <c r="N1331" i="7"/>
  <c r="G1330" i="7"/>
  <c r="F1330" i="7"/>
  <c r="E1330" i="7"/>
  <c r="N1330" i="7"/>
  <c r="G1329" i="7"/>
  <c r="F1329" i="7"/>
  <c r="E1329" i="7"/>
  <c r="N1329" i="7"/>
  <c r="G1328" i="7"/>
  <c r="F1328" i="7"/>
  <c r="E1328" i="7"/>
  <c r="N1328" i="7"/>
  <c r="G1327" i="7"/>
  <c r="F1327" i="7"/>
  <c r="E1327" i="7"/>
  <c r="N1327" i="7"/>
  <c r="G1326" i="7"/>
  <c r="F1326" i="7"/>
  <c r="E1326" i="7"/>
  <c r="N1326" i="7"/>
  <c r="G1325" i="7"/>
  <c r="F1325" i="7"/>
  <c r="E1325" i="7"/>
  <c r="N1325" i="7"/>
  <c r="G1324" i="7"/>
  <c r="F1324" i="7"/>
  <c r="E1324" i="7"/>
  <c r="N1324" i="7"/>
  <c r="G1323" i="7"/>
  <c r="F1323" i="7"/>
  <c r="E1323" i="7"/>
  <c r="N1323" i="7"/>
  <c r="G1322" i="7"/>
  <c r="F1322" i="7"/>
  <c r="E1322" i="7"/>
  <c r="N1322" i="7"/>
  <c r="G1321" i="7"/>
  <c r="F1321" i="7"/>
  <c r="E1321" i="7"/>
  <c r="N1321" i="7"/>
  <c r="G1320" i="7"/>
  <c r="F1320" i="7"/>
  <c r="E1320" i="7"/>
  <c r="N1320" i="7"/>
  <c r="G1319" i="7"/>
  <c r="F1319" i="7"/>
  <c r="E1319" i="7"/>
  <c r="N1319" i="7"/>
  <c r="G1318" i="7"/>
  <c r="F1318" i="7"/>
  <c r="E1318" i="7"/>
  <c r="N1318" i="7"/>
  <c r="G1317" i="7"/>
  <c r="F1317" i="7"/>
  <c r="E1317" i="7"/>
  <c r="N1317" i="7"/>
  <c r="G1316" i="7"/>
  <c r="F1316" i="7"/>
  <c r="E1316" i="7"/>
  <c r="N1316" i="7"/>
  <c r="G1315" i="7"/>
  <c r="F1315" i="7"/>
  <c r="E1315" i="7"/>
  <c r="N1315" i="7"/>
  <c r="G1314" i="7"/>
  <c r="F1314" i="7"/>
  <c r="E1314" i="7"/>
  <c r="N1314" i="7"/>
  <c r="G1313" i="7"/>
  <c r="F1313" i="7"/>
  <c r="E1313" i="7"/>
  <c r="N1313" i="7"/>
  <c r="G1312" i="7"/>
  <c r="F1312" i="7"/>
  <c r="E1312" i="7"/>
  <c r="N1312" i="7"/>
  <c r="G1311" i="7"/>
  <c r="F1311" i="7"/>
  <c r="E1311" i="7"/>
  <c r="N1311" i="7"/>
  <c r="G1310" i="7"/>
  <c r="F1310" i="7"/>
  <c r="E1310" i="7"/>
  <c r="N1310" i="7"/>
  <c r="G1309" i="7"/>
  <c r="F1309" i="7"/>
  <c r="E1309" i="7"/>
  <c r="N1309" i="7"/>
  <c r="G1308" i="7"/>
  <c r="F1308" i="7"/>
  <c r="E1308" i="7"/>
  <c r="N1308" i="7"/>
  <c r="G1307" i="7"/>
  <c r="F1307" i="7"/>
  <c r="E1307" i="7"/>
  <c r="N1307" i="7"/>
  <c r="G1306" i="7"/>
  <c r="F1306" i="7"/>
  <c r="E1306" i="7"/>
  <c r="N1306" i="7"/>
  <c r="G1305" i="7"/>
  <c r="F1305" i="7"/>
  <c r="E1305" i="7"/>
  <c r="N1305" i="7"/>
  <c r="G1304" i="7"/>
  <c r="F1304" i="7"/>
  <c r="E1304" i="7"/>
  <c r="N1304" i="7"/>
  <c r="G1303" i="7"/>
  <c r="F1303" i="7"/>
  <c r="E1303" i="7"/>
  <c r="N1303" i="7"/>
  <c r="G1302" i="7"/>
  <c r="F1302" i="7"/>
  <c r="E1302" i="7"/>
  <c r="N1302" i="7"/>
  <c r="G1301" i="7"/>
  <c r="F1301" i="7"/>
  <c r="E1301" i="7"/>
  <c r="N1301" i="7"/>
  <c r="G1300" i="7"/>
  <c r="F1300" i="7"/>
  <c r="E1300" i="7"/>
  <c r="N1300" i="7"/>
  <c r="G1299" i="7"/>
  <c r="F1299" i="7"/>
  <c r="E1299" i="7"/>
  <c r="N1299" i="7"/>
  <c r="G1298" i="7"/>
  <c r="F1298" i="7"/>
  <c r="E1298" i="7"/>
  <c r="N1298" i="7"/>
  <c r="G1297" i="7"/>
  <c r="F1297" i="7"/>
  <c r="E1297" i="7"/>
  <c r="N1297" i="7"/>
  <c r="G1296" i="7"/>
  <c r="F1296" i="7"/>
  <c r="E1296" i="7"/>
  <c r="N1296" i="7"/>
  <c r="G1295" i="7"/>
  <c r="F1295" i="7"/>
  <c r="E1295" i="7"/>
  <c r="N1295" i="7"/>
  <c r="G1294" i="7"/>
  <c r="F1294" i="7"/>
  <c r="E1294" i="7"/>
  <c r="N1294" i="7"/>
  <c r="G1293" i="7"/>
  <c r="F1293" i="7"/>
  <c r="E1293" i="7"/>
  <c r="N1293" i="7"/>
  <c r="G1292" i="7"/>
  <c r="F1292" i="7"/>
  <c r="E1292" i="7"/>
  <c r="N1292" i="7"/>
  <c r="G1291" i="7"/>
  <c r="F1291" i="7"/>
  <c r="E1291" i="7"/>
  <c r="N1291" i="7"/>
  <c r="G1290" i="7"/>
  <c r="F1290" i="7"/>
  <c r="E1290" i="7"/>
  <c r="N1290" i="7"/>
  <c r="G1289" i="7"/>
  <c r="F1289" i="7"/>
  <c r="E1289" i="7"/>
  <c r="N1289" i="7"/>
  <c r="G1288" i="7"/>
  <c r="F1288" i="7"/>
  <c r="E1288" i="7"/>
  <c r="N1288" i="7"/>
  <c r="G1287" i="7"/>
  <c r="F1287" i="7"/>
  <c r="E1287" i="7"/>
  <c r="N1287" i="7"/>
  <c r="G1286" i="7"/>
  <c r="F1286" i="7"/>
  <c r="E1286" i="7"/>
  <c r="N1286" i="7"/>
  <c r="G1285" i="7"/>
  <c r="F1285" i="7"/>
  <c r="E1285" i="7"/>
  <c r="N1285" i="7"/>
  <c r="G1284" i="7"/>
  <c r="F1284" i="7"/>
  <c r="E1284" i="7"/>
  <c r="N1284" i="7"/>
  <c r="G1283" i="7"/>
  <c r="F1283" i="7"/>
  <c r="E1283" i="7"/>
  <c r="N1283" i="7"/>
  <c r="G1282" i="7"/>
  <c r="F1282" i="7"/>
  <c r="E1282" i="7"/>
  <c r="N1282" i="7"/>
  <c r="G1281" i="7"/>
  <c r="F1281" i="7"/>
  <c r="E1281" i="7"/>
  <c r="N1281" i="7"/>
  <c r="G1280" i="7"/>
  <c r="F1280" i="7"/>
  <c r="E1280" i="7"/>
  <c r="N1280" i="7"/>
  <c r="G1279" i="7"/>
  <c r="F1279" i="7"/>
  <c r="E1279" i="7"/>
  <c r="N1279" i="7"/>
  <c r="G1278" i="7"/>
  <c r="F1278" i="7"/>
  <c r="E1278" i="7"/>
  <c r="N1278" i="7"/>
  <c r="G1277" i="7"/>
  <c r="F1277" i="7"/>
  <c r="E1277" i="7"/>
  <c r="N1277" i="7"/>
  <c r="G1276" i="7"/>
  <c r="F1276" i="7"/>
  <c r="E1276" i="7"/>
  <c r="N1276" i="7"/>
  <c r="G1275" i="7"/>
  <c r="F1275" i="7"/>
  <c r="E1275" i="7"/>
  <c r="N1275" i="7"/>
  <c r="G1274" i="7"/>
  <c r="F1274" i="7"/>
  <c r="E1274" i="7"/>
  <c r="N1274" i="7"/>
  <c r="G1273" i="7"/>
  <c r="F1273" i="7"/>
  <c r="E1273" i="7"/>
  <c r="N1273" i="7"/>
  <c r="G1272" i="7"/>
  <c r="F1272" i="7"/>
  <c r="E1272" i="7"/>
  <c r="N1272" i="7"/>
  <c r="G1271" i="7"/>
  <c r="F1271" i="7"/>
  <c r="E1271" i="7"/>
  <c r="N1271" i="7"/>
  <c r="G1270" i="7"/>
  <c r="F1270" i="7"/>
  <c r="E1270" i="7"/>
  <c r="N1270" i="7"/>
  <c r="G1269" i="7"/>
  <c r="F1269" i="7"/>
  <c r="E1269" i="7"/>
  <c r="N1269" i="7"/>
  <c r="G1268" i="7"/>
  <c r="F1268" i="7"/>
  <c r="E1268" i="7"/>
  <c r="N1268" i="7"/>
  <c r="G1267" i="7"/>
  <c r="F1267" i="7"/>
  <c r="E1267" i="7"/>
  <c r="N1267" i="7"/>
  <c r="G1266" i="7"/>
  <c r="F1266" i="7"/>
  <c r="E1266" i="7"/>
  <c r="N1266" i="7"/>
  <c r="G1265" i="7"/>
  <c r="F1265" i="7"/>
  <c r="E1265" i="7"/>
  <c r="N1265" i="7"/>
  <c r="G1264" i="7"/>
  <c r="F1264" i="7"/>
  <c r="E1264" i="7"/>
  <c r="N1264" i="7"/>
  <c r="G1263" i="7"/>
  <c r="F1263" i="7"/>
  <c r="E1263" i="7"/>
  <c r="N1263" i="7"/>
  <c r="G1262" i="7"/>
  <c r="F1262" i="7"/>
  <c r="E1262" i="7"/>
  <c r="N1262" i="7"/>
  <c r="G1261" i="7"/>
  <c r="F1261" i="7"/>
  <c r="E1261" i="7"/>
  <c r="N1261" i="7"/>
  <c r="G1260" i="7"/>
  <c r="F1260" i="7"/>
  <c r="E1260" i="7"/>
  <c r="N1260" i="7"/>
  <c r="G1259" i="7"/>
  <c r="F1259" i="7"/>
  <c r="E1259" i="7"/>
  <c r="N1259" i="7"/>
  <c r="G1258" i="7"/>
  <c r="F1258" i="7"/>
  <c r="E1258" i="7"/>
  <c r="N1258" i="7"/>
  <c r="G1257" i="7"/>
  <c r="F1257" i="7"/>
  <c r="E1257" i="7"/>
  <c r="N1257" i="7"/>
  <c r="G1256" i="7"/>
  <c r="F1256" i="7"/>
  <c r="E1256" i="7"/>
  <c r="N1256" i="7"/>
  <c r="G1255" i="7"/>
  <c r="F1255" i="7"/>
  <c r="E1255" i="7"/>
  <c r="N1255" i="7"/>
  <c r="G1254" i="7"/>
  <c r="F1254" i="7"/>
  <c r="E1254" i="7"/>
  <c r="N1254" i="7"/>
  <c r="G1253" i="7"/>
  <c r="F1253" i="7"/>
  <c r="E1253" i="7"/>
  <c r="N1253" i="7"/>
  <c r="G1252" i="7"/>
  <c r="F1252" i="7"/>
  <c r="E1252" i="7"/>
  <c r="N1252" i="7"/>
  <c r="G1251" i="7"/>
  <c r="F1251" i="7"/>
  <c r="E1251" i="7"/>
  <c r="N1251" i="7"/>
  <c r="G1250" i="7"/>
  <c r="F1250" i="7"/>
  <c r="E1250" i="7"/>
  <c r="N1250" i="7"/>
  <c r="G1249" i="7"/>
  <c r="F1249" i="7"/>
  <c r="E1249" i="7"/>
  <c r="N1249" i="7"/>
  <c r="G1248" i="7"/>
  <c r="F1248" i="7"/>
  <c r="E1248" i="7"/>
  <c r="N1248" i="7"/>
  <c r="G1247" i="7"/>
  <c r="F1247" i="7"/>
  <c r="E1247" i="7"/>
  <c r="N1247" i="7"/>
  <c r="G1246" i="7"/>
  <c r="F1246" i="7"/>
  <c r="E1246" i="7"/>
  <c r="N1246" i="7"/>
  <c r="G1245" i="7"/>
  <c r="F1245" i="7"/>
  <c r="E1245" i="7"/>
  <c r="N1245" i="7"/>
  <c r="G1244" i="7"/>
  <c r="F1244" i="7"/>
  <c r="E1244" i="7"/>
  <c r="N1244" i="7"/>
  <c r="G1243" i="7"/>
  <c r="F1243" i="7"/>
  <c r="E1243" i="7"/>
  <c r="N1243" i="7"/>
  <c r="G1242" i="7"/>
  <c r="F1242" i="7"/>
  <c r="E1242" i="7"/>
  <c r="N1242" i="7"/>
  <c r="G1241" i="7"/>
  <c r="F1241" i="7"/>
  <c r="E1241" i="7"/>
  <c r="N1241" i="7"/>
  <c r="G1240" i="7"/>
  <c r="F1240" i="7"/>
  <c r="E1240" i="7"/>
  <c r="N1240" i="7"/>
  <c r="G1239" i="7"/>
  <c r="F1239" i="7"/>
  <c r="E1239" i="7"/>
  <c r="N1239" i="7"/>
  <c r="G1238" i="7"/>
  <c r="F1238" i="7"/>
  <c r="E1238" i="7"/>
  <c r="N1238" i="7"/>
  <c r="G1237" i="7"/>
  <c r="F1237" i="7"/>
  <c r="E1237" i="7"/>
  <c r="N1237" i="7"/>
  <c r="G1236" i="7"/>
  <c r="F1236" i="7"/>
  <c r="E1236" i="7"/>
  <c r="N1236" i="7"/>
  <c r="G1235" i="7"/>
  <c r="F1235" i="7"/>
  <c r="E1235" i="7"/>
  <c r="N1235" i="7"/>
  <c r="G1234" i="7"/>
  <c r="F1234" i="7"/>
  <c r="E1234" i="7"/>
  <c r="N1234" i="7"/>
  <c r="G1233" i="7"/>
  <c r="F1233" i="7"/>
  <c r="E1233" i="7"/>
  <c r="N1233" i="7"/>
  <c r="G1232" i="7"/>
  <c r="F1232" i="7"/>
  <c r="E1232" i="7"/>
  <c r="N1232" i="7"/>
  <c r="G1231" i="7"/>
  <c r="F1231" i="7"/>
  <c r="E1231" i="7"/>
  <c r="N1231" i="7"/>
  <c r="G1230" i="7"/>
  <c r="F1230" i="7"/>
  <c r="E1230" i="7"/>
  <c r="N1230" i="7"/>
  <c r="G1229" i="7"/>
  <c r="F1229" i="7"/>
  <c r="E1229" i="7"/>
  <c r="N1229" i="7"/>
  <c r="G1228" i="7"/>
  <c r="F1228" i="7"/>
  <c r="E1228" i="7"/>
  <c r="N1228" i="7"/>
  <c r="G1227" i="7"/>
  <c r="F1227" i="7"/>
  <c r="E1227" i="7"/>
  <c r="N1227" i="7"/>
  <c r="G1226" i="7"/>
  <c r="F1226" i="7"/>
  <c r="E1226" i="7"/>
  <c r="N1226" i="7"/>
  <c r="G1225" i="7"/>
  <c r="F1225" i="7"/>
  <c r="E1225" i="7"/>
  <c r="N1225" i="7"/>
  <c r="G1224" i="7"/>
  <c r="F1224" i="7"/>
  <c r="E1224" i="7"/>
  <c r="N1224" i="7"/>
  <c r="G1223" i="7"/>
  <c r="F1223" i="7"/>
  <c r="E1223" i="7"/>
  <c r="N1223" i="7"/>
  <c r="G1222" i="7"/>
  <c r="F1222" i="7"/>
  <c r="E1222" i="7"/>
  <c r="N1222" i="7"/>
  <c r="G1221" i="7"/>
  <c r="F1221" i="7"/>
  <c r="E1221" i="7"/>
  <c r="N1221" i="7"/>
  <c r="G1220" i="7"/>
  <c r="F1220" i="7"/>
  <c r="E1220" i="7"/>
  <c r="N1220" i="7"/>
  <c r="G1219" i="7"/>
  <c r="F1219" i="7"/>
  <c r="E1219" i="7"/>
  <c r="N1219" i="7"/>
  <c r="G1218" i="7"/>
  <c r="F1218" i="7"/>
  <c r="E1218" i="7"/>
  <c r="N1218" i="7"/>
  <c r="G1217" i="7"/>
  <c r="F1217" i="7"/>
  <c r="E1217" i="7"/>
  <c r="N1217" i="7"/>
  <c r="G1216" i="7"/>
  <c r="F1216" i="7"/>
  <c r="E1216" i="7"/>
  <c r="N1216" i="7"/>
  <c r="G1215" i="7"/>
  <c r="F1215" i="7"/>
  <c r="E1215" i="7"/>
  <c r="N1215" i="7"/>
  <c r="G1214" i="7"/>
  <c r="F1214" i="7"/>
  <c r="E1214" i="7"/>
  <c r="N1214" i="7"/>
  <c r="G1213" i="7"/>
  <c r="F1213" i="7"/>
  <c r="E1213" i="7"/>
  <c r="N1213" i="7"/>
  <c r="G1212" i="7"/>
  <c r="F1212" i="7"/>
  <c r="E1212" i="7"/>
  <c r="N1212" i="7"/>
  <c r="G1211" i="7"/>
  <c r="F1211" i="7"/>
  <c r="E1211" i="7"/>
  <c r="N1211" i="7"/>
  <c r="G1210" i="7"/>
  <c r="F1210" i="7"/>
  <c r="E1210" i="7"/>
  <c r="N1210" i="7"/>
  <c r="G1209" i="7"/>
  <c r="F1209" i="7"/>
  <c r="E1209" i="7"/>
  <c r="N1209" i="7"/>
  <c r="G1208" i="7"/>
  <c r="F1208" i="7"/>
  <c r="E1208" i="7"/>
  <c r="N1208" i="7"/>
  <c r="G1207" i="7"/>
  <c r="F1207" i="7"/>
  <c r="E1207" i="7"/>
  <c r="N1207" i="7"/>
  <c r="G1206" i="7"/>
  <c r="F1206" i="7"/>
  <c r="E1206" i="7"/>
  <c r="N1206" i="7"/>
  <c r="G1205" i="7"/>
  <c r="F1205" i="7"/>
  <c r="E1205" i="7"/>
  <c r="N1205" i="7"/>
  <c r="G1204" i="7"/>
  <c r="F1204" i="7"/>
  <c r="E1204" i="7"/>
  <c r="N1204" i="7"/>
  <c r="G1203" i="7"/>
  <c r="F1203" i="7"/>
  <c r="E1203" i="7"/>
  <c r="N1203" i="7"/>
  <c r="G1202" i="7"/>
  <c r="F1202" i="7"/>
  <c r="E1202" i="7"/>
  <c r="N1202" i="7"/>
  <c r="G1201" i="7"/>
  <c r="F1201" i="7"/>
  <c r="E1201" i="7"/>
  <c r="N1201" i="7"/>
  <c r="G1200" i="7"/>
  <c r="F1200" i="7"/>
  <c r="E1200" i="7"/>
  <c r="N1200" i="7"/>
  <c r="G1199" i="7"/>
  <c r="F1199" i="7"/>
  <c r="E1199" i="7"/>
  <c r="N1199" i="7"/>
  <c r="G1198" i="7"/>
  <c r="F1198" i="7"/>
  <c r="E1198" i="7"/>
  <c r="N1198" i="7"/>
  <c r="G1197" i="7"/>
  <c r="F1197" i="7"/>
  <c r="E1197" i="7"/>
  <c r="N1197" i="7"/>
  <c r="G1196" i="7"/>
  <c r="F1196" i="7"/>
  <c r="E1196" i="7"/>
  <c r="N1196" i="7"/>
  <c r="G1195" i="7"/>
  <c r="F1195" i="7"/>
  <c r="E1195" i="7"/>
  <c r="N1195" i="7"/>
  <c r="G1194" i="7"/>
  <c r="F1194" i="7"/>
  <c r="E1194" i="7"/>
  <c r="N1194" i="7"/>
  <c r="G1193" i="7"/>
  <c r="F1193" i="7"/>
  <c r="E1193" i="7"/>
  <c r="N1193" i="7"/>
  <c r="G1192" i="7"/>
  <c r="F1192" i="7"/>
  <c r="E1192" i="7"/>
  <c r="N1192" i="7"/>
  <c r="G1191" i="7"/>
  <c r="F1191" i="7"/>
  <c r="E1191" i="7"/>
  <c r="N1191" i="7"/>
  <c r="G1190" i="7"/>
  <c r="F1190" i="7"/>
  <c r="E1190" i="7"/>
  <c r="N1190" i="7"/>
  <c r="G1189" i="7"/>
  <c r="F1189" i="7"/>
  <c r="E1189" i="7"/>
  <c r="N1189" i="7"/>
  <c r="G1188" i="7"/>
  <c r="F1188" i="7"/>
  <c r="E1188" i="7"/>
  <c r="N1188" i="7"/>
  <c r="G1187" i="7"/>
  <c r="F1187" i="7"/>
  <c r="E1187" i="7"/>
  <c r="N1187" i="7"/>
  <c r="G1186" i="7"/>
  <c r="F1186" i="7"/>
  <c r="E1186" i="7"/>
  <c r="N1186" i="7"/>
  <c r="G1185" i="7"/>
  <c r="F1185" i="7"/>
  <c r="E1185" i="7"/>
  <c r="N1185" i="7"/>
  <c r="G1184" i="7"/>
  <c r="F1184" i="7"/>
  <c r="E1184" i="7"/>
  <c r="N1184" i="7"/>
  <c r="G1183" i="7"/>
  <c r="F1183" i="7"/>
  <c r="E1183" i="7"/>
  <c r="N1183" i="7"/>
  <c r="G1182" i="7"/>
  <c r="F1182" i="7"/>
  <c r="E1182" i="7"/>
  <c r="N1182" i="7"/>
  <c r="G1181" i="7"/>
  <c r="F1181" i="7"/>
  <c r="E1181" i="7"/>
  <c r="N1181" i="7"/>
  <c r="G1180" i="7"/>
  <c r="F1180" i="7"/>
  <c r="E1180" i="7"/>
  <c r="N1180" i="7"/>
  <c r="G1179" i="7"/>
  <c r="F1179" i="7"/>
  <c r="E1179" i="7"/>
  <c r="N1179" i="7"/>
  <c r="G1178" i="7"/>
  <c r="F1178" i="7"/>
  <c r="E1178" i="7"/>
  <c r="N1178" i="7"/>
  <c r="G1177" i="7"/>
  <c r="F1177" i="7"/>
  <c r="E1177" i="7"/>
  <c r="N1177" i="7"/>
  <c r="G1176" i="7"/>
  <c r="F1176" i="7"/>
  <c r="E1176" i="7"/>
  <c r="N1176" i="7"/>
  <c r="G1175" i="7"/>
  <c r="F1175" i="7"/>
  <c r="E1175" i="7"/>
  <c r="N1175" i="7"/>
  <c r="G1174" i="7"/>
  <c r="F1174" i="7"/>
  <c r="E1174" i="7"/>
  <c r="N1174" i="7"/>
  <c r="G1173" i="7"/>
  <c r="F1173" i="7"/>
  <c r="E1173" i="7"/>
  <c r="N1173" i="7"/>
  <c r="G1172" i="7"/>
  <c r="F1172" i="7"/>
  <c r="E1172" i="7"/>
  <c r="N1172" i="7"/>
  <c r="G1171" i="7"/>
  <c r="F1171" i="7"/>
  <c r="E1171" i="7"/>
  <c r="N1171" i="7"/>
  <c r="G1170" i="7"/>
  <c r="F1170" i="7"/>
  <c r="E1170" i="7"/>
  <c r="N1170" i="7"/>
  <c r="G1169" i="7"/>
  <c r="F1169" i="7"/>
  <c r="E1169" i="7"/>
  <c r="N1169" i="7"/>
  <c r="G1168" i="7"/>
  <c r="F1168" i="7"/>
  <c r="E1168" i="7"/>
  <c r="N1168" i="7"/>
  <c r="G1167" i="7"/>
  <c r="F1167" i="7"/>
  <c r="E1167" i="7"/>
  <c r="N1167" i="7"/>
  <c r="G1166" i="7"/>
  <c r="F1166" i="7"/>
  <c r="E1166" i="7"/>
  <c r="N1166" i="7"/>
  <c r="G1165" i="7"/>
  <c r="F1165" i="7"/>
  <c r="E1165" i="7"/>
  <c r="N1165" i="7"/>
  <c r="G1164" i="7"/>
  <c r="F1164" i="7"/>
  <c r="E1164" i="7"/>
  <c r="N1164" i="7"/>
  <c r="G1163" i="7"/>
  <c r="F1163" i="7"/>
  <c r="E1163" i="7"/>
  <c r="N1163" i="7"/>
  <c r="G1162" i="7"/>
  <c r="F1162" i="7"/>
  <c r="E1162" i="7"/>
  <c r="N1162" i="7"/>
  <c r="G1161" i="7"/>
  <c r="F1161" i="7"/>
  <c r="E1161" i="7"/>
  <c r="N1161" i="7"/>
  <c r="G1160" i="7"/>
  <c r="F1160" i="7"/>
  <c r="E1160" i="7"/>
  <c r="N1160" i="7"/>
  <c r="G1159" i="7"/>
  <c r="F1159" i="7"/>
  <c r="E1159" i="7"/>
  <c r="N1159" i="7"/>
  <c r="G1158" i="7"/>
  <c r="F1158" i="7"/>
  <c r="E1158" i="7"/>
  <c r="N1158" i="7"/>
  <c r="G1157" i="7"/>
  <c r="F1157" i="7"/>
  <c r="E1157" i="7"/>
  <c r="N1157" i="7"/>
  <c r="G1156" i="7"/>
  <c r="F1156" i="7"/>
  <c r="E1156" i="7"/>
  <c r="N1156" i="7"/>
  <c r="G1155" i="7"/>
  <c r="F1155" i="7"/>
  <c r="E1155" i="7"/>
  <c r="N1155" i="7"/>
  <c r="G1154" i="7"/>
  <c r="F1154" i="7"/>
  <c r="E1154" i="7"/>
  <c r="N1154" i="7"/>
  <c r="G1153" i="7"/>
  <c r="F1153" i="7"/>
  <c r="E1153" i="7"/>
  <c r="N1153" i="7"/>
  <c r="G1152" i="7"/>
  <c r="F1152" i="7"/>
  <c r="E1152" i="7"/>
  <c r="N1152" i="7"/>
  <c r="G1151" i="7"/>
  <c r="F1151" i="7"/>
  <c r="E1151" i="7"/>
  <c r="N1151" i="7"/>
  <c r="G1150" i="7"/>
  <c r="F1150" i="7"/>
  <c r="E1150" i="7"/>
  <c r="N1150" i="7"/>
  <c r="G1149" i="7"/>
  <c r="F1149" i="7"/>
  <c r="E1149" i="7"/>
  <c r="N1149" i="7"/>
  <c r="G1148" i="7"/>
  <c r="F1148" i="7"/>
  <c r="E1148" i="7"/>
  <c r="N1148" i="7"/>
  <c r="G1147" i="7"/>
  <c r="F1147" i="7"/>
  <c r="E1147" i="7"/>
  <c r="N1147" i="7"/>
  <c r="G1146" i="7"/>
  <c r="F1146" i="7"/>
  <c r="E1146" i="7"/>
  <c r="N1146" i="7"/>
  <c r="G1145" i="7"/>
  <c r="F1145" i="7"/>
  <c r="E1145" i="7"/>
  <c r="N1145" i="7"/>
  <c r="G1144" i="7"/>
  <c r="F1144" i="7"/>
  <c r="E1144" i="7"/>
  <c r="N1144" i="7"/>
  <c r="G1143" i="7"/>
  <c r="F1143" i="7"/>
  <c r="E1143" i="7"/>
  <c r="N1143" i="7"/>
  <c r="G1142" i="7"/>
  <c r="F1142" i="7"/>
  <c r="E1142" i="7"/>
  <c r="N1142" i="7"/>
  <c r="G1141" i="7"/>
  <c r="F1141" i="7"/>
  <c r="E1141" i="7"/>
  <c r="N1141" i="7"/>
  <c r="G1140" i="7"/>
  <c r="F1140" i="7"/>
  <c r="E1140" i="7"/>
  <c r="N1140" i="7"/>
  <c r="G1139" i="7"/>
  <c r="F1139" i="7"/>
  <c r="E1139" i="7"/>
  <c r="N1139" i="7"/>
  <c r="G1138" i="7"/>
  <c r="F1138" i="7"/>
  <c r="E1138" i="7"/>
  <c r="N1138" i="7"/>
  <c r="G1137" i="7"/>
  <c r="F1137" i="7"/>
  <c r="E1137" i="7"/>
  <c r="N1137" i="7"/>
  <c r="G1136" i="7"/>
  <c r="F1136" i="7"/>
  <c r="E1136" i="7"/>
  <c r="N1136" i="7"/>
  <c r="G1135" i="7"/>
  <c r="F1135" i="7"/>
  <c r="E1135" i="7"/>
  <c r="N1135" i="7"/>
  <c r="G1134" i="7"/>
  <c r="F1134" i="7"/>
  <c r="E1134" i="7"/>
  <c r="N1134" i="7"/>
  <c r="G1133" i="7"/>
  <c r="F1133" i="7"/>
  <c r="E1133" i="7"/>
  <c r="N1133" i="7"/>
  <c r="G1132" i="7"/>
  <c r="F1132" i="7"/>
  <c r="E1132" i="7"/>
  <c r="N1132" i="7"/>
  <c r="G1131" i="7"/>
  <c r="F1131" i="7"/>
  <c r="E1131" i="7"/>
  <c r="N1131" i="7"/>
  <c r="G1130" i="7"/>
  <c r="F1130" i="7"/>
  <c r="E1130" i="7"/>
  <c r="N1130" i="7"/>
  <c r="G1129" i="7"/>
  <c r="F1129" i="7"/>
  <c r="E1129" i="7"/>
  <c r="N1129" i="7"/>
  <c r="G1128" i="7"/>
  <c r="F1128" i="7"/>
  <c r="E1128" i="7"/>
  <c r="N1128" i="7"/>
  <c r="G1127" i="7"/>
  <c r="F1127" i="7"/>
  <c r="E1127" i="7"/>
  <c r="N1127" i="7"/>
  <c r="G1126" i="7"/>
  <c r="F1126" i="7"/>
  <c r="E1126" i="7"/>
  <c r="N1126" i="7"/>
  <c r="G1125" i="7"/>
  <c r="F1125" i="7"/>
  <c r="E1125" i="7"/>
  <c r="N1125" i="7"/>
  <c r="G1124" i="7"/>
  <c r="F1124" i="7"/>
  <c r="E1124" i="7"/>
  <c r="N1124" i="7"/>
  <c r="G1123" i="7"/>
  <c r="F1123" i="7"/>
  <c r="E1123" i="7"/>
  <c r="N1123" i="7"/>
  <c r="G1122" i="7"/>
  <c r="F1122" i="7"/>
  <c r="E1122" i="7"/>
  <c r="N1122" i="7"/>
  <c r="G1121" i="7"/>
  <c r="F1121" i="7"/>
  <c r="E1121" i="7"/>
  <c r="N1121" i="7"/>
  <c r="G1120" i="7"/>
  <c r="F1120" i="7"/>
  <c r="E1120" i="7"/>
  <c r="N1120" i="7"/>
  <c r="G1119" i="7"/>
  <c r="F1119" i="7"/>
  <c r="E1119" i="7"/>
  <c r="N1119" i="7"/>
  <c r="G1118" i="7"/>
  <c r="F1118" i="7"/>
  <c r="E1118" i="7"/>
  <c r="N1118" i="7"/>
  <c r="G1117" i="7"/>
  <c r="F1117" i="7"/>
  <c r="E1117" i="7"/>
  <c r="N1117" i="7"/>
  <c r="G1116" i="7"/>
  <c r="F1116" i="7"/>
  <c r="E1116" i="7"/>
  <c r="N1116" i="7"/>
  <c r="G1115" i="7"/>
  <c r="F1115" i="7"/>
  <c r="E1115" i="7"/>
  <c r="N1115" i="7"/>
  <c r="G1114" i="7"/>
  <c r="F1114" i="7"/>
  <c r="E1114" i="7"/>
  <c r="N1114" i="7"/>
  <c r="G1113" i="7"/>
  <c r="F1113" i="7"/>
  <c r="E1113" i="7"/>
  <c r="N1113" i="7"/>
  <c r="G1112" i="7"/>
  <c r="F1112" i="7"/>
  <c r="E1112" i="7"/>
  <c r="N1112" i="7"/>
  <c r="G1111" i="7"/>
  <c r="F1111" i="7"/>
  <c r="E1111" i="7"/>
  <c r="N1111" i="7"/>
  <c r="G1110" i="7"/>
  <c r="F1110" i="7"/>
  <c r="E1110" i="7"/>
  <c r="N1110" i="7"/>
  <c r="G1109" i="7"/>
  <c r="F1109" i="7"/>
  <c r="E1109" i="7"/>
  <c r="N1109" i="7"/>
  <c r="G1108" i="7"/>
  <c r="F1108" i="7"/>
  <c r="E1108" i="7"/>
  <c r="N1108" i="7"/>
  <c r="G1107" i="7"/>
  <c r="F1107" i="7"/>
  <c r="E1107" i="7"/>
  <c r="N1107" i="7"/>
  <c r="G1106" i="7"/>
  <c r="F1106" i="7"/>
  <c r="E1106" i="7"/>
  <c r="N1106" i="7"/>
  <c r="G1105" i="7"/>
  <c r="F1105" i="7"/>
  <c r="E1105" i="7"/>
  <c r="N1105" i="7"/>
  <c r="G1104" i="7"/>
  <c r="F1104" i="7"/>
  <c r="E1104" i="7"/>
  <c r="N1104" i="7"/>
  <c r="G1103" i="7"/>
  <c r="F1103" i="7"/>
  <c r="E1103" i="7"/>
  <c r="N1103" i="7"/>
  <c r="G1102" i="7"/>
  <c r="F1102" i="7"/>
  <c r="E1102" i="7"/>
  <c r="N1102" i="7"/>
  <c r="G1101" i="7"/>
  <c r="F1101" i="7"/>
  <c r="E1101" i="7"/>
  <c r="N1101" i="7"/>
  <c r="G1100" i="7"/>
  <c r="F1100" i="7"/>
  <c r="E1100" i="7"/>
  <c r="N1100" i="7"/>
  <c r="G1099" i="7"/>
  <c r="F1099" i="7"/>
  <c r="E1099" i="7"/>
  <c r="N1099" i="7"/>
  <c r="G1098" i="7"/>
  <c r="F1098" i="7"/>
  <c r="E1098" i="7"/>
  <c r="N1098" i="7"/>
  <c r="G1097" i="7"/>
  <c r="F1097" i="7"/>
  <c r="E1097" i="7"/>
  <c r="N1097" i="7"/>
  <c r="G1096" i="7"/>
  <c r="F1096" i="7"/>
  <c r="E1096" i="7"/>
  <c r="N1096" i="7"/>
  <c r="G1095" i="7"/>
  <c r="F1095" i="7"/>
  <c r="E1095" i="7"/>
  <c r="N1095" i="7"/>
  <c r="G1094" i="7"/>
  <c r="F1094" i="7"/>
  <c r="E1094" i="7"/>
  <c r="N1094" i="7"/>
  <c r="G1093" i="7"/>
  <c r="F1093" i="7"/>
  <c r="E1093" i="7"/>
  <c r="N1093" i="7"/>
  <c r="G1092" i="7"/>
  <c r="F1092" i="7"/>
  <c r="E1092" i="7"/>
  <c r="N1092" i="7"/>
  <c r="G1091" i="7"/>
  <c r="F1091" i="7"/>
  <c r="E1091" i="7"/>
  <c r="N1091" i="7"/>
  <c r="G1090" i="7"/>
  <c r="F1090" i="7"/>
  <c r="E1090" i="7"/>
  <c r="N1090" i="7"/>
  <c r="G1089" i="7"/>
  <c r="F1089" i="7"/>
  <c r="E1089" i="7"/>
  <c r="N1089" i="7"/>
  <c r="G1088" i="7"/>
  <c r="F1088" i="7"/>
  <c r="E1088" i="7"/>
  <c r="N1088" i="7"/>
  <c r="G1087" i="7"/>
  <c r="F1087" i="7"/>
  <c r="E1087" i="7"/>
  <c r="N1087" i="7"/>
  <c r="G1086" i="7"/>
  <c r="F1086" i="7"/>
  <c r="E1086" i="7"/>
  <c r="N1086" i="7"/>
  <c r="G1085" i="7"/>
  <c r="F1085" i="7"/>
  <c r="E1085" i="7"/>
  <c r="N1085" i="7"/>
  <c r="G1084" i="7"/>
  <c r="F1084" i="7"/>
  <c r="E1084" i="7"/>
  <c r="N1084" i="7"/>
  <c r="G1083" i="7"/>
  <c r="F1083" i="7"/>
  <c r="E1083" i="7"/>
  <c r="N1083" i="7"/>
  <c r="G1082" i="7"/>
  <c r="F1082" i="7"/>
  <c r="E1082" i="7"/>
  <c r="N1082" i="7"/>
  <c r="G1081" i="7"/>
  <c r="F1081" i="7"/>
  <c r="E1081" i="7"/>
  <c r="N1081" i="7"/>
  <c r="G1080" i="7"/>
  <c r="F1080" i="7"/>
  <c r="E1080" i="7"/>
  <c r="N1080" i="7"/>
  <c r="G1079" i="7"/>
  <c r="F1079" i="7"/>
  <c r="E1079" i="7"/>
  <c r="N1079" i="7"/>
  <c r="G1078" i="7"/>
  <c r="F1078" i="7"/>
  <c r="E1078" i="7"/>
  <c r="N1078" i="7"/>
  <c r="G1077" i="7"/>
  <c r="F1077" i="7"/>
  <c r="E1077" i="7"/>
  <c r="N1077" i="7"/>
  <c r="G1076" i="7"/>
  <c r="F1076" i="7"/>
  <c r="E1076" i="7"/>
  <c r="N1076" i="7"/>
  <c r="G1075" i="7"/>
  <c r="F1075" i="7"/>
  <c r="E1075" i="7"/>
  <c r="N1075" i="7"/>
  <c r="G1074" i="7"/>
  <c r="F1074" i="7"/>
  <c r="E1074" i="7"/>
  <c r="N1074" i="7"/>
  <c r="G1073" i="7"/>
  <c r="F1073" i="7"/>
  <c r="E1073" i="7"/>
  <c r="N1073" i="7"/>
  <c r="G1072" i="7"/>
  <c r="F1072" i="7"/>
  <c r="E1072" i="7"/>
  <c r="N1072" i="7"/>
  <c r="G1071" i="7"/>
  <c r="F1071" i="7"/>
  <c r="E1071" i="7"/>
  <c r="N1071" i="7"/>
  <c r="G1070" i="7"/>
  <c r="F1070" i="7"/>
  <c r="E1070" i="7"/>
  <c r="N1070" i="7"/>
  <c r="G1069" i="7"/>
  <c r="F1069" i="7"/>
  <c r="E1069" i="7"/>
  <c r="N1069" i="7"/>
  <c r="G1068" i="7"/>
  <c r="F1068" i="7"/>
  <c r="E1068" i="7"/>
  <c r="N1068" i="7"/>
  <c r="G1067" i="7"/>
  <c r="F1067" i="7"/>
  <c r="E1067" i="7"/>
  <c r="N1067" i="7"/>
  <c r="G1066" i="7"/>
  <c r="F1066" i="7"/>
  <c r="E1066" i="7"/>
  <c r="N1066" i="7"/>
  <c r="G1065" i="7"/>
  <c r="F1065" i="7"/>
  <c r="E1065" i="7"/>
  <c r="N1065" i="7"/>
  <c r="G1064" i="7"/>
  <c r="F1064" i="7"/>
  <c r="E1064" i="7"/>
  <c r="N1064" i="7"/>
  <c r="G1063" i="7"/>
  <c r="F1063" i="7"/>
  <c r="E1063" i="7"/>
  <c r="N1063" i="7"/>
  <c r="G1062" i="7"/>
  <c r="F1062" i="7"/>
  <c r="E1062" i="7"/>
  <c r="N1062" i="7"/>
  <c r="G1061" i="7"/>
  <c r="F1061" i="7"/>
  <c r="E1061" i="7"/>
  <c r="N1061" i="7"/>
  <c r="G1060" i="7"/>
  <c r="F1060" i="7"/>
  <c r="E1060" i="7"/>
  <c r="N1060" i="7"/>
  <c r="G1059" i="7"/>
  <c r="F1059" i="7"/>
  <c r="E1059" i="7"/>
  <c r="N1059" i="7"/>
  <c r="G1058" i="7"/>
  <c r="F1058" i="7"/>
  <c r="E1058" i="7"/>
  <c r="N1058" i="7"/>
  <c r="G1057" i="7"/>
  <c r="F1057" i="7"/>
  <c r="E1057" i="7"/>
  <c r="N1057" i="7"/>
  <c r="G1056" i="7"/>
  <c r="F1056" i="7"/>
  <c r="E1056" i="7"/>
  <c r="N1056" i="7"/>
  <c r="G1055" i="7"/>
  <c r="F1055" i="7"/>
  <c r="E1055" i="7"/>
  <c r="N1055" i="7"/>
  <c r="G1054" i="7"/>
  <c r="F1054" i="7"/>
  <c r="E1054" i="7"/>
  <c r="N1054" i="7"/>
  <c r="G1053" i="7"/>
  <c r="F1053" i="7"/>
  <c r="E1053" i="7"/>
  <c r="N1053" i="7"/>
  <c r="G1052" i="7"/>
  <c r="F1052" i="7"/>
  <c r="E1052" i="7"/>
  <c r="N1052" i="7"/>
  <c r="G1051" i="7"/>
  <c r="F1051" i="7"/>
  <c r="E1051" i="7"/>
  <c r="N1051" i="7"/>
  <c r="G1050" i="7"/>
  <c r="F1050" i="7"/>
  <c r="E1050" i="7"/>
  <c r="N1050" i="7"/>
  <c r="G1049" i="7"/>
  <c r="F1049" i="7"/>
  <c r="E1049" i="7"/>
  <c r="N1049" i="7"/>
  <c r="G1048" i="7"/>
  <c r="F1048" i="7"/>
  <c r="E1048" i="7"/>
  <c r="N1048" i="7"/>
  <c r="G1047" i="7"/>
  <c r="F1047" i="7"/>
  <c r="E1047" i="7"/>
  <c r="N1047" i="7"/>
  <c r="G1046" i="7"/>
  <c r="F1046" i="7"/>
  <c r="E1046" i="7"/>
  <c r="N1046" i="7"/>
  <c r="G1045" i="7"/>
  <c r="F1045" i="7"/>
  <c r="E1045" i="7"/>
  <c r="N1045" i="7"/>
  <c r="G1044" i="7"/>
  <c r="F1044" i="7"/>
  <c r="E1044" i="7"/>
  <c r="N1044" i="7"/>
  <c r="G1043" i="7"/>
  <c r="F1043" i="7"/>
  <c r="E1043" i="7"/>
  <c r="N1043" i="7"/>
  <c r="G1042" i="7"/>
  <c r="F1042" i="7"/>
  <c r="E1042" i="7"/>
  <c r="N1042" i="7"/>
  <c r="G1041" i="7"/>
  <c r="F1041" i="7"/>
  <c r="E1041" i="7"/>
  <c r="N1041" i="7"/>
  <c r="G1040" i="7"/>
  <c r="F1040" i="7"/>
  <c r="E1040" i="7"/>
  <c r="N1040" i="7"/>
  <c r="G1039" i="7"/>
  <c r="F1039" i="7"/>
  <c r="E1039" i="7"/>
  <c r="N1039" i="7"/>
  <c r="G1038" i="7"/>
  <c r="F1038" i="7"/>
  <c r="E1038" i="7"/>
  <c r="N1038" i="7"/>
  <c r="G1037" i="7"/>
  <c r="F1037" i="7"/>
  <c r="E1037" i="7"/>
  <c r="N1037" i="7"/>
  <c r="G1036" i="7"/>
  <c r="F1036" i="7"/>
  <c r="E1036" i="7"/>
  <c r="N1036" i="7"/>
  <c r="G1035" i="7"/>
  <c r="F1035" i="7"/>
  <c r="E1035" i="7"/>
  <c r="N1035" i="7"/>
  <c r="G1034" i="7"/>
  <c r="F1034" i="7"/>
  <c r="E1034" i="7"/>
  <c r="N1034" i="7"/>
  <c r="G1033" i="7"/>
  <c r="F1033" i="7"/>
  <c r="E1033" i="7"/>
  <c r="N1033" i="7"/>
  <c r="G1032" i="7"/>
  <c r="F1032" i="7"/>
  <c r="E1032" i="7"/>
  <c r="N1032" i="7"/>
  <c r="G1031" i="7"/>
  <c r="F1031" i="7"/>
  <c r="E1031" i="7"/>
  <c r="N1031" i="7"/>
  <c r="G1030" i="7"/>
  <c r="F1030" i="7"/>
  <c r="E1030" i="7"/>
  <c r="N1030" i="7"/>
  <c r="G1029" i="7"/>
  <c r="F1029" i="7"/>
  <c r="E1029" i="7"/>
  <c r="N1029" i="7"/>
  <c r="G1028" i="7"/>
  <c r="F1028" i="7"/>
  <c r="E1028" i="7"/>
  <c r="N1028" i="7"/>
  <c r="G1027" i="7"/>
  <c r="F1027" i="7"/>
  <c r="E1027" i="7"/>
  <c r="N1027" i="7"/>
  <c r="G1026" i="7"/>
  <c r="F1026" i="7"/>
  <c r="E1026" i="7"/>
  <c r="N1026" i="7"/>
  <c r="G1025" i="7"/>
  <c r="F1025" i="7"/>
  <c r="E1025" i="7"/>
  <c r="N1025" i="7"/>
  <c r="G1024" i="7"/>
  <c r="F1024" i="7"/>
  <c r="E1024" i="7"/>
  <c r="N1024" i="7"/>
  <c r="G1023" i="7"/>
  <c r="F1023" i="7"/>
  <c r="E1023" i="7"/>
  <c r="N1023" i="7"/>
  <c r="G1022" i="7"/>
  <c r="F1022" i="7"/>
  <c r="E1022" i="7"/>
  <c r="N1022" i="7"/>
  <c r="G1021" i="7"/>
  <c r="F1021" i="7"/>
  <c r="E1021" i="7"/>
  <c r="N1021" i="7"/>
  <c r="G1020" i="7"/>
  <c r="F1020" i="7"/>
  <c r="E1020" i="7"/>
  <c r="N1020" i="7"/>
  <c r="G1019" i="7"/>
  <c r="F1019" i="7"/>
  <c r="E1019" i="7"/>
  <c r="N1019" i="7"/>
  <c r="G1018" i="7"/>
  <c r="F1018" i="7"/>
  <c r="E1018" i="7"/>
  <c r="N1018" i="7"/>
  <c r="G1017" i="7"/>
  <c r="F1017" i="7"/>
  <c r="E1017" i="7"/>
  <c r="N1017" i="7"/>
  <c r="G1016" i="7"/>
  <c r="F1016" i="7"/>
  <c r="E1016" i="7"/>
  <c r="N1016" i="7"/>
  <c r="G1015" i="7"/>
  <c r="F1015" i="7"/>
  <c r="E1015" i="7"/>
  <c r="N1015" i="7"/>
  <c r="G1014" i="7"/>
  <c r="F1014" i="7"/>
  <c r="E1014" i="7"/>
  <c r="N1014" i="7"/>
  <c r="G1013" i="7"/>
  <c r="F1013" i="7"/>
  <c r="E1013" i="7"/>
  <c r="N1013" i="7"/>
  <c r="G1012" i="7"/>
  <c r="F1012" i="7"/>
  <c r="E1012" i="7"/>
  <c r="N1012" i="7"/>
  <c r="G1011" i="7"/>
  <c r="F1011" i="7"/>
  <c r="E1011" i="7"/>
  <c r="N1011" i="7"/>
  <c r="G1010" i="7"/>
  <c r="F1010" i="7"/>
  <c r="E1010" i="7"/>
  <c r="N1010" i="7"/>
  <c r="G1009" i="7"/>
  <c r="F1009" i="7"/>
  <c r="E1009" i="7"/>
  <c r="N1009" i="7"/>
  <c r="G1008" i="7"/>
  <c r="F1008" i="7"/>
  <c r="E1008" i="7"/>
  <c r="N1008" i="7"/>
  <c r="G1007" i="7"/>
  <c r="F1007" i="7"/>
  <c r="E1007" i="7"/>
  <c r="N1007" i="7"/>
  <c r="G1006" i="7"/>
  <c r="F1006" i="7"/>
  <c r="E1006" i="7"/>
  <c r="N1006" i="7"/>
  <c r="G1005" i="7"/>
  <c r="F1005" i="7"/>
  <c r="E1005" i="7"/>
  <c r="N1005" i="7"/>
  <c r="G1004" i="7"/>
  <c r="F1004" i="7"/>
  <c r="E1004" i="7"/>
  <c r="N1004" i="7"/>
  <c r="G1003" i="7"/>
  <c r="F1003" i="7"/>
  <c r="E1003" i="7"/>
  <c r="N1003" i="7"/>
  <c r="G1002" i="7"/>
  <c r="F1002" i="7"/>
  <c r="E1002" i="7"/>
  <c r="N1002" i="7"/>
  <c r="G1001" i="7"/>
  <c r="F1001" i="7"/>
  <c r="E1001" i="7"/>
  <c r="N1001" i="7"/>
  <c r="G1000" i="7"/>
  <c r="F1000" i="7"/>
  <c r="E1000" i="7"/>
  <c r="N1000" i="7"/>
  <c r="G999" i="7"/>
  <c r="F999" i="7"/>
  <c r="E999" i="7"/>
  <c r="N999" i="7"/>
  <c r="G998" i="7"/>
  <c r="F998" i="7"/>
  <c r="E998" i="7"/>
  <c r="N998" i="7"/>
  <c r="G997" i="7"/>
  <c r="F997" i="7"/>
  <c r="E997" i="7"/>
  <c r="N997" i="7"/>
  <c r="G996" i="7"/>
  <c r="F996" i="7"/>
  <c r="E996" i="7"/>
  <c r="N996" i="7"/>
  <c r="G995" i="7"/>
  <c r="F995" i="7"/>
  <c r="E995" i="7"/>
  <c r="N995" i="7"/>
  <c r="G994" i="7"/>
  <c r="F994" i="7"/>
  <c r="E994" i="7"/>
  <c r="N994" i="7"/>
  <c r="G993" i="7"/>
  <c r="F993" i="7"/>
  <c r="E993" i="7"/>
  <c r="N993" i="7"/>
  <c r="G992" i="7"/>
  <c r="F992" i="7"/>
  <c r="E992" i="7"/>
  <c r="N992" i="7"/>
  <c r="G991" i="7"/>
  <c r="F991" i="7"/>
  <c r="E991" i="7"/>
  <c r="N991" i="7"/>
  <c r="G990" i="7"/>
  <c r="F990" i="7"/>
  <c r="E990" i="7"/>
  <c r="N990" i="7"/>
  <c r="G989" i="7"/>
  <c r="F989" i="7"/>
  <c r="E989" i="7"/>
  <c r="N989" i="7"/>
  <c r="G988" i="7"/>
  <c r="F988" i="7"/>
  <c r="E988" i="7"/>
  <c r="N988" i="7"/>
  <c r="G987" i="7"/>
  <c r="F987" i="7"/>
  <c r="E987" i="7"/>
  <c r="N987" i="7"/>
  <c r="G986" i="7"/>
  <c r="F986" i="7"/>
  <c r="E986" i="7"/>
  <c r="N986" i="7"/>
  <c r="G985" i="7"/>
  <c r="F985" i="7"/>
  <c r="E985" i="7"/>
  <c r="N985" i="7"/>
  <c r="G984" i="7"/>
  <c r="F984" i="7"/>
  <c r="E984" i="7"/>
  <c r="N984" i="7"/>
  <c r="G983" i="7"/>
  <c r="F983" i="7"/>
  <c r="E983" i="7"/>
  <c r="N983" i="7"/>
  <c r="G982" i="7"/>
  <c r="F982" i="7"/>
  <c r="E982" i="7"/>
  <c r="N982" i="7"/>
  <c r="G981" i="7"/>
  <c r="F981" i="7"/>
  <c r="E981" i="7"/>
  <c r="N981" i="7"/>
  <c r="G980" i="7"/>
  <c r="F980" i="7"/>
  <c r="E980" i="7"/>
  <c r="N980" i="7"/>
  <c r="G979" i="7"/>
  <c r="F979" i="7"/>
  <c r="E979" i="7"/>
  <c r="N979" i="7"/>
  <c r="G978" i="7"/>
  <c r="F978" i="7"/>
  <c r="E978" i="7"/>
  <c r="N978" i="7"/>
  <c r="G977" i="7"/>
  <c r="F977" i="7"/>
  <c r="E977" i="7"/>
  <c r="N977" i="7"/>
  <c r="G976" i="7"/>
  <c r="F976" i="7"/>
  <c r="E976" i="7"/>
  <c r="N976" i="7"/>
  <c r="G975" i="7"/>
  <c r="F975" i="7"/>
  <c r="E975" i="7"/>
  <c r="N975" i="7"/>
  <c r="G974" i="7"/>
  <c r="F974" i="7"/>
  <c r="E974" i="7"/>
  <c r="N974" i="7"/>
  <c r="G973" i="7"/>
  <c r="F973" i="7"/>
  <c r="E973" i="7"/>
  <c r="N973" i="7"/>
  <c r="G972" i="7"/>
  <c r="F972" i="7"/>
  <c r="E972" i="7"/>
  <c r="N972" i="7"/>
  <c r="G971" i="7"/>
  <c r="F971" i="7"/>
  <c r="E971" i="7"/>
  <c r="N971" i="7"/>
  <c r="G970" i="7"/>
  <c r="F970" i="7"/>
  <c r="E970" i="7"/>
  <c r="N970" i="7"/>
  <c r="G969" i="7"/>
  <c r="F969" i="7"/>
  <c r="E969" i="7"/>
  <c r="N969" i="7"/>
  <c r="G968" i="7"/>
  <c r="F968" i="7"/>
  <c r="E968" i="7"/>
  <c r="N968" i="7"/>
  <c r="G967" i="7"/>
  <c r="F967" i="7"/>
  <c r="E967" i="7"/>
  <c r="N967" i="7"/>
  <c r="G966" i="7"/>
  <c r="F966" i="7"/>
  <c r="E966" i="7"/>
  <c r="N966" i="7"/>
  <c r="G965" i="7"/>
  <c r="F965" i="7"/>
  <c r="E965" i="7"/>
  <c r="N965" i="7"/>
  <c r="G964" i="7"/>
  <c r="F964" i="7"/>
  <c r="E964" i="7"/>
  <c r="N964" i="7"/>
  <c r="G963" i="7"/>
  <c r="F963" i="7"/>
  <c r="E963" i="7"/>
  <c r="N963" i="7"/>
  <c r="G962" i="7"/>
  <c r="F962" i="7"/>
  <c r="E962" i="7"/>
  <c r="N962" i="7"/>
  <c r="G961" i="7"/>
  <c r="F961" i="7"/>
  <c r="E961" i="7"/>
  <c r="N961" i="7"/>
  <c r="G960" i="7"/>
  <c r="F960" i="7"/>
  <c r="E960" i="7"/>
  <c r="N960" i="7"/>
  <c r="G959" i="7"/>
  <c r="F959" i="7"/>
  <c r="E959" i="7"/>
  <c r="N959" i="7"/>
  <c r="G958" i="7"/>
  <c r="F958" i="7"/>
  <c r="E958" i="7"/>
  <c r="N958" i="7"/>
  <c r="G957" i="7"/>
  <c r="F957" i="7"/>
  <c r="E957" i="7"/>
  <c r="N957" i="7"/>
  <c r="G956" i="7"/>
  <c r="F956" i="7"/>
  <c r="E956" i="7"/>
  <c r="N956" i="7"/>
  <c r="G955" i="7"/>
  <c r="F955" i="7"/>
  <c r="E955" i="7"/>
  <c r="N955" i="7"/>
  <c r="G954" i="7"/>
  <c r="F954" i="7"/>
  <c r="E954" i="7"/>
  <c r="N954" i="7"/>
  <c r="G953" i="7"/>
  <c r="F953" i="7"/>
  <c r="E953" i="7"/>
  <c r="N953" i="7"/>
  <c r="G952" i="7"/>
  <c r="F952" i="7"/>
  <c r="E952" i="7"/>
  <c r="N952" i="7"/>
  <c r="G951" i="7"/>
  <c r="F951" i="7"/>
  <c r="E951" i="7"/>
  <c r="N951" i="7"/>
  <c r="G950" i="7"/>
  <c r="F950" i="7"/>
  <c r="E950" i="7"/>
  <c r="N950" i="7"/>
  <c r="G949" i="7"/>
  <c r="F949" i="7"/>
  <c r="E949" i="7"/>
  <c r="N949" i="7"/>
  <c r="G948" i="7"/>
  <c r="F948" i="7"/>
  <c r="E948" i="7"/>
  <c r="N948" i="7"/>
  <c r="G947" i="7"/>
  <c r="F947" i="7"/>
  <c r="E947" i="7"/>
  <c r="N947" i="7"/>
  <c r="G946" i="7"/>
  <c r="F946" i="7"/>
  <c r="E946" i="7"/>
  <c r="N946" i="7"/>
  <c r="G945" i="7"/>
  <c r="F945" i="7"/>
  <c r="E945" i="7"/>
  <c r="N945" i="7"/>
  <c r="G944" i="7"/>
  <c r="F944" i="7"/>
  <c r="E944" i="7"/>
  <c r="N944" i="7"/>
  <c r="G943" i="7"/>
  <c r="F943" i="7"/>
  <c r="E943" i="7"/>
  <c r="N943" i="7"/>
  <c r="G942" i="7"/>
  <c r="F942" i="7"/>
  <c r="E942" i="7"/>
  <c r="N942" i="7"/>
  <c r="G941" i="7"/>
  <c r="F941" i="7"/>
  <c r="E941" i="7"/>
  <c r="N941" i="7"/>
  <c r="G940" i="7"/>
  <c r="F940" i="7"/>
  <c r="E940" i="7"/>
  <c r="N940" i="7"/>
  <c r="G939" i="7"/>
  <c r="F939" i="7"/>
  <c r="E939" i="7"/>
  <c r="N939" i="7"/>
  <c r="G938" i="7"/>
  <c r="F938" i="7"/>
  <c r="E938" i="7"/>
  <c r="N938" i="7"/>
  <c r="G937" i="7"/>
  <c r="F937" i="7"/>
  <c r="E937" i="7"/>
  <c r="N937" i="7"/>
  <c r="G936" i="7"/>
  <c r="F936" i="7"/>
  <c r="E936" i="7"/>
  <c r="N936" i="7"/>
  <c r="G935" i="7"/>
  <c r="F935" i="7"/>
  <c r="E935" i="7"/>
  <c r="N935" i="7"/>
  <c r="G934" i="7"/>
  <c r="F934" i="7"/>
  <c r="E934" i="7"/>
  <c r="N934" i="7"/>
  <c r="G933" i="7"/>
  <c r="F933" i="7"/>
  <c r="E933" i="7"/>
  <c r="N933" i="7"/>
  <c r="G932" i="7"/>
  <c r="F932" i="7"/>
  <c r="E932" i="7"/>
  <c r="N932" i="7"/>
  <c r="G931" i="7"/>
  <c r="F931" i="7"/>
  <c r="E931" i="7"/>
  <c r="N931" i="7"/>
  <c r="G930" i="7"/>
  <c r="F930" i="7"/>
  <c r="E930" i="7"/>
  <c r="N930" i="7"/>
  <c r="G929" i="7"/>
  <c r="F929" i="7"/>
  <c r="E929" i="7"/>
  <c r="N929" i="7"/>
  <c r="G928" i="7"/>
  <c r="F928" i="7"/>
  <c r="E928" i="7"/>
  <c r="N928" i="7"/>
  <c r="G927" i="7"/>
  <c r="F927" i="7"/>
  <c r="E927" i="7"/>
  <c r="N927" i="7"/>
  <c r="G926" i="7"/>
  <c r="F926" i="7"/>
  <c r="E926" i="7"/>
  <c r="N926" i="7"/>
  <c r="G925" i="7"/>
  <c r="F925" i="7"/>
  <c r="E925" i="7"/>
  <c r="N925" i="7"/>
  <c r="G924" i="7"/>
  <c r="F924" i="7"/>
  <c r="E924" i="7"/>
  <c r="N924" i="7"/>
  <c r="G923" i="7"/>
  <c r="F923" i="7"/>
  <c r="E923" i="7"/>
  <c r="N923" i="7"/>
  <c r="G922" i="7"/>
  <c r="F922" i="7"/>
  <c r="E922" i="7"/>
  <c r="N922" i="7"/>
  <c r="G921" i="7"/>
  <c r="F921" i="7"/>
  <c r="E921" i="7"/>
  <c r="N921" i="7"/>
  <c r="G920" i="7"/>
  <c r="F920" i="7"/>
  <c r="E920" i="7"/>
  <c r="N920" i="7"/>
  <c r="G919" i="7"/>
  <c r="F919" i="7"/>
  <c r="E919" i="7"/>
  <c r="N919" i="7"/>
  <c r="G918" i="7"/>
  <c r="F918" i="7"/>
  <c r="E918" i="7"/>
  <c r="N918" i="7"/>
  <c r="G917" i="7"/>
  <c r="F917" i="7"/>
  <c r="E917" i="7"/>
  <c r="N917" i="7"/>
  <c r="G916" i="7"/>
  <c r="F916" i="7"/>
  <c r="E916" i="7"/>
  <c r="N916" i="7"/>
  <c r="G915" i="7"/>
  <c r="F915" i="7"/>
  <c r="E915" i="7"/>
  <c r="N915" i="7"/>
  <c r="G914" i="7"/>
  <c r="F914" i="7"/>
  <c r="E914" i="7"/>
  <c r="N914" i="7"/>
  <c r="G913" i="7"/>
  <c r="F913" i="7"/>
  <c r="E913" i="7"/>
  <c r="N913" i="7"/>
  <c r="G912" i="7"/>
  <c r="F912" i="7"/>
  <c r="E912" i="7"/>
  <c r="N912" i="7"/>
  <c r="G911" i="7"/>
  <c r="F911" i="7"/>
  <c r="E911" i="7"/>
  <c r="N911" i="7"/>
  <c r="G910" i="7"/>
  <c r="F910" i="7"/>
  <c r="E910" i="7"/>
  <c r="N910" i="7"/>
  <c r="G909" i="7"/>
  <c r="F909" i="7"/>
  <c r="E909" i="7"/>
  <c r="N909" i="7"/>
  <c r="G908" i="7"/>
  <c r="F908" i="7"/>
  <c r="E908" i="7"/>
  <c r="N908" i="7"/>
  <c r="G907" i="7"/>
  <c r="F907" i="7"/>
  <c r="E907" i="7"/>
  <c r="N907" i="7"/>
  <c r="G906" i="7"/>
  <c r="F906" i="7"/>
  <c r="E906" i="7"/>
  <c r="N906" i="7"/>
  <c r="G905" i="7"/>
  <c r="F905" i="7"/>
  <c r="E905" i="7"/>
  <c r="N905" i="7"/>
  <c r="G904" i="7"/>
  <c r="F904" i="7"/>
  <c r="E904" i="7"/>
  <c r="N904" i="7"/>
  <c r="G903" i="7"/>
  <c r="F903" i="7"/>
  <c r="E903" i="7"/>
  <c r="N903" i="7"/>
  <c r="G902" i="7"/>
  <c r="F902" i="7"/>
  <c r="E902" i="7"/>
  <c r="N902" i="7"/>
  <c r="G901" i="7"/>
  <c r="F901" i="7"/>
  <c r="E901" i="7"/>
  <c r="N901" i="7"/>
  <c r="G900" i="7"/>
  <c r="F900" i="7"/>
  <c r="E900" i="7"/>
  <c r="N900" i="7"/>
  <c r="G899" i="7"/>
  <c r="F899" i="7"/>
  <c r="E899" i="7"/>
  <c r="N899" i="7"/>
  <c r="G898" i="7"/>
  <c r="F898" i="7"/>
  <c r="E898" i="7"/>
  <c r="N898" i="7"/>
  <c r="G897" i="7"/>
  <c r="F897" i="7"/>
  <c r="E897" i="7"/>
  <c r="N897" i="7"/>
  <c r="G896" i="7"/>
  <c r="F896" i="7"/>
  <c r="E896" i="7"/>
  <c r="N896" i="7"/>
  <c r="G895" i="7"/>
  <c r="F895" i="7"/>
  <c r="E895" i="7"/>
  <c r="N895" i="7"/>
  <c r="G894" i="7"/>
  <c r="F894" i="7"/>
  <c r="E894" i="7"/>
  <c r="N894" i="7"/>
  <c r="G893" i="7"/>
  <c r="F893" i="7"/>
  <c r="E893" i="7"/>
  <c r="N893" i="7"/>
  <c r="G892" i="7"/>
  <c r="F892" i="7"/>
  <c r="E892" i="7"/>
  <c r="N892" i="7"/>
  <c r="G891" i="7"/>
  <c r="F891" i="7"/>
  <c r="E891" i="7"/>
  <c r="N891" i="7"/>
  <c r="G890" i="7"/>
  <c r="F890" i="7"/>
  <c r="E890" i="7"/>
  <c r="N890" i="7"/>
  <c r="G889" i="7"/>
  <c r="F889" i="7"/>
  <c r="E889" i="7"/>
  <c r="N889" i="7"/>
  <c r="G888" i="7"/>
  <c r="F888" i="7"/>
  <c r="E888" i="7"/>
  <c r="N888" i="7"/>
  <c r="G887" i="7"/>
  <c r="F887" i="7"/>
  <c r="E887" i="7"/>
  <c r="N887" i="7"/>
  <c r="G886" i="7"/>
  <c r="F886" i="7"/>
  <c r="E886" i="7"/>
  <c r="N886" i="7"/>
  <c r="G885" i="7"/>
  <c r="F885" i="7"/>
  <c r="E885" i="7"/>
  <c r="N885" i="7"/>
  <c r="G884" i="7"/>
  <c r="F884" i="7"/>
  <c r="E884" i="7"/>
  <c r="N884" i="7"/>
  <c r="G883" i="7"/>
  <c r="F883" i="7"/>
  <c r="E883" i="7"/>
  <c r="N883" i="7"/>
  <c r="G882" i="7"/>
  <c r="F882" i="7"/>
  <c r="E882" i="7"/>
  <c r="N882" i="7"/>
  <c r="G881" i="7"/>
  <c r="F881" i="7"/>
  <c r="E881" i="7"/>
  <c r="N881" i="7"/>
  <c r="G880" i="7"/>
  <c r="F880" i="7"/>
  <c r="E880" i="7"/>
  <c r="N880" i="7"/>
  <c r="G879" i="7"/>
  <c r="F879" i="7"/>
  <c r="E879" i="7"/>
  <c r="N879" i="7"/>
  <c r="G878" i="7"/>
  <c r="F878" i="7"/>
  <c r="E878" i="7"/>
  <c r="N878" i="7"/>
  <c r="G877" i="7"/>
  <c r="F877" i="7"/>
  <c r="E877" i="7"/>
  <c r="N877" i="7"/>
  <c r="G876" i="7"/>
  <c r="F876" i="7"/>
  <c r="E876" i="7"/>
  <c r="N876" i="7"/>
  <c r="G875" i="7"/>
  <c r="F875" i="7"/>
  <c r="E875" i="7"/>
  <c r="N875" i="7"/>
  <c r="G874" i="7"/>
  <c r="F874" i="7"/>
  <c r="E874" i="7"/>
  <c r="N874" i="7"/>
  <c r="G873" i="7"/>
  <c r="F873" i="7"/>
  <c r="E873" i="7"/>
  <c r="N873" i="7"/>
  <c r="G872" i="7"/>
  <c r="F872" i="7"/>
  <c r="E872" i="7"/>
  <c r="N872" i="7"/>
  <c r="G871" i="7"/>
  <c r="F871" i="7"/>
  <c r="E871" i="7"/>
  <c r="N871" i="7"/>
  <c r="G870" i="7"/>
  <c r="F870" i="7"/>
  <c r="E870" i="7"/>
  <c r="N870" i="7"/>
  <c r="G869" i="7"/>
  <c r="F869" i="7"/>
  <c r="E869" i="7"/>
  <c r="N869" i="7"/>
  <c r="G868" i="7"/>
  <c r="F868" i="7"/>
  <c r="E868" i="7"/>
  <c r="N868" i="7"/>
  <c r="G867" i="7"/>
  <c r="F867" i="7"/>
  <c r="E867" i="7"/>
  <c r="N867" i="7"/>
  <c r="G866" i="7"/>
  <c r="F866" i="7"/>
  <c r="E866" i="7"/>
  <c r="N866" i="7"/>
  <c r="G865" i="7"/>
  <c r="F865" i="7"/>
  <c r="E865" i="7"/>
  <c r="N865" i="7"/>
  <c r="G864" i="7"/>
  <c r="F864" i="7"/>
  <c r="E864" i="7"/>
  <c r="N864" i="7"/>
  <c r="G863" i="7"/>
  <c r="F863" i="7"/>
  <c r="E863" i="7"/>
  <c r="N863" i="7"/>
  <c r="G862" i="7"/>
  <c r="F862" i="7"/>
  <c r="E862" i="7"/>
  <c r="N862" i="7"/>
  <c r="G861" i="7"/>
  <c r="F861" i="7"/>
  <c r="E861" i="7"/>
  <c r="N861" i="7"/>
  <c r="G860" i="7"/>
  <c r="F860" i="7"/>
  <c r="E860" i="7"/>
  <c r="N860" i="7"/>
  <c r="G859" i="7"/>
  <c r="F859" i="7"/>
  <c r="E859" i="7"/>
  <c r="N859" i="7"/>
  <c r="G858" i="7"/>
  <c r="F858" i="7"/>
  <c r="E858" i="7"/>
  <c r="N858" i="7"/>
  <c r="G857" i="7"/>
  <c r="F857" i="7"/>
  <c r="E857" i="7"/>
  <c r="N857" i="7"/>
  <c r="G856" i="7"/>
  <c r="F856" i="7"/>
  <c r="E856" i="7"/>
  <c r="N856" i="7"/>
  <c r="G855" i="7"/>
  <c r="F855" i="7"/>
  <c r="E855" i="7"/>
  <c r="N855" i="7"/>
  <c r="G854" i="7"/>
  <c r="F854" i="7"/>
  <c r="E854" i="7"/>
  <c r="N854" i="7"/>
  <c r="G853" i="7"/>
  <c r="F853" i="7"/>
  <c r="E853" i="7"/>
  <c r="N853" i="7"/>
  <c r="G852" i="7"/>
  <c r="F852" i="7"/>
  <c r="E852" i="7"/>
  <c r="N852" i="7"/>
  <c r="G851" i="7"/>
  <c r="F851" i="7"/>
  <c r="E851" i="7"/>
  <c r="N851" i="7"/>
  <c r="G850" i="7"/>
  <c r="F850" i="7"/>
  <c r="E850" i="7"/>
  <c r="N850" i="7"/>
  <c r="G849" i="7"/>
  <c r="F849" i="7"/>
  <c r="E849" i="7"/>
  <c r="N849" i="7"/>
  <c r="G848" i="7"/>
  <c r="F848" i="7"/>
  <c r="E848" i="7"/>
  <c r="N848" i="7"/>
  <c r="G847" i="7"/>
  <c r="F847" i="7"/>
  <c r="E847" i="7"/>
  <c r="N847" i="7"/>
  <c r="G846" i="7"/>
  <c r="F846" i="7"/>
  <c r="E846" i="7"/>
  <c r="N846" i="7"/>
  <c r="G845" i="7"/>
  <c r="F845" i="7"/>
  <c r="E845" i="7"/>
  <c r="N845" i="7"/>
  <c r="G844" i="7"/>
  <c r="F844" i="7"/>
  <c r="E844" i="7"/>
  <c r="N844" i="7"/>
  <c r="G843" i="7"/>
  <c r="F843" i="7"/>
  <c r="E843" i="7"/>
  <c r="N843" i="7"/>
  <c r="G842" i="7"/>
  <c r="F842" i="7"/>
  <c r="E842" i="7"/>
  <c r="N842" i="7"/>
  <c r="G841" i="7"/>
  <c r="F841" i="7"/>
  <c r="E841" i="7"/>
  <c r="N841" i="7"/>
  <c r="G840" i="7"/>
  <c r="F840" i="7"/>
  <c r="E840" i="7"/>
  <c r="N840" i="7"/>
  <c r="G839" i="7"/>
  <c r="F839" i="7"/>
  <c r="E839" i="7"/>
  <c r="N839" i="7"/>
  <c r="G838" i="7"/>
  <c r="F838" i="7"/>
  <c r="E838" i="7"/>
  <c r="N838" i="7"/>
  <c r="G837" i="7"/>
  <c r="F837" i="7"/>
  <c r="E837" i="7"/>
  <c r="N837" i="7"/>
  <c r="G836" i="7"/>
  <c r="F836" i="7"/>
  <c r="E836" i="7"/>
  <c r="N836" i="7"/>
  <c r="G835" i="7"/>
  <c r="F835" i="7"/>
  <c r="E835" i="7"/>
  <c r="N835" i="7"/>
  <c r="G834" i="7"/>
  <c r="F834" i="7"/>
  <c r="E834" i="7"/>
  <c r="N834" i="7"/>
  <c r="G833" i="7"/>
  <c r="F833" i="7"/>
  <c r="E833" i="7"/>
  <c r="N833" i="7"/>
  <c r="G832" i="7"/>
  <c r="F832" i="7"/>
  <c r="E832" i="7"/>
  <c r="N832" i="7"/>
  <c r="G831" i="7"/>
  <c r="F831" i="7"/>
  <c r="E831" i="7"/>
  <c r="N831" i="7"/>
  <c r="G830" i="7"/>
  <c r="F830" i="7"/>
  <c r="E830" i="7"/>
  <c r="N830" i="7"/>
  <c r="G829" i="7"/>
  <c r="F829" i="7"/>
  <c r="E829" i="7"/>
  <c r="N829" i="7"/>
  <c r="G828" i="7"/>
  <c r="F828" i="7"/>
  <c r="E828" i="7"/>
  <c r="N828" i="7"/>
  <c r="G827" i="7"/>
  <c r="F827" i="7"/>
  <c r="E827" i="7"/>
  <c r="N827" i="7"/>
  <c r="G826" i="7"/>
  <c r="F826" i="7"/>
  <c r="E826" i="7"/>
  <c r="N826" i="7"/>
  <c r="G825" i="7"/>
  <c r="F825" i="7"/>
  <c r="E825" i="7"/>
  <c r="N825" i="7"/>
  <c r="G824" i="7"/>
  <c r="F824" i="7"/>
  <c r="E824" i="7"/>
  <c r="N824" i="7"/>
  <c r="G823" i="7"/>
  <c r="F823" i="7"/>
  <c r="E823" i="7"/>
  <c r="N823" i="7"/>
  <c r="G822" i="7"/>
  <c r="F822" i="7"/>
  <c r="E822" i="7"/>
  <c r="N822" i="7"/>
  <c r="G821" i="7"/>
  <c r="F821" i="7"/>
  <c r="E821" i="7"/>
  <c r="N821" i="7"/>
  <c r="G820" i="7"/>
  <c r="F820" i="7"/>
  <c r="E820" i="7"/>
  <c r="N820" i="7"/>
  <c r="G819" i="7"/>
  <c r="F819" i="7"/>
  <c r="E819" i="7"/>
  <c r="N819" i="7"/>
  <c r="G818" i="7"/>
  <c r="F818" i="7"/>
  <c r="E818" i="7"/>
  <c r="N818" i="7"/>
  <c r="G817" i="7"/>
  <c r="F817" i="7"/>
  <c r="E817" i="7"/>
  <c r="N817" i="7"/>
  <c r="G816" i="7"/>
  <c r="F816" i="7"/>
  <c r="E816" i="7"/>
  <c r="N816" i="7"/>
  <c r="G815" i="7"/>
  <c r="F815" i="7"/>
  <c r="E815" i="7"/>
  <c r="N815" i="7"/>
  <c r="G814" i="7"/>
  <c r="F814" i="7"/>
  <c r="E814" i="7"/>
  <c r="N814" i="7"/>
  <c r="G813" i="7"/>
  <c r="F813" i="7"/>
  <c r="E813" i="7"/>
  <c r="N813" i="7"/>
  <c r="G812" i="7"/>
  <c r="F812" i="7"/>
  <c r="E812" i="7"/>
  <c r="N812" i="7"/>
  <c r="G811" i="7"/>
  <c r="F811" i="7"/>
  <c r="E811" i="7"/>
  <c r="N811" i="7"/>
  <c r="G810" i="7"/>
  <c r="F810" i="7"/>
  <c r="E810" i="7"/>
  <c r="N810" i="7"/>
  <c r="G809" i="7"/>
  <c r="F809" i="7"/>
  <c r="E809" i="7"/>
  <c r="N809" i="7"/>
  <c r="G808" i="7"/>
  <c r="F808" i="7"/>
  <c r="E808" i="7"/>
  <c r="N808" i="7"/>
  <c r="G807" i="7"/>
  <c r="F807" i="7"/>
  <c r="E807" i="7"/>
  <c r="N807" i="7"/>
  <c r="G806" i="7"/>
  <c r="F806" i="7"/>
  <c r="E806" i="7"/>
  <c r="N806" i="7"/>
  <c r="G805" i="7"/>
  <c r="F805" i="7"/>
  <c r="E805" i="7"/>
  <c r="N805" i="7"/>
  <c r="G804" i="7"/>
  <c r="F804" i="7"/>
  <c r="E804" i="7"/>
  <c r="N804" i="7"/>
  <c r="G803" i="7"/>
  <c r="F803" i="7"/>
  <c r="E803" i="7"/>
  <c r="N803" i="7"/>
  <c r="G802" i="7"/>
  <c r="F802" i="7"/>
  <c r="E802" i="7"/>
  <c r="N802" i="7"/>
  <c r="G801" i="7"/>
  <c r="F801" i="7"/>
  <c r="E801" i="7"/>
  <c r="N801" i="7"/>
  <c r="G800" i="7"/>
  <c r="F800" i="7"/>
  <c r="E800" i="7"/>
  <c r="N800" i="7"/>
  <c r="G799" i="7"/>
  <c r="F799" i="7"/>
  <c r="E799" i="7"/>
  <c r="N799" i="7"/>
  <c r="G798" i="7"/>
  <c r="F798" i="7"/>
  <c r="E798" i="7"/>
  <c r="N798" i="7"/>
  <c r="G797" i="7"/>
  <c r="F797" i="7"/>
  <c r="E797" i="7"/>
  <c r="N797" i="7"/>
  <c r="G796" i="7"/>
  <c r="F796" i="7"/>
  <c r="E796" i="7"/>
  <c r="N796" i="7"/>
  <c r="G795" i="7"/>
  <c r="F795" i="7"/>
  <c r="E795" i="7"/>
  <c r="N795" i="7"/>
  <c r="G794" i="7"/>
  <c r="F794" i="7"/>
  <c r="E794" i="7"/>
  <c r="N794" i="7"/>
  <c r="G793" i="7"/>
  <c r="F793" i="7"/>
  <c r="E793" i="7"/>
  <c r="N793" i="7"/>
  <c r="G792" i="7"/>
  <c r="F792" i="7"/>
  <c r="E792" i="7"/>
  <c r="N792" i="7"/>
  <c r="G791" i="7"/>
  <c r="F791" i="7"/>
  <c r="E791" i="7"/>
  <c r="N791" i="7"/>
  <c r="G790" i="7"/>
  <c r="F790" i="7"/>
  <c r="E790" i="7"/>
  <c r="N790" i="7"/>
  <c r="G789" i="7"/>
  <c r="F789" i="7"/>
  <c r="E789" i="7"/>
  <c r="N789" i="7"/>
  <c r="G788" i="7"/>
  <c r="F788" i="7"/>
  <c r="E788" i="7"/>
  <c r="N788" i="7"/>
  <c r="G787" i="7"/>
  <c r="F787" i="7"/>
  <c r="E787" i="7"/>
  <c r="N787" i="7"/>
  <c r="G786" i="7"/>
  <c r="F786" i="7"/>
  <c r="E786" i="7"/>
  <c r="N786" i="7"/>
  <c r="G785" i="7"/>
  <c r="F785" i="7"/>
  <c r="E785" i="7"/>
  <c r="N785" i="7"/>
  <c r="G784" i="7"/>
  <c r="F784" i="7"/>
  <c r="E784" i="7"/>
  <c r="N784" i="7"/>
  <c r="G783" i="7"/>
  <c r="F783" i="7"/>
  <c r="E783" i="7"/>
  <c r="N783" i="7"/>
  <c r="G782" i="7"/>
  <c r="F782" i="7"/>
  <c r="E782" i="7"/>
  <c r="N782" i="7"/>
  <c r="G781" i="7"/>
  <c r="F781" i="7"/>
  <c r="E781" i="7"/>
  <c r="N781" i="7"/>
  <c r="G780" i="7"/>
  <c r="F780" i="7"/>
  <c r="E780" i="7"/>
  <c r="N780" i="7"/>
  <c r="G779" i="7"/>
  <c r="F779" i="7"/>
  <c r="E779" i="7"/>
  <c r="N779" i="7"/>
  <c r="G778" i="7"/>
  <c r="F778" i="7"/>
  <c r="E778" i="7"/>
  <c r="N778" i="7"/>
  <c r="G777" i="7"/>
  <c r="F777" i="7"/>
  <c r="E777" i="7"/>
  <c r="N777" i="7"/>
  <c r="G776" i="7"/>
  <c r="F776" i="7"/>
  <c r="E776" i="7"/>
  <c r="N776" i="7"/>
  <c r="G775" i="7"/>
  <c r="F775" i="7"/>
  <c r="E775" i="7"/>
  <c r="N775" i="7"/>
  <c r="G774" i="7"/>
  <c r="F774" i="7"/>
  <c r="E774" i="7"/>
  <c r="N774" i="7"/>
  <c r="G773" i="7"/>
  <c r="F773" i="7"/>
  <c r="E773" i="7"/>
  <c r="N773" i="7"/>
  <c r="G772" i="7"/>
  <c r="F772" i="7"/>
  <c r="E772" i="7"/>
  <c r="N772" i="7"/>
  <c r="G771" i="7"/>
  <c r="F771" i="7"/>
  <c r="E771" i="7"/>
  <c r="N771" i="7"/>
  <c r="G770" i="7"/>
  <c r="F770" i="7"/>
  <c r="E770" i="7"/>
  <c r="N770" i="7"/>
  <c r="G769" i="7"/>
  <c r="F769" i="7"/>
  <c r="E769" i="7"/>
  <c r="N769" i="7"/>
  <c r="G768" i="7"/>
  <c r="F768" i="7"/>
  <c r="E768" i="7"/>
  <c r="N768" i="7"/>
  <c r="G767" i="7"/>
  <c r="F767" i="7"/>
  <c r="E767" i="7"/>
  <c r="N767" i="7"/>
  <c r="G766" i="7"/>
  <c r="F766" i="7"/>
  <c r="E766" i="7"/>
  <c r="N766" i="7"/>
  <c r="G765" i="7"/>
  <c r="F765" i="7"/>
  <c r="E765" i="7"/>
  <c r="N765" i="7"/>
  <c r="G764" i="7"/>
  <c r="F764" i="7"/>
  <c r="E764" i="7"/>
  <c r="N764" i="7"/>
  <c r="G763" i="7"/>
  <c r="F763" i="7"/>
  <c r="E763" i="7"/>
  <c r="N763" i="7"/>
  <c r="G762" i="7"/>
  <c r="F762" i="7"/>
  <c r="E762" i="7"/>
  <c r="N762" i="7"/>
  <c r="G761" i="7"/>
  <c r="F761" i="7"/>
  <c r="E761" i="7"/>
  <c r="N761" i="7"/>
  <c r="G760" i="7"/>
  <c r="F760" i="7"/>
  <c r="E760" i="7"/>
  <c r="N760" i="7"/>
  <c r="G759" i="7"/>
  <c r="F759" i="7"/>
  <c r="E759" i="7"/>
  <c r="N759" i="7"/>
  <c r="G758" i="7"/>
  <c r="F758" i="7"/>
  <c r="E758" i="7"/>
  <c r="N758" i="7"/>
  <c r="G757" i="7"/>
  <c r="F757" i="7"/>
  <c r="E757" i="7"/>
  <c r="N757" i="7"/>
  <c r="G756" i="7"/>
  <c r="F756" i="7"/>
  <c r="E756" i="7"/>
  <c r="N756" i="7"/>
  <c r="G755" i="7"/>
  <c r="F755" i="7"/>
  <c r="E755" i="7"/>
  <c r="N755" i="7"/>
  <c r="G754" i="7"/>
  <c r="F754" i="7"/>
  <c r="E754" i="7"/>
  <c r="N754" i="7"/>
  <c r="G753" i="7"/>
  <c r="F753" i="7"/>
  <c r="E753" i="7"/>
  <c r="N753" i="7"/>
  <c r="G752" i="7"/>
  <c r="F752" i="7"/>
  <c r="E752" i="7"/>
  <c r="N752" i="7"/>
  <c r="G751" i="7"/>
  <c r="F751" i="7"/>
  <c r="E751" i="7"/>
  <c r="N751" i="7"/>
  <c r="G750" i="7"/>
  <c r="F750" i="7"/>
  <c r="E750" i="7"/>
  <c r="N750" i="7"/>
  <c r="G749" i="7"/>
  <c r="F749" i="7"/>
  <c r="E749" i="7"/>
  <c r="N749" i="7"/>
  <c r="G748" i="7"/>
  <c r="F748" i="7"/>
  <c r="E748" i="7"/>
  <c r="N748" i="7"/>
  <c r="G747" i="7"/>
  <c r="F747" i="7"/>
  <c r="E747" i="7"/>
  <c r="N747" i="7"/>
  <c r="G746" i="7"/>
  <c r="F746" i="7"/>
  <c r="E746" i="7"/>
  <c r="N746" i="7"/>
  <c r="G745" i="7"/>
  <c r="F745" i="7"/>
  <c r="E745" i="7"/>
  <c r="N745" i="7"/>
  <c r="G744" i="7"/>
  <c r="F744" i="7"/>
  <c r="E744" i="7"/>
  <c r="N744" i="7"/>
  <c r="G743" i="7"/>
  <c r="F743" i="7"/>
  <c r="E743" i="7"/>
  <c r="N743" i="7"/>
  <c r="G742" i="7"/>
  <c r="F742" i="7"/>
  <c r="E742" i="7"/>
  <c r="N742" i="7"/>
  <c r="G741" i="7"/>
  <c r="F741" i="7"/>
  <c r="E741" i="7"/>
  <c r="N741" i="7"/>
  <c r="G740" i="7"/>
  <c r="F740" i="7"/>
  <c r="E740" i="7"/>
  <c r="N740" i="7"/>
  <c r="G739" i="7"/>
  <c r="F739" i="7"/>
  <c r="E739" i="7"/>
  <c r="N739" i="7"/>
  <c r="G738" i="7"/>
  <c r="F738" i="7"/>
  <c r="E738" i="7"/>
  <c r="N738" i="7"/>
  <c r="G737" i="7"/>
  <c r="F737" i="7"/>
  <c r="E737" i="7"/>
  <c r="N737" i="7"/>
  <c r="G736" i="7"/>
  <c r="F736" i="7"/>
  <c r="E736" i="7"/>
  <c r="N736" i="7"/>
  <c r="G735" i="7"/>
  <c r="F735" i="7"/>
  <c r="E735" i="7"/>
  <c r="N735" i="7"/>
  <c r="G734" i="7"/>
  <c r="F734" i="7"/>
  <c r="E734" i="7"/>
  <c r="N734" i="7"/>
  <c r="G733" i="7"/>
  <c r="F733" i="7"/>
  <c r="E733" i="7"/>
  <c r="N733" i="7"/>
  <c r="G732" i="7"/>
  <c r="F732" i="7"/>
  <c r="E732" i="7"/>
  <c r="N732" i="7"/>
  <c r="G731" i="7"/>
  <c r="F731" i="7"/>
  <c r="E731" i="7"/>
  <c r="N731" i="7"/>
  <c r="G730" i="7"/>
  <c r="F730" i="7"/>
  <c r="E730" i="7"/>
  <c r="N730" i="7"/>
  <c r="G729" i="7"/>
  <c r="F729" i="7"/>
  <c r="E729" i="7"/>
  <c r="N729" i="7"/>
  <c r="G728" i="7"/>
  <c r="F728" i="7"/>
  <c r="E728" i="7"/>
  <c r="N728" i="7"/>
  <c r="G727" i="7"/>
  <c r="F727" i="7"/>
  <c r="E727" i="7"/>
  <c r="N727" i="7"/>
  <c r="G726" i="7"/>
  <c r="F726" i="7"/>
  <c r="E726" i="7"/>
  <c r="N726" i="7"/>
  <c r="G725" i="7"/>
  <c r="F725" i="7"/>
  <c r="E725" i="7"/>
  <c r="N725" i="7"/>
  <c r="G724" i="7"/>
  <c r="F724" i="7"/>
  <c r="E724" i="7"/>
  <c r="N724" i="7"/>
  <c r="G723" i="7"/>
  <c r="F723" i="7"/>
  <c r="E723" i="7"/>
  <c r="N723" i="7"/>
  <c r="G722" i="7"/>
  <c r="F722" i="7"/>
  <c r="E722" i="7"/>
  <c r="N722" i="7"/>
  <c r="G721" i="7"/>
  <c r="F721" i="7"/>
  <c r="E721" i="7"/>
  <c r="N721" i="7"/>
  <c r="G720" i="7"/>
  <c r="F720" i="7"/>
  <c r="E720" i="7"/>
  <c r="N720" i="7"/>
  <c r="G719" i="7"/>
  <c r="F719" i="7"/>
  <c r="E719" i="7"/>
  <c r="N719" i="7"/>
  <c r="G718" i="7"/>
  <c r="F718" i="7"/>
  <c r="E718" i="7"/>
  <c r="N718" i="7"/>
  <c r="G717" i="7"/>
  <c r="F717" i="7"/>
  <c r="E717" i="7"/>
  <c r="N717" i="7"/>
  <c r="G716" i="7"/>
  <c r="F716" i="7"/>
  <c r="E716" i="7"/>
  <c r="N716" i="7"/>
  <c r="G715" i="7"/>
  <c r="F715" i="7"/>
  <c r="E715" i="7"/>
  <c r="N715" i="7"/>
  <c r="G714" i="7"/>
  <c r="F714" i="7"/>
  <c r="E714" i="7"/>
  <c r="N714" i="7"/>
  <c r="G713" i="7"/>
  <c r="F713" i="7"/>
  <c r="E713" i="7"/>
  <c r="N713" i="7"/>
  <c r="G712" i="7"/>
  <c r="F712" i="7"/>
  <c r="E712" i="7"/>
  <c r="N712" i="7"/>
  <c r="G711" i="7"/>
  <c r="F711" i="7"/>
  <c r="E711" i="7"/>
  <c r="N711" i="7"/>
  <c r="G710" i="7"/>
  <c r="F710" i="7"/>
  <c r="E710" i="7"/>
  <c r="N710" i="7"/>
  <c r="G709" i="7"/>
  <c r="F709" i="7"/>
  <c r="E709" i="7"/>
  <c r="N709" i="7"/>
  <c r="G708" i="7"/>
  <c r="F708" i="7"/>
  <c r="E708" i="7"/>
  <c r="N708" i="7"/>
  <c r="G707" i="7"/>
  <c r="F707" i="7"/>
  <c r="E707" i="7"/>
  <c r="N707" i="7"/>
  <c r="G706" i="7"/>
  <c r="F706" i="7"/>
  <c r="E706" i="7"/>
  <c r="N706" i="7"/>
  <c r="G705" i="7"/>
  <c r="F705" i="7"/>
  <c r="E705" i="7"/>
  <c r="N705" i="7"/>
  <c r="G704" i="7"/>
  <c r="F704" i="7"/>
  <c r="E704" i="7"/>
  <c r="N704" i="7"/>
  <c r="G703" i="7"/>
  <c r="F703" i="7"/>
  <c r="E703" i="7"/>
  <c r="N703" i="7"/>
  <c r="G702" i="7"/>
  <c r="F702" i="7"/>
  <c r="E702" i="7"/>
  <c r="N702" i="7"/>
  <c r="G701" i="7"/>
  <c r="F701" i="7"/>
  <c r="E701" i="7"/>
  <c r="N701" i="7"/>
  <c r="G700" i="7"/>
  <c r="F700" i="7"/>
  <c r="E700" i="7"/>
  <c r="N700" i="7"/>
  <c r="G699" i="7"/>
  <c r="F699" i="7"/>
  <c r="E699" i="7"/>
  <c r="N699" i="7"/>
  <c r="G698" i="7"/>
  <c r="F698" i="7"/>
  <c r="E698" i="7"/>
  <c r="N698" i="7"/>
  <c r="G697" i="7"/>
  <c r="F697" i="7"/>
  <c r="E697" i="7"/>
  <c r="N697" i="7"/>
  <c r="G696" i="7"/>
  <c r="F696" i="7"/>
  <c r="E696" i="7"/>
  <c r="N696" i="7"/>
  <c r="G695" i="7"/>
  <c r="F695" i="7"/>
  <c r="E695" i="7"/>
  <c r="N695" i="7"/>
  <c r="G694" i="7"/>
  <c r="F694" i="7"/>
  <c r="E694" i="7"/>
  <c r="N694" i="7"/>
  <c r="G693" i="7"/>
  <c r="F693" i="7"/>
  <c r="E693" i="7"/>
  <c r="N693" i="7"/>
  <c r="G692" i="7"/>
  <c r="F692" i="7"/>
  <c r="E692" i="7"/>
  <c r="N692" i="7"/>
  <c r="G691" i="7"/>
  <c r="F691" i="7"/>
  <c r="E691" i="7"/>
  <c r="N691" i="7"/>
  <c r="G690" i="7"/>
  <c r="F690" i="7"/>
  <c r="E690" i="7"/>
  <c r="N690" i="7"/>
  <c r="G689" i="7"/>
  <c r="F689" i="7"/>
  <c r="E689" i="7"/>
  <c r="N689" i="7"/>
  <c r="G688" i="7"/>
  <c r="F688" i="7"/>
  <c r="E688" i="7"/>
  <c r="N688" i="7"/>
  <c r="G687" i="7"/>
  <c r="F687" i="7"/>
  <c r="E687" i="7"/>
  <c r="N687" i="7"/>
  <c r="G686" i="7"/>
  <c r="F686" i="7"/>
  <c r="E686" i="7"/>
  <c r="N686" i="7"/>
  <c r="G685" i="7"/>
  <c r="F685" i="7"/>
  <c r="E685" i="7"/>
  <c r="N685" i="7"/>
  <c r="G684" i="7"/>
  <c r="F684" i="7"/>
  <c r="E684" i="7"/>
  <c r="N684" i="7"/>
  <c r="G683" i="7"/>
  <c r="F683" i="7"/>
  <c r="E683" i="7"/>
  <c r="N683" i="7"/>
  <c r="G682" i="7"/>
  <c r="F682" i="7"/>
  <c r="E682" i="7"/>
  <c r="N682" i="7"/>
  <c r="G681" i="7"/>
  <c r="F681" i="7"/>
  <c r="E681" i="7"/>
  <c r="N681" i="7"/>
  <c r="G680" i="7"/>
  <c r="F680" i="7"/>
  <c r="E680" i="7"/>
  <c r="N680" i="7"/>
  <c r="G679" i="7"/>
  <c r="F679" i="7"/>
  <c r="E679" i="7"/>
  <c r="N679" i="7"/>
  <c r="G678" i="7"/>
  <c r="F678" i="7"/>
  <c r="E678" i="7"/>
  <c r="N678" i="7"/>
  <c r="G677" i="7"/>
  <c r="F677" i="7"/>
  <c r="E677" i="7"/>
  <c r="N677" i="7"/>
  <c r="G676" i="7"/>
  <c r="F676" i="7"/>
  <c r="E676" i="7"/>
  <c r="N676" i="7"/>
  <c r="G675" i="7"/>
  <c r="F675" i="7"/>
  <c r="E675" i="7"/>
  <c r="N675" i="7"/>
  <c r="G674" i="7"/>
  <c r="F674" i="7"/>
  <c r="E674" i="7"/>
  <c r="N674" i="7"/>
  <c r="G673" i="7"/>
  <c r="F673" i="7"/>
  <c r="E673" i="7"/>
  <c r="N673" i="7"/>
  <c r="G672" i="7"/>
  <c r="F672" i="7"/>
  <c r="E672" i="7"/>
  <c r="N672" i="7"/>
  <c r="G671" i="7"/>
  <c r="F671" i="7"/>
  <c r="E671" i="7"/>
  <c r="N671" i="7"/>
  <c r="G670" i="7"/>
  <c r="F670" i="7"/>
  <c r="E670" i="7"/>
  <c r="N670" i="7"/>
  <c r="G669" i="7"/>
  <c r="F669" i="7"/>
  <c r="E669" i="7"/>
  <c r="N669" i="7"/>
  <c r="G668" i="7"/>
  <c r="F668" i="7"/>
  <c r="E668" i="7"/>
  <c r="N668" i="7"/>
  <c r="G667" i="7"/>
  <c r="F667" i="7"/>
  <c r="E667" i="7"/>
  <c r="N667" i="7"/>
  <c r="G666" i="7"/>
  <c r="F666" i="7"/>
  <c r="E666" i="7"/>
  <c r="N666" i="7"/>
  <c r="G665" i="7"/>
  <c r="F665" i="7"/>
  <c r="E665" i="7"/>
  <c r="N665" i="7"/>
  <c r="G664" i="7"/>
  <c r="F664" i="7"/>
  <c r="E664" i="7"/>
  <c r="N664" i="7"/>
  <c r="G663" i="7"/>
  <c r="F663" i="7"/>
  <c r="E663" i="7"/>
  <c r="N663" i="7"/>
  <c r="G662" i="7"/>
  <c r="F662" i="7"/>
  <c r="E662" i="7"/>
  <c r="N662" i="7"/>
  <c r="G661" i="7"/>
  <c r="F661" i="7"/>
  <c r="E661" i="7"/>
  <c r="N661" i="7"/>
  <c r="G660" i="7"/>
  <c r="F660" i="7"/>
  <c r="E660" i="7"/>
  <c r="N660" i="7"/>
  <c r="G659" i="7"/>
  <c r="F659" i="7"/>
  <c r="E659" i="7"/>
  <c r="N659" i="7"/>
  <c r="G658" i="7"/>
  <c r="F658" i="7"/>
  <c r="E658" i="7"/>
  <c r="N658" i="7"/>
  <c r="G657" i="7"/>
  <c r="F657" i="7"/>
  <c r="E657" i="7"/>
  <c r="N657" i="7"/>
  <c r="G656" i="7"/>
  <c r="F656" i="7"/>
  <c r="E656" i="7"/>
  <c r="N656" i="7"/>
  <c r="G655" i="7"/>
  <c r="F655" i="7"/>
  <c r="E655" i="7"/>
  <c r="N655" i="7"/>
  <c r="G654" i="7"/>
  <c r="F654" i="7"/>
  <c r="E654" i="7"/>
  <c r="N654" i="7"/>
  <c r="G653" i="7"/>
  <c r="F653" i="7"/>
  <c r="E653" i="7"/>
  <c r="N653" i="7"/>
  <c r="G652" i="7"/>
  <c r="F652" i="7"/>
  <c r="E652" i="7"/>
  <c r="N652" i="7"/>
  <c r="G651" i="7"/>
  <c r="F651" i="7"/>
  <c r="E651" i="7"/>
  <c r="N651" i="7"/>
  <c r="G650" i="7"/>
  <c r="F650" i="7"/>
  <c r="E650" i="7"/>
  <c r="N650" i="7"/>
  <c r="G649" i="7"/>
  <c r="F649" i="7"/>
  <c r="E649" i="7"/>
  <c r="N649" i="7"/>
  <c r="G648" i="7"/>
  <c r="F648" i="7"/>
  <c r="E648" i="7"/>
  <c r="N648" i="7"/>
  <c r="G647" i="7"/>
  <c r="F647" i="7"/>
  <c r="E647" i="7"/>
  <c r="N647" i="7"/>
  <c r="G646" i="7"/>
  <c r="F646" i="7"/>
  <c r="E646" i="7"/>
  <c r="N646" i="7"/>
  <c r="G645" i="7"/>
  <c r="F645" i="7"/>
  <c r="E645" i="7"/>
  <c r="N645" i="7"/>
  <c r="G644" i="7"/>
  <c r="F644" i="7"/>
  <c r="E644" i="7"/>
  <c r="N644" i="7"/>
  <c r="G643" i="7"/>
  <c r="F643" i="7"/>
  <c r="E643" i="7"/>
  <c r="N643" i="7"/>
  <c r="G642" i="7"/>
  <c r="F642" i="7"/>
  <c r="E642" i="7"/>
  <c r="N642" i="7"/>
  <c r="G641" i="7"/>
  <c r="F641" i="7"/>
  <c r="E641" i="7"/>
  <c r="N641" i="7"/>
  <c r="G640" i="7"/>
  <c r="F640" i="7"/>
  <c r="E640" i="7"/>
  <c r="N640" i="7"/>
  <c r="G639" i="7"/>
  <c r="F639" i="7"/>
  <c r="E639" i="7"/>
  <c r="N639" i="7"/>
  <c r="G638" i="7"/>
  <c r="F638" i="7"/>
  <c r="E638" i="7"/>
  <c r="N638" i="7"/>
  <c r="G637" i="7"/>
  <c r="F637" i="7"/>
  <c r="E637" i="7"/>
  <c r="N637" i="7"/>
  <c r="G636" i="7"/>
  <c r="F636" i="7"/>
  <c r="E636" i="7"/>
  <c r="N636" i="7"/>
  <c r="G635" i="7"/>
  <c r="F635" i="7"/>
  <c r="E635" i="7"/>
  <c r="N635" i="7"/>
  <c r="G634" i="7"/>
  <c r="F634" i="7"/>
  <c r="E634" i="7"/>
  <c r="N634" i="7"/>
  <c r="G633" i="7"/>
  <c r="F633" i="7"/>
  <c r="E633" i="7"/>
  <c r="N633" i="7"/>
  <c r="G632" i="7"/>
  <c r="F632" i="7"/>
  <c r="E632" i="7"/>
  <c r="N632" i="7"/>
  <c r="G631" i="7"/>
  <c r="F631" i="7"/>
  <c r="E631" i="7"/>
  <c r="N631" i="7"/>
  <c r="G630" i="7"/>
  <c r="F630" i="7"/>
  <c r="E630" i="7"/>
  <c r="N630" i="7"/>
  <c r="G629" i="7"/>
  <c r="F629" i="7"/>
  <c r="E629" i="7"/>
  <c r="N629" i="7"/>
  <c r="G628" i="7"/>
  <c r="F628" i="7"/>
  <c r="E628" i="7"/>
  <c r="N628" i="7"/>
  <c r="G627" i="7"/>
  <c r="F627" i="7"/>
  <c r="E627" i="7"/>
  <c r="N627" i="7"/>
  <c r="G626" i="7"/>
  <c r="F626" i="7"/>
  <c r="E626" i="7"/>
  <c r="N626" i="7"/>
  <c r="G625" i="7"/>
  <c r="F625" i="7"/>
  <c r="E625" i="7"/>
  <c r="N625" i="7"/>
  <c r="G624" i="7"/>
  <c r="F624" i="7"/>
  <c r="E624" i="7"/>
  <c r="N624" i="7"/>
  <c r="G623" i="7"/>
  <c r="F623" i="7"/>
  <c r="E623" i="7"/>
  <c r="N623" i="7"/>
  <c r="G622" i="7"/>
  <c r="F622" i="7"/>
  <c r="E622" i="7"/>
  <c r="N622" i="7"/>
  <c r="G621" i="7"/>
  <c r="F621" i="7"/>
  <c r="E621" i="7"/>
  <c r="N621" i="7"/>
  <c r="G620" i="7"/>
  <c r="F620" i="7"/>
  <c r="E620" i="7"/>
  <c r="N620" i="7"/>
  <c r="G619" i="7"/>
  <c r="F619" i="7"/>
  <c r="E619" i="7"/>
  <c r="N619" i="7"/>
  <c r="G618" i="7"/>
  <c r="F618" i="7"/>
  <c r="E618" i="7"/>
  <c r="N618" i="7"/>
  <c r="G617" i="7"/>
  <c r="F617" i="7"/>
  <c r="E617" i="7"/>
  <c r="N617" i="7"/>
  <c r="G616" i="7"/>
  <c r="F616" i="7"/>
  <c r="E616" i="7"/>
  <c r="N616" i="7"/>
  <c r="G615" i="7"/>
  <c r="F615" i="7"/>
  <c r="E615" i="7"/>
  <c r="N615" i="7"/>
  <c r="G614" i="7"/>
  <c r="F614" i="7"/>
  <c r="E614" i="7"/>
  <c r="N614" i="7"/>
  <c r="G613" i="7"/>
  <c r="F613" i="7"/>
  <c r="E613" i="7"/>
  <c r="N613" i="7"/>
  <c r="G612" i="7"/>
  <c r="F612" i="7"/>
  <c r="E612" i="7"/>
  <c r="N612" i="7"/>
  <c r="G611" i="7"/>
  <c r="F611" i="7"/>
  <c r="E611" i="7"/>
  <c r="N611" i="7"/>
  <c r="G610" i="7"/>
  <c r="F610" i="7"/>
  <c r="E610" i="7"/>
  <c r="N610" i="7"/>
  <c r="G609" i="7"/>
  <c r="F609" i="7"/>
  <c r="E609" i="7"/>
  <c r="N609" i="7"/>
  <c r="G608" i="7"/>
  <c r="F608" i="7"/>
  <c r="E608" i="7"/>
  <c r="N608" i="7"/>
  <c r="G607" i="7"/>
  <c r="F607" i="7"/>
  <c r="E607" i="7"/>
  <c r="N607" i="7"/>
  <c r="G606" i="7"/>
  <c r="F606" i="7"/>
  <c r="E606" i="7"/>
  <c r="N606" i="7"/>
  <c r="G605" i="7"/>
  <c r="F605" i="7"/>
  <c r="E605" i="7"/>
  <c r="N605" i="7"/>
  <c r="G604" i="7"/>
  <c r="F604" i="7"/>
  <c r="E604" i="7"/>
  <c r="N604" i="7"/>
  <c r="G603" i="7"/>
  <c r="F603" i="7"/>
  <c r="E603" i="7"/>
  <c r="N603" i="7"/>
  <c r="G602" i="7"/>
  <c r="F602" i="7"/>
  <c r="E602" i="7"/>
  <c r="N602" i="7"/>
  <c r="G601" i="7"/>
  <c r="F601" i="7"/>
  <c r="E601" i="7"/>
  <c r="N601" i="7"/>
  <c r="G600" i="7"/>
  <c r="F600" i="7"/>
  <c r="E600" i="7"/>
  <c r="N600" i="7"/>
  <c r="G599" i="7"/>
  <c r="F599" i="7"/>
  <c r="E599" i="7"/>
  <c r="N599" i="7"/>
  <c r="G598" i="7"/>
  <c r="F598" i="7"/>
  <c r="E598" i="7"/>
  <c r="N598" i="7"/>
  <c r="G597" i="7"/>
  <c r="F597" i="7"/>
  <c r="E597" i="7"/>
  <c r="N597" i="7"/>
  <c r="G596" i="7"/>
  <c r="F596" i="7"/>
  <c r="E596" i="7"/>
  <c r="N596" i="7"/>
  <c r="G595" i="7"/>
  <c r="F595" i="7"/>
  <c r="E595" i="7"/>
  <c r="N595" i="7"/>
  <c r="G594" i="7"/>
  <c r="F594" i="7"/>
  <c r="E594" i="7"/>
  <c r="N594" i="7"/>
  <c r="G593" i="7"/>
  <c r="F593" i="7"/>
  <c r="E593" i="7"/>
  <c r="N593" i="7"/>
  <c r="G592" i="7"/>
  <c r="F592" i="7"/>
  <c r="E592" i="7"/>
  <c r="N592" i="7"/>
  <c r="G591" i="7"/>
  <c r="F591" i="7"/>
  <c r="E591" i="7"/>
  <c r="N591" i="7"/>
  <c r="G590" i="7"/>
  <c r="F590" i="7"/>
  <c r="E590" i="7"/>
  <c r="N590" i="7"/>
  <c r="G589" i="7"/>
  <c r="F589" i="7"/>
  <c r="E589" i="7"/>
  <c r="N589" i="7"/>
  <c r="G588" i="7"/>
  <c r="F588" i="7"/>
  <c r="E588" i="7"/>
  <c r="N588" i="7"/>
  <c r="G587" i="7"/>
  <c r="F587" i="7"/>
  <c r="E587" i="7"/>
  <c r="N587" i="7"/>
  <c r="G586" i="7"/>
  <c r="F586" i="7"/>
  <c r="E586" i="7"/>
  <c r="N586" i="7"/>
  <c r="G585" i="7"/>
  <c r="F585" i="7"/>
  <c r="E585" i="7"/>
  <c r="N585" i="7"/>
  <c r="G584" i="7"/>
  <c r="F584" i="7"/>
  <c r="E584" i="7"/>
  <c r="N584" i="7"/>
  <c r="G583" i="7"/>
  <c r="F583" i="7"/>
  <c r="E583" i="7"/>
  <c r="N583" i="7"/>
  <c r="G582" i="7"/>
  <c r="F582" i="7"/>
  <c r="E582" i="7"/>
  <c r="N582" i="7"/>
  <c r="G581" i="7"/>
  <c r="F581" i="7"/>
  <c r="E581" i="7"/>
  <c r="N581" i="7"/>
  <c r="G580" i="7"/>
  <c r="F580" i="7"/>
  <c r="E580" i="7"/>
  <c r="N580" i="7"/>
  <c r="G579" i="7"/>
  <c r="F579" i="7"/>
  <c r="E579" i="7"/>
  <c r="N579" i="7"/>
  <c r="G578" i="7"/>
  <c r="F578" i="7"/>
  <c r="E578" i="7"/>
  <c r="N578" i="7"/>
  <c r="G577" i="7"/>
  <c r="F577" i="7"/>
  <c r="E577" i="7"/>
  <c r="N577" i="7"/>
  <c r="G576" i="7"/>
  <c r="F576" i="7"/>
  <c r="E576" i="7"/>
  <c r="N576" i="7"/>
  <c r="G575" i="7"/>
  <c r="F575" i="7"/>
  <c r="E575" i="7"/>
  <c r="N575" i="7"/>
  <c r="G574" i="7"/>
  <c r="F574" i="7"/>
  <c r="E574" i="7"/>
  <c r="N574" i="7"/>
  <c r="G573" i="7"/>
  <c r="F573" i="7"/>
  <c r="E573" i="7"/>
  <c r="N573" i="7"/>
  <c r="G572" i="7"/>
  <c r="F572" i="7"/>
  <c r="E572" i="7"/>
  <c r="N572" i="7"/>
  <c r="G571" i="7"/>
  <c r="F571" i="7"/>
  <c r="E571" i="7"/>
  <c r="N571" i="7"/>
  <c r="G570" i="7"/>
  <c r="F570" i="7"/>
  <c r="E570" i="7"/>
  <c r="N570" i="7"/>
  <c r="G569" i="7"/>
  <c r="F569" i="7"/>
  <c r="E569" i="7"/>
  <c r="N569" i="7"/>
  <c r="G568" i="7"/>
  <c r="F568" i="7"/>
  <c r="E568" i="7"/>
  <c r="N568" i="7"/>
  <c r="G567" i="7"/>
  <c r="F567" i="7"/>
  <c r="E567" i="7"/>
  <c r="N567" i="7"/>
  <c r="G566" i="7"/>
  <c r="F566" i="7"/>
  <c r="E566" i="7"/>
  <c r="N566" i="7"/>
  <c r="G565" i="7"/>
  <c r="F565" i="7"/>
  <c r="E565" i="7"/>
  <c r="N565" i="7"/>
  <c r="G564" i="7"/>
  <c r="F564" i="7"/>
  <c r="E564" i="7"/>
  <c r="N564" i="7"/>
  <c r="G563" i="7"/>
  <c r="F563" i="7"/>
  <c r="E563" i="7"/>
  <c r="N563" i="7"/>
  <c r="G562" i="7"/>
  <c r="F562" i="7"/>
  <c r="E562" i="7"/>
  <c r="N562" i="7"/>
  <c r="G561" i="7"/>
  <c r="F561" i="7"/>
  <c r="E561" i="7"/>
  <c r="N561" i="7"/>
  <c r="G560" i="7"/>
  <c r="F560" i="7"/>
  <c r="E560" i="7"/>
  <c r="N560" i="7"/>
  <c r="G559" i="7"/>
  <c r="F559" i="7"/>
  <c r="E559" i="7"/>
  <c r="N559" i="7"/>
  <c r="G558" i="7"/>
  <c r="F558" i="7"/>
  <c r="E558" i="7"/>
  <c r="N558" i="7"/>
  <c r="G557" i="7"/>
  <c r="F557" i="7"/>
  <c r="E557" i="7"/>
  <c r="N557" i="7"/>
  <c r="G556" i="7"/>
  <c r="F556" i="7"/>
  <c r="E556" i="7"/>
  <c r="N556" i="7"/>
  <c r="G555" i="7"/>
  <c r="F555" i="7"/>
  <c r="E555" i="7"/>
  <c r="N555" i="7"/>
  <c r="G554" i="7"/>
  <c r="F554" i="7"/>
  <c r="E554" i="7"/>
  <c r="N554" i="7"/>
  <c r="G553" i="7"/>
  <c r="F553" i="7"/>
  <c r="E553" i="7"/>
  <c r="N553" i="7"/>
  <c r="G552" i="7"/>
  <c r="F552" i="7"/>
  <c r="E552" i="7"/>
  <c r="N552" i="7"/>
  <c r="G551" i="7"/>
  <c r="F551" i="7"/>
  <c r="E551" i="7"/>
  <c r="N551" i="7"/>
  <c r="G550" i="7"/>
  <c r="F550" i="7"/>
  <c r="E550" i="7"/>
  <c r="N550" i="7"/>
  <c r="G549" i="7"/>
  <c r="F549" i="7"/>
  <c r="E549" i="7"/>
  <c r="N549" i="7"/>
  <c r="G548" i="7"/>
  <c r="F548" i="7"/>
  <c r="E548" i="7"/>
  <c r="N548" i="7"/>
  <c r="G547" i="7"/>
  <c r="F547" i="7"/>
  <c r="E547" i="7"/>
  <c r="N547" i="7"/>
  <c r="G546" i="7"/>
  <c r="F546" i="7"/>
  <c r="E546" i="7"/>
  <c r="N546" i="7"/>
  <c r="G545" i="7"/>
  <c r="F545" i="7"/>
  <c r="E545" i="7"/>
  <c r="N545" i="7"/>
  <c r="G544" i="7"/>
  <c r="F544" i="7"/>
  <c r="E544" i="7"/>
  <c r="N544" i="7"/>
  <c r="G543" i="7"/>
  <c r="F543" i="7"/>
  <c r="E543" i="7"/>
  <c r="N543" i="7"/>
  <c r="G542" i="7"/>
  <c r="F542" i="7"/>
  <c r="E542" i="7"/>
  <c r="N542" i="7"/>
  <c r="G541" i="7"/>
  <c r="F541" i="7"/>
  <c r="E541" i="7"/>
  <c r="N541" i="7"/>
  <c r="G540" i="7"/>
  <c r="F540" i="7"/>
  <c r="E540" i="7"/>
  <c r="N540" i="7"/>
  <c r="G539" i="7"/>
  <c r="F539" i="7"/>
  <c r="E539" i="7"/>
  <c r="N539" i="7"/>
  <c r="G538" i="7"/>
  <c r="F538" i="7"/>
  <c r="E538" i="7"/>
  <c r="N538" i="7"/>
  <c r="G537" i="7"/>
  <c r="F537" i="7"/>
  <c r="E537" i="7"/>
  <c r="N537" i="7"/>
  <c r="G536" i="7"/>
  <c r="F536" i="7"/>
  <c r="E536" i="7"/>
  <c r="N536" i="7"/>
  <c r="G535" i="7"/>
  <c r="F535" i="7"/>
  <c r="E535" i="7"/>
  <c r="N535" i="7"/>
  <c r="G534" i="7"/>
  <c r="F534" i="7"/>
  <c r="E534" i="7"/>
  <c r="N534" i="7"/>
  <c r="G533" i="7"/>
  <c r="F533" i="7"/>
  <c r="E533" i="7"/>
  <c r="N533" i="7"/>
  <c r="G532" i="7"/>
  <c r="F532" i="7"/>
  <c r="E532" i="7"/>
  <c r="N532" i="7"/>
  <c r="G531" i="7"/>
  <c r="F531" i="7"/>
  <c r="E531" i="7"/>
  <c r="N531" i="7"/>
  <c r="G530" i="7"/>
  <c r="F530" i="7"/>
  <c r="E530" i="7"/>
  <c r="N530" i="7"/>
  <c r="G529" i="7"/>
  <c r="F529" i="7"/>
  <c r="E529" i="7"/>
  <c r="N529" i="7"/>
  <c r="G528" i="7"/>
  <c r="F528" i="7"/>
  <c r="E528" i="7"/>
  <c r="N528" i="7"/>
  <c r="G527" i="7"/>
  <c r="F527" i="7"/>
  <c r="E527" i="7"/>
  <c r="N527" i="7"/>
  <c r="G526" i="7"/>
  <c r="F526" i="7"/>
  <c r="E526" i="7"/>
  <c r="N526" i="7"/>
  <c r="G525" i="7"/>
  <c r="F525" i="7"/>
  <c r="E525" i="7"/>
  <c r="N525" i="7"/>
  <c r="G524" i="7"/>
  <c r="F524" i="7"/>
  <c r="E524" i="7"/>
  <c r="N524" i="7"/>
  <c r="G523" i="7"/>
  <c r="F523" i="7"/>
  <c r="E523" i="7"/>
  <c r="N523" i="7"/>
  <c r="G522" i="7"/>
  <c r="F522" i="7"/>
  <c r="E522" i="7"/>
  <c r="N522" i="7"/>
  <c r="G521" i="7"/>
  <c r="F521" i="7"/>
  <c r="E521" i="7"/>
  <c r="N521" i="7"/>
  <c r="G520" i="7"/>
  <c r="F520" i="7"/>
  <c r="E520" i="7"/>
  <c r="N520" i="7"/>
  <c r="G519" i="7"/>
  <c r="F519" i="7"/>
  <c r="E519" i="7"/>
  <c r="N519" i="7"/>
  <c r="G518" i="7"/>
  <c r="F518" i="7"/>
  <c r="E518" i="7"/>
  <c r="N518" i="7"/>
  <c r="G517" i="7"/>
  <c r="F517" i="7"/>
  <c r="E517" i="7"/>
  <c r="N517" i="7"/>
  <c r="G516" i="7"/>
  <c r="F516" i="7"/>
  <c r="E516" i="7"/>
  <c r="N516" i="7"/>
  <c r="G515" i="7"/>
  <c r="F515" i="7"/>
  <c r="E515" i="7"/>
  <c r="N515" i="7"/>
  <c r="G514" i="7"/>
  <c r="F514" i="7"/>
  <c r="E514" i="7"/>
  <c r="N514" i="7"/>
  <c r="G513" i="7"/>
  <c r="F513" i="7"/>
  <c r="E513" i="7"/>
  <c r="N513" i="7"/>
  <c r="G512" i="7"/>
  <c r="F512" i="7"/>
  <c r="E512" i="7"/>
  <c r="N512" i="7"/>
  <c r="G511" i="7"/>
  <c r="F511" i="7"/>
  <c r="E511" i="7"/>
  <c r="N511" i="7"/>
  <c r="G510" i="7"/>
  <c r="F510" i="7"/>
  <c r="E510" i="7"/>
  <c r="N510" i="7"/>
  <c r="G509" i="7"/>
  <c r="F509" i="7"/>
  <c r="E509" i="7"/>
  <c r="N509" i="7"/>
  <c r="G508" i="7"/>
  <c r="F508" i="7"/>
  <c r="E508" i="7"/>
  <c r="N508" i="7"/>
  <c r="G507" i="7"/>
  <c r="F507" i="7"/>
  <c r="E507" i="7"/>
  <c r="N507" i="7"/>
  <c r="G506" i="7"/>
  <c r="F506" i="7"/>
  <c r="E506" i="7"/>
  <c r="N506" i="7"/>
  <c r="G505" i="7"/>
  <c r="F505" i="7"/>
  <c r="E505" i="7"/>
  <c r="N505" i="7"/>
  <c r="G504" i="7"/>
  <c r="F504" i="7"/>
  <c r="E504" i="7"/>
  <c r="N504" i="7"/>
  <c r="G503" i="7"/>
  <c r="F503" i="7"/>
  <c r="E503" i="7"/>
  <c r="N503" i="7"/>
  <c r="G502" i="7"/>
  <c r="F502" i="7"/>
  <c r="E502" i="7"/>
  <c r="N502" i="7"/>
  <c r="G501" i="7"/>
  <c r="F501" i="7"/>
  <c r="E501" i="7"/>
  <c r="N501" i="7"/>
  <c r="G500" i="7"/>
  <c r="F500" i="7"/>
  <c r="E500" i="7"/>
  <c r="N500" i="7"/>
  <c r="G499" i="7"/>
  <c r="F499" i="7"/>
  <c r="E499" i="7"/>
  <c r="N499" i="7"/>
  <c r="G498" i="7"/>
  <c r="F498" i="7"/>
  <c r="E498" i="7"/>
  <c r="N498" i="7"/>
  <c r="G497" i="7"/>
  <c r="F497" i="7"/>
  <c r="E497" i="7"/>
  <c r="N497" i="7"/>
  <c r="G496" i="7"/>
  <c r="F496" i="7"/>
  <c r="E496" i="7"/>
  <c r="N496" i="7"/>
  <c r="G495" i="7"/>
  <c r="F495" i="7"/>
  <c r="E495" i="7"/>
  <c r="N495" i="7"/>
  <c r="G494" i="7"/>
  <c r="F494" i="7"/>
  <c r="E494" i="7"/>
  <c r="N494" i="7"/>
  <c r="G493" i="7"/>
  <c r="F493" i="7"/>
  <c r="E493" i="7"/>
  <c r="N493" i="7"/>
  <c r="G492" i="7"/>
  <c r="F492" i="7"/>
  <c r="E492" i="7"/>
  <c r="N492" i="7"/>
  <c r="G491" i="7"/>
  <c r="F491" i="7"/>
  <c r="E491" i="7"/>
  <c r="N491" i="7"/>
  <c r="G490" i="7"/>
  <c r="F490" i="7"/>
  <c r="E490" i="7"/>
  <c r="N490" i="7"/>
  <c r="G489" i="7"/>
  <c r="F489" i="7"/>
  <c r="E489" i="7"/>
  <c r="N489" i="7"/>
  <c r="G488" i="7"/>
  <c r="F488" i="7"/>
  <c r="E488" i="7"/>
  <c r="N488" i="7"/>
  <c r="G487" i="7"/>
  <c r="F487" i="7"/>
  <c r="E487" i="7"/>
  <c r="N487" i="7"/>
  <c r="G486" i="7"/>
  <c r="F486" i="7"/>
  <c r="E486" i="7"/>
  <c r="N486" i="7"/>
  <c r="G485" i="7"/>
  <c r="F485" i="7"/>
  <c r="E485" i="7"/>
  <c r="N485" i="7"/>
  <c r="G484" i="7"/>
  <c r="F484" i="7"/>
  <c r="E484" i="7"/>
  <c r="N484" i="7"/>
  <c r="G483" i="7"/>
  <c r="F483" i="7"/>
  <c r="E483" i="7"/>
  <c r="N483" i="7"/>
  <c r="G482" i="7"/>
  <c r="F482" i="7"/>
  <c r="E482" i="7"/>
  <c r="N482" i="7"/>
  <c r="G481" i="7"/>
  <c r="F481" i="7"/>
  <c r="E481" i="7"/>
  <c r="N481" i="7"/>
  <c r="G480" i="7"/>
  <c r="F480" i="7"/>
  <c r="E480" i="7"/>
  <c r="N480" i="7"/>
  <c r="G479" i="7"/>
  <c r="F479" i="7"/>
  <c r="E479" i="7"/>
  <c r="N479" i="7"/>
  <c r="G478" i="7"/>
  <c r="F478" i="7"/>
  <c r="E478" i="7"/>
  <c r="N478" i="7"/>
  <c r="G477" i="7"/>
  <c r="F477" i="7"/>
  <c r="E477" i="7"/>
  <c r="N477" i="7"/>
  <c r="G476" i="7"/>
  <c r="F476" i="7"/>
  <c r="E476" i="7"/>
  <c r="N476" i="7"/>
  <c r="G475" i="7"/>
  <c r="F475" i="7"/>
  <c r="E475" i="7"/>
  <c r="N475" i="7"/>
  <c r="G474" i="7"/>
  <c r="F474" i="7"/>
  <c r="E474" i="7"/>
  <c r="N474" i="7"/>
  <c r="G473" i="7"/>
  <c r="F473" i="7"/>
  <c r="E473" i="7"/>
  <c r="N473" i="7"/>
  <c r="G472" i="7"/>
  <c r="F472" i="7"/>
  <c r="E472" i="7"/>
  <c r="N472" i="7"/>
  <c r="G471" i="7"/>
  <c r="F471" i="7"/>
  <c r="E471" i="7"/>
  <c r="N471" i="7"/>
  <c r="G470" i="7"/>
  <c r="F470" i="7"/>
  <c r="E470" i="7"/>
  <c r="N470" i="7"/>
  <c r="G469" i="7"/>
  <c r="F469" i="7"/>
  <c r="E469" i="7"/>
  <c r="N469" i="7"/>
  <c r="G468" i="7"/>
  <c r="F468" i="7"/>
  <c r="E468" i="7"/>
  <c r="N468" i="7"/>
  <c r="G467" i="7"/>
  <c r="F467" i="7"/>
  <c r="E467" i="7"/>
  <c r="N467" i="7"/>
  <c r="G466" i="7"/>
  <c r="F466" i="7"/>
  <c r="E466" i="7"/>
  <c r="N466" i="7"/>
  <c r="G465" i="7"/>
  <c r="F465" i="7"/>
  <c r="E465" i="7"/>
  <c r="N465" i="7"/>
  <c r="G464" i="7"/>
  <c r="F464" i="7"/>
  <c r="E464" i="7"/>
  <c r="N464" i="7"/>
  <c r="G463" i="7"/>
  <c r="F463" i="7"/>
  <c r="E463" i="7"/>
  <c r="N463" i="7"/>
  <c r="G462" i="7"/>
  <c r="F462" i="7"/>
  <c r="E462" i="7"/>
  <c r="N462" i="7"/>
  <c r="G461" i="7"/>
  <c r="F461" i="7"/>
  <c r="E461" i="7"/>
  <c r="N461" i="7"/>
  <c r="G460" i="7"/>
  <c r="F460" i="7"/>
  <c r="E460" i="7"/>
  <c r="N460" i="7"/>
  <c r="G459" i="7"/>
  <c r="F459" i="7"/>
  <c r="E459" i="7"/>
  <c r="N459" i="7"/>
  <c r="G458" i="7"/>
  <c r="F458" i="7"/>
  <c r="E458" i="7"/>
  <c r="N458" i="7"/>
  <c r="G457" i="7"/>
  <c r="F457" i="7"/>
  <c r="E457" i="7"/>
  <c r="N457" i="7"/>
  <c r="G456" i="7"/>
  <c r="F456" i="7"/>
  <c r="E456" i="7"/>
  <c r="N456" i="7"/>
  <c r="G455" i="7"/>
  <c r="F455" i="7"/>
  <c r="E455" i="7"/>
  <c r="N455" i="7"/>
  <c r="G454" i="7"/>
  <c r="F454" i="7"/>
  <c r="E454" i="7"/>
  <c r="N454" i="7"/>
  <c r="G453" i="7"/>
  <c r="F453" i="7"/>
  <c r="E453" i="7"/>
  <c r="N453" i="7"/>
  <c r="G452" i="7"/>
  <c r="F452" i="7"/>
  <c r="E452" i="7"/>
  <c r="N452" i="7"/>
  <c r="G451" i="7"/>
  <c r="F451" i="7"/>
  <c r="E451" i="7"/>
  <c r="N451" i="7"/>
  <c r="G450" i="7"/>
  <c r="F450" i="7"/>
  <c r="E450" i="7"/>
  <c r="N450" i="7"/>
  <c r="G449" i="7"/>
  <c r="F449" i="7"/>
  <c r="E449" i="7"/>
  <c r="N449" i="7"/>
  <c r="G448" i="7"/>
  <c r="F448" i="7"/>
  <c r="E448" i="7"/>
  <c r="N448" i="7"/>
  <c r="G447" i="7"/>
  <c r="F447" i="7"/>
  <c r="E447" i="7"/>
  <c r="N447" i="7"/>
  <c r="G446" i="7"/>
  <c r="F446" i="7"/>
  <c r="E446" i="7"/>
  <c r="N446" i="7"/>
  <c r="G445" i="7"/>
  <c r="F445" i="7"/>
  <c r="E445" i="7"/>
  <c r="N445" i="7"/>
  <c r="G444" i="7"/>
  <c r="F444" i="7"/>
  <c r="E444" i="7"/>
  <c r="N444" i="7"/>
  <c r="G443" i="7"/>
  <c r="F443" i="7"/>
  <c r="E443" i="7"/>
  <c r="N443" i="7"/>
  <c r="G442" i="7"/>
  <c r="F442" i="7"/>
  <c r="E442" i="7"/>
  <c r="N442" i="7"/>
  <c r="G441" i="7"/>
  <c r="F441" i="7"/>
  <c r="E441" i="7"/>
  <c r="N441" i="7"/>
  <c r="G440" i="7"/>
  <c r="F440" i="7"/>
  <c r="E440" i="7"/>
  <c r="N440" i="7"/>
  <c r="G439" i="7"/>
  <c r="F439" i="7"/>
  <c r="E439" i="7"/>
  <c r="N439" i="7"/>
  <c r="G438" i="7"/>
  <c r="F438" i="7"/>
  <c r="E438" i="7"/>
  <c r="N438" i="7"/>
  <c r="G437" i="7"/>
  <c r="F437" i="7"/>
  <c r="E437" i="7"/>
  <c r="N437" i="7"/>
  <c r="G436" i="7"/>
  <c r="F436" i="7"/>
  <c r="E436" i="7"/>
  <c r="N436" i="7"/>
  <c r="G435" i="7"/>
  <c r="F435" i="7"/>
  <c r="E435" i="7"/>
  <c r="N435" i="7"/>
  <c r="G434" i="7"/>
  <c r="F434" i="7"/>
  <c r="E434" i="7"/>
  <c r="N434" i="7"/>
  <c r="G433" i="7"/>
  <c r="F433" i="7"/>
  <c r="E433" i="7"/>
  <c r="N433" i="7"/>
  <c r="G432" i="7"/>
  <c r="F432" i="7"/>
  <c r="E432" i="7"/>
  <c r="N432" i="7"/>
  <c r="G431" i="7"/>
  <c r="F431" i="7"/>
  <c r="E431" i="7"/>
  <c r="N431" i="7"/>
  <c r="G430" i="7"/>
  <c r="F430" i="7"/>
  <c r="E430" i="7"/>
  <c r="N430" i="7"/>
  <c r="G429" i="7"/>
  <c r="F429" i="7"/>
  <c r="E429" i="7"/>
  <c r="N429" i="7"/>
  <c r="G428" i="7"/>
  <c r="F428" i="7"/>
  <c r="E428" i="7"/>
  <c r="N428" i="7"/>
  <c r="G427" i="7"/>
  <c r="F427" i="7"/>
  <c r="E427" i="7"/>
  <c r="N427" i="7"/>
  <c r="G426" i="7"/>
  <c r="F426" i="7"/>
  <c r="E426" i="7"/>
  <c r="N426" i="7"/>
  <c r="G425" i="7"/>
  <c r="F425" i="7"/>
  <c r="E425" i="7"/>
  <c r="N425" i="7"/>
  <c r="G424" i="7"/>
  <c r="F424" i="7"/>
  <c r="E424" i="7"/>
  <c r="N424" i="7"/>
  <c r="G423" i="7"/>
  <c r="F423" i="7"/>
  <c r="E423" i="7"/>
  <c r="N423" i="7"/>
  <c r="G422" i="7"/>
  <c r="F422" i="7"/>
  <c r="E422" i="7"/>
  <c r="N422" i="7"/>
  <c r="G421" i="7"/>
  <c r="F421" i="7"/>
  <c r="E421" i="7"/>
  <c r="N421" i="7"/>
  <c r="G420" i="7"/>
  <c r="F420" i="7"/>
  <c r="E420" i="7"/>
  <c r="N420" i="7"/>
  <c r="G419" i="7"/>
  <c r="F419" i="7"/>
  <c r="E419" i="7"/>
  <c r="N419" i="7"/>
  <c r="G418" i="7"/>
  <c r="F418" i="7"/>
  <c r="E418" i="7"/>
  <c r="N418" i="7"/>
  <c r="G417" i="7"/>
  <c r="F417" i="7"/>
  <c r="E417" i="7"/>
  <c r="N417" i="7"/>
  <c r="G416" i="7"/>
  <c r="F416" i="7"/>
  <c r="E416" i="7"/>
  <c r="N416" i="7"/>
  <c r="G415" i="7"/>
  <c r="F415" i="7"/>
  <c r="E415" i="7"/>
  <c r="N415" i="7"/>
  <c r="G414" i="7"/>
  <c r="F414" i="7"/>
  <c r="E414" i="7"/>
  <c r="N414" i="7"/>
  <c r="G413" i="7"/>
  <c r="F413" i="7"/>
  <c r="E413" i="7"/>
  <c r="N413" i="7"/>
  <c r="G412" i="7"/>
  <c r="F412" i="7"/>
  <c r="E412" i="7"/>
  <c r="N412" i="7"/>
  <c r="G411" i="7"/>
  <c r="F411" i="7"/>
  <c r="E411" i="7"/>
  <c r="N411" i="7"/>
  <c r="G410" i="7"/>
  <c r="F410" i="7"/>
  <c r="E410" i="7"/>
  <c r="N410" i="7"/>
  <c r="G409" i="7"/>
  <c r="F409" i="7"/>
  <c r="E409" i="7"/>
  <c r="N409" i="7"/>
  <c r="G408" i="7"/>
  <c r="F408" i="7"/>
  <c r="E408" i="7"/>
  <c r="N408" i="7"/>
  <c r="G407" i="7"/>
  <c r="F407" i="7"/>
  <c r="E407" i="7"/>
  <c r="N407" i="7"/>
  <c r="G406" i="7"/>
  <c r="F406" i="7"/>
  <c r="E406" i="7"/>
  <c r="N406" i="7"/>
  <c r="G405" i="7"/>
  <c r="F405" i="7"/>
  <c r="E405" i="7"/>
  <c r="N405" i="7"/>
  <c r="G404" i="7"/>
  <c r="F404" i="7"/>
  <c r="E404" i="7"/>
  <c r="N404" i="7"/>
  <c r="G403" i="7"/>
  <c r="F403" i="7"/>
  <c r="E403" i="7"/>
  <c r="N403" i="7"/>
  <c r="G402" i="7"/>
  <c r="F402" i="7"/>
  <c r="E402" i="7"/>
  <c r="N402" i="7"/>
  <c r="G401" i="7"/>
  <c r="F401" i="7"/>
  <c r="E401" i="7"/>
  <c r="N401" i="7"/>
  <c r="G400" i="7"/>
  <c r="F400" i="7"/>
  <c r="E400" i="7"/>
  <c r="N400" i="7"/>
  <c r="G399" i="7"/>
  <c r="F399" i="7"/>
  <c r="E399" i="7"/>
  <c r="N399" i="7"/>
  <c r="G398" i="7"/>
  <c r="F398" i="7"/>
  <c r="E398" i="7"/>
  <c r="N398" i="7"/>
  <c r="G397" i="7"/>
  <c r="F397" i="7"/>
  <c r="E397" i="7"/>
  <c r="N397" i="7"/>
  <c r="G396" i="7"/>
  <c r="F396" i="7"/>
  <c r="E396" i="7"/>
  <c r="N396" i="7"/>
  <c r="G395" i="7"/>
  <c r="F395" i="7"/>
  <c r="E395" i="7"/>
  <c r="N395" i="7"/>
  <c r="G394" i="7"/>
  <c r="F394" i="7"/>
  <c r="E394" i="7"/>
  <c r="N394" i="7"/>
  <c r="G393" i="7"/>
  <c r="F393" i="7"/>
  <c r="E393" i="7"/>
  <c r="N393" i="7"/>
  <c r="G392" i="7"/>
  <c r="F392" i="7"/>
  <c r="E392" i="7"/>
  <c r="N392" i="7"/>
  <c r="G391" i="7"/>
  <c r="F391" i="7"/>
  <c r="E391" i="7"/>
  <c r="N391" i="7"/>
  <c r="G390" i="7"/>
  <c r="F390" i="7"/>
  <c r="E390" i="7"/>
  <c r="N390" i="7"/>
  <c r="G389" i="7"/>
  <c r="F389" i="7"/>
  <c r="E389" i="7"/>
  <c r="N389" i="7"/>
  <c r="G388" i="7"/>
  <c r="F388" i="7"/>
  <c r="E388" i="7"/>
  <c r="N388" i="7"/>
  <c r="G387" i="7"/>
  <c r="F387" i="7"/>
  <c r="E387" i="7"/>
  <c r="N387" i="7"/>
  <c r="G386" i="7"/>
  <c r="F386" i="7"/>
  <c r="E386" i="7"/>
  <c r="N386" i="7"/>
  <c r="G385" i="7"/>
  <c r="F385" i="7"/>
  <c r="E385" i="7"/>
  <c r="N385" i="7"/>
  <c r="G384" i="7"/>
  <c r="F384" i="7"/>
  <c r="E384" i="7"/>
  <c r="N384" i="7"/>
  <c r="G383" i="7"/>
  <c r="F383" i="7"/>
  <c r="E383" i="7"/>
  <c r="N383" i="7"/>
  <c r="G382" i="7"/>
  <c r="F382" i="7"/>
  <c r="E382" i="7"/>
  <c r="N382" i="7"/>
  <c r="G381" i="7"/>
  <c r="F381" i="7"/>
  <c r="E381" i="7"/>
  <c r="N381" i="7"/>
  <c r="G380" i="7"/>
  <c r="F380" i="7"/>
  <c r="E380" i="7"/>
  <c r="N380" i="7"/>
  <c r="G379" i="7"/>
  <c r="F379" i="7"/>
  <c r="E379" i="7"/>
  <c r="N379" i="7"/>
  <c r="G378" i="7"/>
  <c r="F378" i="7"/>
  <c r="E378" i="7"/>
  <c r="N378" i="7"/>
  <c r="G377" i="7"/>
  <c r="F377" i="7"/>
  <c r="E377" i="7"/>
  <c r="N377" i="7"/>
  <c r="G376" i="7"/>
  <c r="F376" i="7"/>
  <c r="E376" i="7"/>
  <c r="N376" i="7"/>
  <c r="G375" i="7"/>
  <c r="F375" i="7"/>
  <c r="E375" i="7"/>
  <c r="N375" i="7"/>
  <c r="G374" i="7"/>
  <c r="F374" i="7"/>
  <c r="E374" i="7"/>
  <c r="N374" i="7"/>
  <c r="G373" i="7"/>
  <c r="F373" i="7"/>
  <c r="E373" i="7"/>
  <c r="N373" i="7"/>
  <c r="G372" i="7"/>
  <c r="F372" i="7"/>
  <c r="E372" i="7"/>
  <c r="N372" i="7"/>
  <c r="G371" i="7"/>
  <c r="F371" i="7"/>
  <c r="E371" i="7"/>
  <c r="N371" i="7"/>
  <c r="G370" i="7"/>
  <c r="F370" i="7"/>
  <c r="E370" i="7"/>
  <c r="N370" i="7"/>
  <c r="G369" i="7"/>
  <c r="F369" i="7"/>
  <c r="E369" i="7"/>
  <c r="N369" i="7"/>
  <c r="G368" i="7"/>
  <c r="F368" i="7"/>
  <c r="E368" i="7"/>
  <c r="N368" i="7"/>
  <c r="G367" i="7"/>
  <c r="F367" i="7"/>
  <c r="E367" i="7"/>
  <c r="N367" i="7"/>
  <c r="G366" i="7"/>
  <c r="F366" i="7"/>
  <c r="E366" i="7"/>
  <c r="N366" i="7"/>
  <c r="G365" i="7"/>
  <c r="F365" i="7"/>
  <c r="E365" i="7"/>
  <c r="N365" i="7"/>
  <c r="G364" i="7"/>
  <c r="F364" i="7"/>
  <c r="E364" i="7"/>
  <c r="N364" i="7"/>
  <c r="G363" i="7"/>
  <c r="F363" i="7"/>
  <c r="E363" i="7"/>
  <c r="N363" i="7"/>
  <c r="G362" i="7"/>
  <c r="F362" i="7"/>
  <c r="E362" i="7"/>
  <c r="N362" i="7"/>
  <c r="G361" i="7"/>
  <c r="F361" i="7"/>
  <c r="E361" i="7"/>
  <c r="N361" i="7"/>
  <c r="G360" i="7"/>
  <c r="F360" i="7"/>
  <c r="E360" i="7"/>
  <c r="N360" i="7"/>
  <c r="G359" i="7"/>
  <c r="F359" i="7"/>
  <c r="E359" i="7"/>
  <c r="N359" i="7"/>
  <c r="G358" i="7"/>
  <c r="F358" i="7"/>
  <c r="E358" i="7"/>
  <c r="N358" i="7"/>
  <c r="G357" i="7"/>
  <c r="F357" i="7"/>
  <c r="E357" i="7"/>
  <c r="N357" i="7"/>
  <c r="G356" i="7"/>
  <c r="F356" i="7"/>
  <c r="E356" i="7"/>
  <c r="N356" i="7"/>
  <c r="G355" i="7"/>
  <c r="F355" i="7"/>
  <c r="E355" i="7"/>
  <c r="N355" i="7"/>
  <c r="G354" i="7"/>
  <c r="F354" i="7"/>
  <c r="E354" i="7"/>
  <c r="N354" i="7"/>
  <c r="G353" i="7"/>
  <c r="F353" i="7"/>
  <c r="E353" i="7"/>
  <c r="N353" i="7"/>
  <c r="G352" i="7"/>
  <c r="F352" i="7"/>
  <c r="E352" i="7"/>
  <c r="N352" i="7"/>
  <c r="G351" i="7"/>
  <c r="F351" i="7"/>
  <c r="E351" i="7"/>
  <c r="N351" i="7"/>
  <c r="G350" i="7"/>
  <c r="F350" i="7"/>
  <c r="E350" i="7"/>
  <c r="N350" i="7"/>
  <c r="G349" i="7"/>
  <c r="F349" i="7"/>
  <c r="E349" i="7"/>
  <c r="N349" i="7"/>
  <c r="G348" i="7"/>
  <c r="F348" i="7"/>
  <c r="E348" i="7"/>
  <c r="N348" i="7"/>
  <c r="G347" i="7"/>
  <c r="F347" i="7"/>
  <c r="E347" i="7"/>
  <c r="N347" i="7"/>
  <c r="G346" i="7"/>
  <c r="F346" i="7"/>
  <c r="E346" i="7"/>
  <c r="N346" i="7"/>
  <c r="G345" i="7"/>
  <c r="F345" i="7"/>
  <c r="E345" i="7"/>
  <c r="N345" i="7"/>
  <c r="G344" i="7"/>
  <c r="F344" i="7"/>
  <c r="E344" i="7"/>
  <c r="N344" i="7"/>
  <c r="G343" i="7"/>
  <c r="F343" i="7"/>
  <c r="E343" i="7"/>
  <c r="N343" i="7"/>
  <c r="G342" i="7"/>
  <c r="F342" i="7"/>
  <c r="E342" i="7"/>
  <c r="N342" i="7"/>
  <c r="G341" i="7"/>
  <c r="F341" i="7"/>
  <c r="E341" i="7"/>
  <c r="N341" i="7"/>
  <c r="G340" i="7"/>
  <c r="F340" i="7"/>
  <c r="E340" i="7"/>
  <c r="N340" i="7"/>
  <c r="G339" i="7"/>
  <c r="F339" i="7"/>
  <c r="E339" i="7"/>
  <c r="N339" i="7"/>
  <c r="G338" i="7"/>
  <c r="F338" i="7"/>
  <c r="E338" i="7"/>
  <c r="N338" i="7"/>
  <c r="G337" i="7"/>
  <c r="F337" i="7"/>
  <c r="E337" i="7"/>
  <c r="N337" i="7"/>
  <c r="G336" i="7"/>
  <c r="F336" i="7"/>
  <c r="E336" i="7"/>
  <c r="N336" i="7"/>
  <c r="G335" i="7"/>
  <c r="F335" i="7"/>
  <c r="E335" i="7"/>
  <c r="N335" i="7"/>
  <c r="G334" i="7"/>
  <c r="F334" i="7"/>
  <c r="E334" i="7"/>
  <c r="N334" i="7"/>
  <c r="G333" i="7"/>
  <c r="F333" i="7"/>
  <c r="E333" i="7"/>
  <c r="N333" i="7"/>
  <c r="G332" i="7"/>
  <c r="F332" i="7"/>
  <c r="E332" i="7"/>
  <c r="N332" i="7"/>
  <c r="G331" i="7"/>
  <c r="F331" i="7"/>
  <c r="E331" i="7"/>
  <c r="N331" i="7"/>
  <c r="G330" i="7"/>
  <c r="F330" i="7"/>
  <c r="E330" i="7"/>
  <c r="N330" i="7"/>
  <c r="G329" i="7"/>
  <c r="F329" i="7"/>
  <c r="E329" i="7"/>
  <c r="N329" i="7"/>
  <c r="G328" i="7"/>
  <c r="F328" i="7"/>
  <c r="E328" i="7"/>
  <c r="N328" i="7"/>
  <c r="G327" i="7"/>
  <c r="F327" i="7"/>
  <c r="E327" i="7"/>
  <c r="N327" i="7"/>
  <c r="G326" i="7"/>
  <c r="F326" i="7"/>
  <c r="E326" i="7"/>
  <c r="N326" i="7"/>
  <c r="G325" i="7"/>
  <c r="F325" i="7"/>
  <c r="E325" i="7"/>
  <c r="N325" i="7"/>
  <c r="G324" i="7"/>
  <c r="F324" i="7"/>
  <c r="E324" i="7"/>
  <c r="N324" i="7"/>
  <c r="G323" i="7"/>
  <c r="F323" i="7"/>
  <c r="E323" i="7"/>
  <c r="N323" i="7"/>
  <c r="G322" i="7"/>
  <c r="F322" i="7"/>
  <c r="E322" i="7"/>
  <c r="N322" i="7"/>
  <c r="G321" i="7"/>
  <c r="F321" i="7"/>
  <c r="E321" i="7"/>
  <c r="N321" i="7"/>
  <c r="G320" i="7"/>
  <c r="F320" i="7"/>
  <c r="E320" i="7"/>
  <c r="N320" i="7"/>
  <c r="G319" i="7"/>
  <c r="F319" i="7"/>
  <c r="E319" i="7"/>
  <c r="N319" i="7"/>
  <c r="G318" i="7"/>
  <c r="F318" i="7"/>
  <c r="E318" i="7"/>
  <c r="N318" i="7"/>
  <c r="G317" i="7"/>
  <c r="F317" i="7"/>
  <c r="E317" i="7"/>
  <c r="N317" i="7"/>
  <c r="G316" i="7"/>
  <c r="F316" i="7"/>
  <c r="E316" i="7"/>
  <c r="N316" i="7"/>
  <c r="G315" i="7"/>
  <c r="F315" i="7"/>
  <c r="E315" i="7"/>
  <c r="N315" i="7"/>
  <c r="G314" i="7"/>
  <c r="F314" i="7"/>
  <c r="E314" i="7"/>
  <c r="N314" i="7"/>
  <c r="G313" i="7"/>
  <c r="F313" i="7"/>
  <c r="E313" i="7"/>
  <c r="N313" i="7"/>
  <c r="G312" i="7"/>
  <c r="F312" i="7"/>
  <c r="E312" i="7"/>
  <c r="N312" i="7"/>
  <c r="G311" i="7"/>
  <c r="F311" i="7"/>
  <c r="E311" i="7"/>
  <c r="N311" i="7"/>
  <c r="G310" i="7"/>
  <c r="F310" i="7"/>
  <c r="E310" i="7"/>
  <c r="N310" i="7"/>
  <c r="G309" i="7"/>
  <c r="F309" i="7"/>
  <c r="E309" i="7"/>
  <c r="N309" i="7"/>
  <c r="G308" i="7"/>
  <c r="F308" i="7"/>
  <c r="E308" i="7"/>
  <c r="N308" i="7"/>
  <c r="G307" i="7"/>
  <c r="F307" i="7"/>
  <c r="E307" i="7"/>
  <c r="N307" i="7"/>
  <c r="G306" i="7"/>
  <c r="F306" i="7"/>
  <c r="E306" i="7"/>
  <c r="N306" i="7"/>
  <c r="G305" i="7"/>
  <c r="F305" i="7"/>
  <c r="E305" i="7"/>
  <c r="N305" i="7"/>
  <c r="G304" i="7"/>
  <c r="F304" i="7"/>
  <c r="E304" i="7"/>
  <c r="N304" i="7"/>
  <c r="G303" i="7"/>
  <c r="F303" i="7"/>
  <c r="E303" i="7"/>
  <c r="N303" i="7"/>
  <c r="G302" i="7"/>
  <c r="F302" i="7"/>
  <c r="E302" i="7"/>
  <c r="N302" i="7"/>
  <c r="G301" i="7"/>
  <c r="F301" i="7"/>
  <c r="E301" i="7"/>
  <c r="N301" i="7"/>
  <c r="G300" i="7"/>
  <c r="F300" i="7"/>
  <c r="E300" i="7"/>
  <c r="N300" i="7"/>
  <c r="G299" i="7"/>
  <c r="F299" i="7"/>
  <c r="E299" i="7"/>
  <c r="N299" i="7"/>
  <c r="G298" i="7"/>
  <c r="F298" i="7"/>
  <c r="E298" i="7"/>
  <c r="N298" i="7"/>
  <c r="G297" i="7"/>
  <c r="F297" i="7"/>
  <c r="E297" i="7"/>
  <c r="N297" i="7"/>
  <c r="G296" i="7"/>
  <c r="F296" i="7"/>
  <c r="E296" i="7"/>
  <c r="N296" i="7"/>
  <c r="G295" i="7"/>
  <c r="F295" i="7"/>
  <c r="E295" i="7"/>
  <c r="N295" i="7"/>
  <c r="G294" i="7"/>
  <c r="F294" i="7"/>
  <c r="E294" i="7"/>
  <c r="N294" i="7"/>
  <c r="G293" i="7"/>
  <c r="F293" i="7"/>
  <c r="E293" i="7"/>
  <c r="N293" i="7"/>
  <c r="G292" i="7"/>
  <c r="F292" i="7"/>
  <c r="E292" i="7"/>
  <c r="N292" i="7"/>
  <c r="G291" i="7"/>
  <c r="F291" i="7"/>
  <c r="E291" i="7"/>
  <c r="N291" i="7"/>
  <c r="G290" i="7"/>
  <c r="F290" i="7"/>
  <c r="E290" i="7"/>
  <c r="N290" i="7"/>
  <c r="G289" i="7"/>
  <c r="F289" i="7"/>
  <c r="E289" i="7"/>
  <c r="N289" i="7"/>
  <c r="G288" i="7"/>
  <c r="F288" i="7"/>
  <c r="E288" i="7"/>
  <c r="N288" i="7"/>
  <c r="G287" i="7"/>
  <c r="F287" i="7"/>
  <c r="E287" i="7"/>
  <c r="N287" i="7"/>
  <c r="G286" i="7"/>
  <c r="F286" i="7"/>
  <c r="E286" i="7"/>
  <c r="N286" i="7"/>
  <c r="G285" i="7"/>
  <c r="F285" i="7"/>
  <c r="E285" i="7"/>
  <c r="N285" i="7"/>
  <c r="G284" i="7"/>
  <c r="F284" i="7"/>
  <c r="E284" i="7"/>
  <c r="N284" i="7"/>
  <c r="G283" i="7"/>
  <c r="F283" i="7"/>
  <c r="E283" i="7"/>
  <c r="N283" i="7"/>
  <c r="G282" i="7"/>
  <c r="F282" i="7"/>
  <c r="E282" i="7"/>
  <c r="N282" i="7"/>
  <c r="G281" i="7"/>
  <c r="F281" i="7"/>
  <c r="E281" i="7"/>
  <c r="N281" i="7"/>
  <c r="G280" i="7"/>
  <c r="F280" i="7"/>
  <c r="E280" i="7"/>
  <c r="N280" i="7"/>
  <c r="G279" i="7"/>
  <c r="F279" i="7"/>
  <c r="E279" i="7"/>
  <c r="N279" i="7"/>
  <c r="G278" i="7"/>
  <c r="F278" i="7"/>
  <c r="E278" i="7"/>
  <c r="N278" i="7"/>
  <c r="G277" i="7"/>
  <c r="F277" i="7"/>
  <c r="E277" i="7"/>
  <c r="N277" i="7"/>
  <c r="G276" i="7"/>
  <c r="F276" i="7"/>
  <c r="E276" i="7"/>
  <c r="N276" i="7"/>
  <c r="G275" i="7"/>
  <c r="F275" i="7"/>
  <c r="E275" i="7"/>
  <c r="N275" i="7"/>
  <c r="G274" i="7"/>
  <c r="F274" i="7"/>
  <c r="E274" i="7"/>
  <c r="N274" i="7"/>
  <c r="G273" i="7"/>
  <c r="F273" i="7"/>
  <c r="E273" i="7"/>
  <c r="N273" i="7"/>
  <c r="G272" i="7"/>
  <c r="F272" i="7"/>
  <c r="E272" i="7"/>
  <c r="N272" i="7"/>
  <c r="G271" i="7"/>
  <c r="F271" i="7"/>
  <c r="E271" i="7"/>
  <c r="N271" i="7"/>
  <c r="G270" i="7"/>
  <c r="F270" i="7"/>
  <c r="E270" i="7"/>
  <c r="N270" i="7"/>
  <c r="G269" i="7"/>
  <c r="F269" i="7"/>
  <c r="E269" i="7"/>
  <c r="N269" i="7"/>
  <c r="G268" i="7"/>
  <c r="F268" i="7"/>
  <c r="E268" i="7"/>
  <c r="N268" i="7"/>
  <c r="G267" i="7"/>
  <c r="F267" i="7"/>
  <c r="E267" i="7"/>
  <c r="N267" i="7"/>
  <c r="G266" i="7"/>
  <c r="F266" i="7"/>
  <c r="E266" i="7"/>
  <c r="N266" i="7"/>
  <c r="G265" i="7"/>
  <c r="F265" i="7"/>
  <c r="E265" i="7"/>
  <c r="N265" i="7"/>
  <c r="G264" i="7"/>
  <c r="F264" i="7"/>
  <c r="E264" i="7"/>
  <c r="N264" i="7"/>
  <c r="G263" i="7"/>
  <c r="F263" i="7"/>
  <c r="E263" i="7"/>
  <c r="N263" i="7"/>
  <c r="G262" i="7"/>
  <c r="F262" i="7"/>
  <c r="E262" i="7"/>
  <c r="N262" i="7"/>
  <c r="G261" i="7"/>
  <c r="F261" i="7"/>
  <c r="E261" i="7"/>
  <c r="N261" i="7"/>
  <c r="G260" i="7"/>
  <c r="F260" i="7"/>
  <c r="E260" i="7"/>
  <c r="N260" i="7"/>
  <c r="G259" i="7"/>
  <c r="F259" i="7"/>
  <c r="E259" i="7"/>
  <c r="N259" i="7"/>
  <c r="G258" i="7"/>
  <c r="F258" i="7"/>
  <c r="E258" i="7"/>
  <c r="N258" i="7"/>
  <c r="G257" i="7"/>
  <c r="F257" i="7"/>
  <c r="E257" i="7"/>
  <c r="N257" i="7"/>
  <c r="G256" i="7"/>
  <c r="F256" i="7"/>
  <c r="E256" i="7"/>
  <c r="N256" i="7"/>
  <c r="G255" i="7"/>
  <c r="F255" i="7"/>
  <c r="E255" i="7"/>
  <c r="N255" i="7"/>
  <c r="G254" i="7"/>
  <c r="F254" i="7"/>
  <c r="E254" i="7"/>
  <c r="N254" i="7"/>
  <c r="G253" i="7"/>
  <c r="F253" i="7"/>
  <c r="E253" i="7"/>
  <c r="N253" i="7"/>
  <c r="G252" i="7"/>
  <c r="F252" i="7"/>
  <c r="E252" i="7"/>
  <c r="N252" i="7"/>
  <c r="G251" i="7"/>
  <c r="F251" i="7"/>
  <c r="E251" i="7"/>
  <c r="N251" i="7"/>
  <c r="G250" i="7"/>
  <c r="F250" i="7"/>
  <c r="E250" i="7"/>
  <c r="N250" i="7"/>
  <c r="G249" i="7"/>
  <c r="F249" i="7"/>
  <c r="E249" i="7"/>
  <c r="N249" i="7"/>
  <c r="G248" i="7"/>
  <c r="F248" i="7"/>
  <c r="E248" i="7"/>
  <c r="N248" i="7"/>
  <c r="G247" i="7"/>
  <c r="F247" i="7"/>
  <c r="E247" i="7"/>
  <c r="N247" i="7"/>
  <c r="G246" i="7"/>
  <c r="F246" i="7"/>
  <c r="E246" i="7"/>
  <c r="N246" i="7"/>
  <c r="G245" i="7"/>
  <c r="F245" i="7"/>
  <c r="E245" i="7"/>
  <c r="N245" i="7"/>
  <c r="G244" i="7"/>
  <c r="F244" i="7"/>
  <c r="E244" i="7"/>
  <c r="N244" i="7"/>
  <c r="G243" i="7"/>
  <c r="F243" i="7"/>
  <c r="E243" i="7"/>
  <c r="N243" i="7"/>
  <c r="G242" i="7"/>
  <c r="F242" i="7"/>
  <c r="E242" i="7"/>
  <c r="N242" i="7"/>
  <c r="G241" i="7"/>
  <c r="F241" i="7"/>
  <c r="E241" i="7"/>
  <c r="N241" i="7"/>
  <c r="G240" i="7"/>
  <c r="F240" i="7"/>
  <c r="E240" i="7"/>
  <c r="N240" i="7"/>
  <c r="G239" i="7"/>
  <c r="F239" i="7"/>
  <c r="E239" i="7"/>
  <c r="N239" i="7"/>
  <c r="G238" i="7"/>
  <c r="F238" i="7"/>
  <c r="E238" i="7"/>
  <c r="N238" i="7"/>
  <c r="G237" i="7"/>
  <c r="F237" i="7"/>
  <c r="E237" i="7"/>
  <c r="N237" i="7"/>
  <c r="G236" i="7"/>
  <c r="F236" i="7"/>
  <c r="E236" i="7"/>
  <c r="N236" i="7"/>
  <c r="G235" i="7"/>
  <c r="F235" i="7"/>
  <c r="E235" i="7"/>
  <c r="N235" i="7"/>
  <c r="G234" i="7"/>
  <c r="F234" i="7"/>
  <c r="E234" i="7"/>
  <c r="N234" i="7"/>
  <c r="G233" i="7"/>
  <c r="F233" i="7"/>
  <c r="E233" i="7"/>
  <c r="N233" i="7"/>
  <c r="G232" i="7"/>
  <c r="F232" i="7"/>
  <c r="E232" i="7"/>
  <c r="N232" i="7"/>
  <c r="G231" i="7"/>
  <c r="F231" i="7"/>
  <c r="E231" i="7"/>
  <c r="N231" i="7"/>
  <c r="G230" i="7"/>
  <c r="F230" i="7"/>
  <c r="E230" i="7"/>
  <c r="N230" i="7"/>
  <c r="G229" i="7"/>
  <c r="F229" i="7"/>
  <c r="E229" i="7"/>
  <c r="N229" i="7"/>
  <c r="G228" i="7"/>
  <c r="F228" i="7"/>
  <c r="E228" i="7"/>
  <c r="N228" i="7"/>
  <c r="G227" i="7"/>
  <c r="F227" i="7"/>
  <c r="E227" i="7"/>
  <c r="N227" i="7"/>
  <c r="G226" i="7"/>
  <c r="F226" i="7"/>
  <c r="E226" i="7"/>
  <c r="N226" i="7"/>
  <c r="G225" i="7"/>
  <c r="F225" i="7"/>
  <c r="E225" i="7"/>
  <c r="N225" i="7"/>
  <c r="G224" i="7"/>
  <c r="F224" i="7"/>
  <c r="E224" i="7"/>
  <c r="N224" i="7"/>
  <c r="G223" i="7"/>
  <c r="F223" i="7"/>
  <c r="E223" i="7"/>
  <c r="N223" i="7"/>
  <c r="G222" i="7"/>
  <c r="F222" i="7"/>
  <c r="E222" i="7"/>
  <c r="N222" i="7"/>
  <c r="G221" i="7"/>
  <c r="F221" i="7"/>
  <c r="E221" i="7"/>
  <c r="N221" i="7"/>
  <c r="G220" i="7"/>
  <c r="F220" i="7"/>
  <c r="E220" i="7"/>
  <c r="N220" i="7"/>
  <c r="G219" i="7"/>
  <c r="F219" i="7"/>
  <c r="E219" i="7"/>
  <c r="N219" i="7"/>
  <c r="G218" i="7"/>
  <c r="F218" i="7"/>
  <c r="E218" i="7"/>
  <c r="N218" i="7"/>
  <c r="G217" i="7"/>
  <c r="F217" i="7"/>
  <c r="E217" i="7"/>
  <c r="N217" i="7"/>
  <c r="G216" i="7"/>
  <c r="F216" i="7"/>
  <c r="E216" i="7"/>
  <c r="N216" i="7"/>
  <c r="G215" i="7"/>
  <c r="F215" i="7"/>
  <c r="E215" i="7"/>
  <c r="N215" i="7"/>
  <c r="G214" i="7"/>
  <c r="F214" i="7"/>
  <c r="E214" i="7"/>
  <c r="N214" i="7"/>
  <c r="G213" i="7"/>
  <c r="F213" i="7"/>
  <c r="E213" i="7"/>
  <c r="N213" i="7"/>
  <c r="G212" i="7"/>
  <c r="F212" i="7"/>
  <c r="E212" i="7"/>
  <c r="N212" i="7"/>
  <c r="G211" i="7"/>
  <c r="F211" i="7"/>
  <c r="E211" i="7"/>
  <c r="N211" i="7"/>
  <c r="G210" i="7"/>
  <c r="F210" i="7"/>
  <c r="E210" i="7"/>
  <c r="N210" i="7"/>
  <c r="G209" i="7"/>
  <c r="F209" i="7"/>
  <c r="E209" i="7"/>
  <c r="N209" i="7"/>
  <c r="G208" i="7"/>
  <c r="F208" i="7"/>
  <c r="E208" i="7"/>
  <c r="N208" i="7"/>
  <c r="G207" i="7"/>
  <c r="F207" i="7"/>
  <c r="E207" i="7"/>
  <c r="N207" i="7"/>
  <c r="G206" i="7"/>
  <c r="F206" i="7"/>
  <c r="E206" i="7"/>
  <c r="N206" i="7"/>
  <c r="G205" i="7"/>
  <c r="F205" i="7"/>
  <c r="E205" i="7"/>
  <c r="N205" i="7"/>
  <c r="G204" i="7"/>
  <c r="F204" i="7"/>
  <c r="E204" i="7"/>
  <c r="N204" i="7"/>
  <c r="G203" i="7"/>
  <c r="F203" i="7"/>
  <c r="E203" i="7"/>
  <c r="N203" i="7"/>
  <c r="G202" i="7"/>
  <c r="F202" i="7"/>
  <c r="E202" i="7"/>
  <c r="N202" i="7"/>
  <c r="G201" i="7"/>
  <c r="F201" i="7"/>
  <c r="E201" i="7"/>
  <c r="N201" i="7"/>
  <c r="G200" i="7"/>
  <c r="F200" i="7"/>
  <c r="E200" i="7"/>
  <c r="N200" i="7"/>
  <c r="G199" i="7"/>
  <c r="F199" i="7"/>
  <c r="E199" i="7"/>
  <c r="N199" i="7"/>
  <c r="G198" i="7"/>
  <c r="F198" i="7"/>
  <c r="E198" i="7"/>
  <c r="N198" i="7"/>
  <c r="G197" i="7"/>
  <c r="F197" i="7"/>
  <c r="E197" i="7"/>
  <c r="N197" i="7"/>
  <c r="G196" i="7"/>
  <c r="F196" i="7"/>
  <c r="E196" i="7"/>
  <c r="N196" i="7"/>
  <c r="G195" i="7"/>
  <c r="F195" i="7"/>
  <c r="E195" i="7"/>
  <c r="N195" i="7"/>
  <c r="G194" i="7"/>
  <c r="F194" i="7"/>
  <c r="E194" i="7"/>
  <c r="N194" i="7"/>
  <c r="G193" i="7"/>
  <c r="F193" i="7"/>
  <c r="E193" i="7"/>
  <c r="N193" i="7"/>
  <c r="G192" i="7"/>
  <c r="F192" i="7"/>
  <c r="E192" i="7"/>
  <c r="N192" i="7"/>
  <c r="G191" i="7"/>
  <c r="F191" i="7"/>
  <c r="E191" i="7"/>
  <c r="N191" i="7"/>
  <c r="G190" i="7"/>
  <c r="F190" i="7"/>
  <c r="E190" i="7"/>
  <c r="N190" i="7"/>
  <c r="G189" i="7"/>
  <c r="F189" i="7"/>
  <c r="E189" i="7"/>
  <c r="N189" i="7"/>
  <c r="G188" i="7"/>
  <c r="F188" i="7"/>
  <c r="E188" i="7"/>
  <c r="N188" i="7"/>
  <c r="G187" i="7"/>
  <c r="F187" i="7"/>
  <c r="E187" i="7"/>
  <c r="N187" i="7"/>
  <c r="G186" i="7"/>
  <c r="F186" i="7"/>
  <c r="E186" i="7"/>
  <c r="N186" i="7"/>
  <c r="G185" i="7"/>
  <c r="F185" i="7"/>
  <c r="E185" i="7"/>
  <c r="N185" i="7"/>
  <c r="G184" i="7"/>
  <c r="F184" i="7"/>
  <c r="E184" i="7"/>
  <c r="N184" i="7"/>
  <c r="G183" i="7"/>
  <c r="F183" i="7"/>
  <c r="E183" i="7"/>
  <c r="N183" i="7"/>
  <c r="G182" i="7"/>
  <c r="F182" i="7"/>
  <c r="E182" i="7"/>
  <c r="N182" i="7"/>
  <c r="G181" i="7"/>
  <c r="F181" i="7"/>
  <c r="E181" i="7"/>
  <c r="N181" i="7"/>
  <c r="G180" i="7"/>
  <c r="F180" i="7"/>
  <c r="E180" i="7"/>
  <c r="N180" i="7"/>
  <c r="G179" i="7"/>
  <c r="F179" i="7"/>
  <c r="E179" i="7"/>
  <c r="N179" i="7"/>
  <c r="G178" i="7"/>
  <c r="F178" i="7"/>
  <c r="E178" i="7"/>
  <c r="N178" i="7"/>
  <c r="G177" i="7"/>
  <c r="F177" i="7"/>
  <c r="E177" i="7"/>
  <c r="N177" i="7"/>
  <c r="G176" i="7"/>
  <c r="F176" i="7"/>
  <c r="E176" i="7"/>
  <c r="N176" i="7"/>
  <c r="G175" i="7"/>
  <c r="F175" i="7"/>
  <c r="E175" i="7"/>
  <c r="N175" i="7"/>
  <c r="G174" i="7"/>
  <c r="F174" i="7"/>
  <c r="E174" i="7"/>
  <c r="N174" i="7"/>
  <c r="G173" i="7"/>
  <c r="F173" i="7"/>
  <c r="E173" i="7"/>
  <c r="N173" i="7"/>
  <c r="G172" i="7"/>
  <c r="F172" i="7"/>
  <c r="E172" i="7"/>
  <c r="N172" i="7"/>
  <c r="G171" i="7"/>
  <c r="F171" i="7"/>
  <c r="E171" i="7"/>
  <c r="N171" i="7"/>
  <c r="G170" i="7"/>
  <c r="F170" i="7"/>
  <c r="E170" i="7"/>
  <c r="N170" i="7"/>
  <c r="G169" i="7"/>
  <c r="F169" i="7"/>
  <c r="E169" i="7"/>
  <c r="N169" i="7"/>
  <c r="G168" i="7"/>
  <c r="F168" i="7"/>
  <c r="E168" i="7"/>
  <c r="N168" i="7"/>
  <c r="G167" i="7"/>
  <c r="F167" i="7"/>
  <c r="E167" i="7"/>
  <c r="N167" i="7"/>
  <c r="G166" i="7"/>
  <c r="F166" i="7"/>
  <c r="E166" i="7"/>
  <c r="N166" i="7"/>
  <c r="G165" i="7"/>
  <c r="F165" i="7"/>
  <c r="E165" i="7"/>
  <c r="N165" i="7"/>
  <c r="G164" i="7"/>
  <c r="F164" i="7"/>
  <c r="E164" i="7"/>
  <c r="N164" i="7"/>
  <c r="G163" i="7"/>
  <c r="F163" i="7"/>
  <c r="E163" i="7"/>
  <c r="N163" i="7"/>
  <c r="G162" i="7"/>
  <c r="F162" i="7"/>
  <c r="E162" i="7"/>
  <c r="N162" i="7"/>
  <c r="G161" i="7"/>
  <c r="F161" i="7"/>
  <c r="E161" i="7"/>
  <c r="N161" i="7"/>
  <c r="G160" i="7"/>
  <c r="F160" i="7"/>
  <c r="E160" i="7"/>
  <c r="N160" i="7"/>
  <c r="G159" i="7"/>
  <c r="F159" i="7"/>
  <c r="E159" i="7"/>
  <c r="N159" i="7"/>
  <c r="G158" i="7"/>
  <c r="F158" i="7"/>
  <c r="E158" i="7"/>
  <c r="N158" i="7"/>
  <c r="G157" i="7"/>
  <c r="F157" i="7"/>
  <c r="E157" i="7"/>
  <c r="N157" i="7"/>
  <c r="G156" i="7"/>
  <c r="F156" i="7"/>
  <c r="E156" i="7"/>
  <c r="N156" i="7"/>
  <c r="G155" i="7"/>
  <c r="F155" i="7"/>
  <c r="E155" i="7"/>
  <c r="N155" i="7"/>
  <c r="G154" i="7"/>
  <c r="F154" i="7"/>
  <c r="E154" i="7"/>
  <c r="N154" i="7"/>
  <c r="G153" i="7"/>
  <c r="F153" i="7"/>
  <c r="E153" i="7"/>
  <c r="N153" i="7"/>
  <c r="G152" i="7"/>
  <c r="F152" i="7"/>
  <c r="E152" i="7"/>
  <c r="N152" i="7"/>
  <c r="G151" i="7"/>
  <c r="F151" i="7"/>
  <c r="E151" i="7"/>
  <c r="N151" i="7"/>
  <c r="G150" i="7"/>
  <c r="F150" i="7"/>
  <c r="E150" i="7"/>
  <c r="N150" i="7"/>
  <c r="G149" i="7"/>
  <c r="F149" i="7"/>
  <c r="E149" i="7"/>
  <c r="N149" i="7"/>
  <c r="G148" i="7"/>
  <c r="F148" i="7"/>
  <c r="E148" i="7"/>
  <c r="N148" i="7"/>
  <c r="G147" i="7"/>
  <c r="F147" i="7"/>
  <c r="E147" i="7"/>
  <c r="N147" i="7"/>
  <c r="G146" i="7"/>
  <c r="F146" i="7"/>
  <c r="E146" i="7"/>
  <c r="N146" i="7"/>
  <c r="G145" i="7"/>
  <c r="F145" i="7"/>
  <c r="E145" i="7"/>
  <c r="N145" i="7"/>
  <c r="G144" i="7"/>
  <c r="F144" i="7"/>
  <c r="E144" i="7"/>
  <c r="N144" i="7"/>
  <c r="G143" i="7"/>
  <c r="F143" i="7"/>
  <c r="E143" i="7"/>
  <c r="N143" i="7"/>
  <c r="G142" i="7"/>
  <c r="F142" i="7"/>
  <c r="E142" i="7"/>
  <c r="N142" i="7"/>
  <c r="G141" i="7"/>
  <c r="F141" i="7"/>
  <c r="E141" i="7"/>
  <c r="N141" i="7"/>
  <c r="G140" i="7"/>
  <c r="F140" i="7"/>
  <c r="E140" i="7"/>
  <c r="N140" i="7"/>
  <c r="G139" i="7"/>
  <c r="F139" i="7"/>
  <c r="E139" i="7"/>
  <c r="N139" i="7"/>
  <c r="G138" i="7"/>
  <c r="F138" i="7"/>
  <c r="E138" i="7"/>
  <c r="N138" i="7"/>
  <c r="G137" i="7"/>
  <c r="F137" i="7"/>
  <c r="E137" i="7"/>
  <c r="N137" i="7"/>
  <c r="G136" i="7"/>
  <c r="F136" i="7"/>
  <c r="E136" i="7"/>
  <c r="N136" i="7"/>
  <c r="G135" i="7"/>
  <c r="F135" i="7"/>
  <c r="E135" i="7"/>
  <c r="N135" i="7"/>
  <c r="G134" i="7"/>
  <c r="F134" i="7"/>
  <c r="E134" i="7"/>
  <c r="N134" i="7"/>
  <c r="G133" i="7"/>
  <c r="F133" i="7"/>
  <c r="E133" i="7"/>
  <c r="N133" i="7"/>
  <c r="G132" i="7"/>
  <c r="F132" i="7"/>
  <c r="E132" i="7"/>
  <c r="N132" i="7"/>
  <c r="G131" i="7"/>
  <c r="F131" i="7"/>
  <c r="E131" i="7"/>
  <c r="N131" i="7"/>
  <c r="G130" i="7"/>
  <c r="F130" i="7"/>
  <c r="E130" i="7"/>
  <c r="N130" i="7"/>
  <c r="G129" i="7"/>
  <c r="F129" i="7"/>
  <c r="E129" i="7"/>
  <c r="N129" i="7"/>
  <c r="G128" i="7"/>
  <c r="F128" i="7"/>
  <c r="E128" i="7"/>
  <c r="N128" i="7"/>
  <c r="G127" i="7"/>
  <c r="F127" i="7"/>
  <c r="E127" i="7"/>
  <c r="N127" i="7"/>
  <c r="G126" i="7"/>
  <c r="F126" i="7"/>
  <c r="E126" i="7"/>
  <c r="N126" i="7"/>
  <c r="G125" i="7"/>
  <c r="F125" i="7"/>
  <c r="E125" i="7"/>
  <c r="N125" i="7"/>
  <c r="G124" i="7"/>
  <c r="F124" i="7"/>
  <c r="E124" i="7"/>
  <c r="N124" i="7"/>
  <c r="G123" i="7"/>
  <c r="F123" i="7"/>
  <c r="E123" i="7"/>
  <c r="N123" i="7"/>
  <c r="G122" i="7"/>
  <c r="F122" i="7"/>
  <c r="E122" i="7"/>
  <c r="N122" i="7"/>
  <c r="G121" i="7"/>
  <c r="F121" i="7"/>
  <c r="E121" i="7"/>
  <c r="N121" i="7"/>
  <c r="G120" i="7"/>
  <c r="F120" i="7"/>
  <c r="E120" i="7"/>
  <c r="N120" i="7"/>
  <c r="G119" i="7"/>
  <c r="F119" i="7"/>
  <c r="E119" i="7"/>
  <c r="N119" i="7"/>
  <c r="G118" i="7"/>
  <c r="F118" i="7"/>
  <c r="E118" i="7"/>
  <c r="N118" i="7"/>
  <c r="G117" i="7"/>
  <c r="F117" i="7"/>
  <c r="E117" i="7"/>
  <c r="N117" i="7"/>
  <c r="G116" i="7"/>
  <c r="F116" i="7"/>
  <c r="E116" i="7"/>
  <c r="N116" i="7"/>
  <c r="G115" i="7"/>
  <c r="F115" i="7"/>
  <c r="E115" i="7"/>
  <c r="N115" i="7"/>
  <c r="G114" i="7"/>
  <c r="F114" i="7"/>
  <c r="E114" i="7"/>
  <c r="N114" i="7"/>
  <c r="G113" i="7"/>
  <c r="F113" i="7"/>
  <c r="E113" i="7"/>
  <c r="N113" i="7"/>
  <c r="G112" i="7"/>
  <c r="F112" i="7"/>
  <c r="E112" i="7"/>
  <c r="N112" i="7"/>
  <c r="G111" i="7"/>
  <c r="F111" i="7"/>
  <c r="E111" i="7"/>
  <c r="N111" i="7"/>
  <c r="G110" i="7"/>
  <c r="F110" i="7"/>
  <c r="E110" i="7"/>
  <c r="N110" i="7"/>
  <c r="G109" i="7"/>
  <c r="F109" i="7"/>
  <c r="E109" i="7"/>
  <c r="N109" i="7"/>
  <c r="G108" i="7"/>
  <c r="F108" i="7"/>
  <c r="E108" i="7"/>
  <c r="N108" i="7"/>
  <c r="G107" i="7"/>
  <c r="F107" i="7"/>
  <c r="E107" i="7"/>
  <c r="N107" i="7"/>
  <c r="G106" i="7"/>
  <c r="F106" i="7"/>
  <c r="E106" i="7"/>
  <c r="N106" i="7"/>
  <c r="G105" i="7"/>
  <c r="F105" i="7"/>
  <c r="E105" i="7"/>
  <c r="N105" i="7"/>
  <c r="G104" i="7"/>
  <c r="F104" i="7"/>
  <c r="E104" i="7"/>
  <c r="N104" i="7"/>
  <c r="G103" i="7"/>
  <c r="F103" i="7"/>
  <c r="E103" i="7"/>
  <c r="N103" i="7"/>
  <c r="G102" i="7"/>
  <c r="F102" i="7"/>
  <c r="E102" i="7"/>
  <c r="N102" i="7"/>
  <c r="G101" i="7"/>
  <c r="F101" i="7"/>
  <c r="E101" i="7"/>
  <c r="N101" i="7"/>
  <c r="G100" i="7"/>
  <c r="F100" i="7"/>
  <c r="E100" i="7"/>
  <c r="N100" i="7"/>
  <c r="G99" i="7"/>
  <c r="F99" i="7"/>
  <c r="E99" i="7"/>
  <c r="N99" i="7"/>
  <c r="G98" i="7"/>
  <c r="F98" i="7"/>
  <c r="E98" i="7"/>
  <c r="N98" i="7"/>
  <c r="G97" i="7"/>
  <c r="F97" i="7"/>
  <c r="E97" i="7"/>
  <c r="N97" i="7"/>
  <c r="G96" i="7"/>
  <c r="F96" i="7"/>
  <c r="E96" i="7"/>
  <c r="N96" i="7"/>
  <c r="G95" i="7"/>
  <c r="F95" i="7"/>
  <c r="E95" i="7"/>
  <c r="N95" i="7"/>
  <c r="G94" i="7"/>
  <c r="F94" i="7"/>
  <c r="E94" i="7"/>
  <c r="N94" i="7"/>
  <c r="G93" i="7"/>
  <c r="F93" i="7"/>
  <c r="E93" i="7"/>
  <c r="N93" i="7"/>
  <c r="G92" i="7"/>
  <c r="F92" i="7"/>
  <c r="E92" i="7"/>
  <c r="N92" i="7"/>
  <c r="G91" i="7"/>
  <c r="F91" i="7"/>
  <c r="E91" i="7"/>
  <c r="N91" i="7"/>
  <c r="G90" i="7"/>
  <c r="F90" i="7"/>
  <c r="E90" i="7"/>
  <c r="N90" i="7"/>
  <c r="G89" i="7"/>
  <c r="F89" i="7"/>
  <c r="E89" i="7"/>
  <c r="N89" i="7"/>
  <c r="G88" i="7"/>
  <c r="F88" i="7"/>
  <c r="E88" i="7"/>
  <c r="N88" i="7"/>
  <c r="G87" i="7"/>
  <c r="F87" i="7"/>
  <c r="E87" i="7"/>
  <c r="N87" i="7"/>
  <c r="G86" i="7"/>
  <c r="F86" i="7"/>
  <c r="E86" i="7"/>
  <c r="N86" i="7"/>
  <c r="G85" i="7"/>
  <c r="F85" i="7"/>
  <c r="E85" i="7"/>
  <c r="N85" i="7"/>
  <c r="G84" i="7"/>
  <c r="F84" i="7"/>
  <c r="E84" i="7"/>
  <c r="N84" i="7"/>
  <c r="G83" i="7"/>
  <c r="F83" i="7"/>
  <c r="E83" i="7"/>
  <c r="N83" i="7"/>
  <c r="G82" i="7"/>
  <c r="F82" i="7"/>
  <c r="E82" i="7"/>
  <c r="N82" i="7"/>
  <c r="G81" i="7"/>
  <c r="F81" i="7"/>
  <c r="E81" i="7"/>
  <c r="N81" i="7"/>
  <c r="G80" i="7"/>
  <c r="F80" i="7"/>
  <c r="E80" i="7"/>
  <c r="N80" i="7"/>
  <c r="G79" i="7"/>
  <c r="F79" i="7"/>
  <c r="E79" i="7"/>
  <c r="N79" i="7"/>
  <c r="G78" i="7"/>
  <c r="F78" i="7"/>
  <c r="E78" i="7"/>
  <c r="N78" i="7"/>
  <c r="G77" i="7"/>
  <c r="F77" i="7"/>
  <c r="E77" i="7"/>
  <c r="N77" i="7"/>
  <c r="G76" i="7"/>
  <c r="F76" i="7"/>
  <c r="E76" i="7"/>
  <c r="N76" i="7"/>
  <c r="G75" i="7"/>
  <c r="F75" i="7"/>
  <c r="E75" i="7"/>
  <c r="N75" i="7"/>
  <c r="G74" i="7"/>
  <c r="F74" i="7"/>
  <c r="E74" i="7"/>
  <c r="N74" i="7"/>
  <c r="G73" i="7"/>
  <c r="F73" i="7"/>
  <c r="E73" i="7"/>
  <c r="N73" i="7"/>
  <c r="G72" i="7"/>
  <c r="F72" i="7"/>
  <c r="E72" i="7"/>
  <c r="N72" i="7"/>
  <c r="G71" i="7"/>
  <c r="F71" i="7"/>
  <c r="E71" i="7"/>
  <c r="N71" i="7"/>
  <c r="G70" i="7"/>
  <c r="F70" i="7"/>
  <c r="E70" i="7"/>
  <c r="N70" i="7"/>
  <c r="G69" i="7"/>
  <c r="F69" i="7"/>
  <c r="E69" i="7"/>
  <c r="N69" i="7"/>
  <c r="G68" i="7"/>
  <c r="F68" i="7"/>
  <c r="E68" i="7"/>
  <c r="N68" i="7"/>
  <c r="G67" i="7"/>
  <c r="F67" i="7"/>
  <c r="E67" i="7"/>
  <c r="N67" i="7"/>
  <c r="G66" i="7"/>
  <c r="F66" i="7"/>
  <c r="E66" i="7"/>
  <c r="N66" i="7"/>
  <c r="G65" i="7"/>
  <c r="F65" i="7"/>
  <c r="E65" i="7"/>
  <c r="N65" i="7"/>
  <c r="G64" i="7"/>
  <c r="F64" i="7"/>
  <c r="E64" i="7"/>
  <c r="N64" i="7"/>
  <c r="G63" i="7"/>
  <c r="F63" i="7"/>
  <c r="E63" i="7"/>
  <c r="N63" i="7"/>
  <c r="G62" i="7"/>
  <c r="F62" i="7"/>
  <c r="E62" i="7"/>
  <c r="N62" i="7"/>
  <c r="G61" i="7"/>
  <c r="F61" i="7"/>
  <c r="E61" i="7"/>
  <c r="N61" i="7"/>
  <c r="G60" i="7"/>
  <c r="F60" i="7"/>
  <c r="E60" i="7"/>
  <c r="N60" i="7"/>
  <c r="G59" i="7"/>
  <c r="F59" i="7"/>
  <c r="E59" i="7"/>
  <c r="N59" i="7"/>
  <c r="G58" i="7"/>
  <c r="F58" i="7"/>
  <c r="E58" i="7"/>
  <c r="N58" i="7"/>
  <c r="G57" i="7"/>
  <c r="F57" i="7"/>
  <c r="E57" i="7"/>
  <c r="N57" i="7"/>
  <c r="G56" i="7"/>
  <c r="F56" i="7"/>
  <c r="E56" i="7"/>
  <c r="N56" i="7"/>
  <c r="G55" i="7"/>
  <c r="F55" i="7"/>
  <c r="E55" i="7"/>
  <c r="N55" i="7"/>
  <c r="G54" i="7"/>
  <c r="F54" i="7"/>
  <c r="E54" i="7"/>
  <c r="N54" i="7"/>
  <c r="G53" i="7"/>
  <c r="F53" i="7"/>
  <c r="E53" i="7"/>
  <c r="N53" i="7"/>
  <c r="G52" i="7"/>
  <c r="F52" i="7"/>
  <c r="E52" i="7"/>
  <c r="N52" i="7"/>
  <c r="G51" i="7"/>
  <c r="F51" i="7"/>
  <c r="E51" i="7"/>
  <c r="N51" i="7"/>
  <c r="G50" i="7"/>
  <c r="F50" i="7"/>
  <c r="E50" i="7"/>
  <c r="N50" i="7"/>
  <c r="G49" i="7"/>
  <c r="F49" i="7"/>
  <c r="E49" i="7"/>
  <c r="N49" i="7"/>
  <c r="G48" i="7"/>
  <c r="F48" i="7"/>
  <c r="E48" i="7"/>
  <c r="N48" i="7"/>
  <c r="G47" i="7"/>
  <c r="F47" i="7"/>
  <c r="E47" i="7"/>
  <c r="N47" i="7"/>
  <c r="G46" i="7"/>
  <c r="F46" i="7"/>
  <c r="E46" i="7"/>
  <c r="N46" i="7"/>
  <c r="G45" i="7"/>
  <c r="F45" i="7"/>
  <c r="E45" i="7"/>
  <c r="N45" i="7"/>
  <c r="G44" i="7"/>
  <c r="F44" i="7"/>
  <c r="E44" i="7"/>
  <c r="N44" i="7"/>
  <c r="G43" i="7"/>
  <c r="F43" i="7"/>
  <c r="E43" i="7"/>
  <c r="N43" i="7"/>
  <c r="G42" i="7"/>
  <c r="F42" i="7"/>
  <c r="E42" i="7"/>
  <c r="N42" i="7"/>
  <c r="G41" i="7"/>
  <c r="F41" i="7"/>
  <c r="E41" i="7"/>
  <c r="N41" i="7"/>
  <c r="G40" i="7"/>
  <c r="F40" i="7"/>
  <c r="E40" i="7"/>
  <c r="N40" i="7"/>
  <c r="G39" i="7"/>
  <c r="F39" i="7"/>
  <c r="E39" i="7"/>
  <c r="N39" i="7"/>
  <c r="G38" i="7"/>
  <c r="F38" i="7"/>
  <c r="E38" i="7"/>
  <c r="N38" i="7"/>
  <c r="G37" i="7"/>
  <c r="F37" i="7"/>
  <c r="E37" i="7"/>
  <c r="N37" i="7"/>
  <c r="G36" i="7"/>
  <c r="F36" i="7"/>
  <c r="E36" i="7"/>
  <c r="N36" i="7"/>
  <c r="G35" i="7"/>
  <c r="F35" i="7"/>
  <c r="E35" i="7"/>
  <c r="N35" i="7"/>
  <c r="G34" i="7"/>
  <c r="F34" i="7"/>
  <c r="E34" i="7"/>
  <c r="N34" i="7"/>
  <c r="G33" i="7"/>
  <c r="F33" i="7"/>
  <c r="E33" i="7"/>
  <c r="N33" i="7"/>
  <c r="G32" i="7"/>
  <c r="F32" i="7"/>
  <c r="E32" i="7"/>
  <c r="N32" i="7"/>
  <c r="G31" i="7"/>
  <c r="F31" i="7"/>
  <c r="E31" i="7"/>
  <c r="N31" i="7"/>
  <c r="G30" i="7"/>
  <c r="F30" i="7"/>
  <c r="E30" i="7"/>
  <c r="N30" i="7"/>
  <c r="G29" i="7"/>
  <c r="F29" i="7"/>
  <c r="E29" i="7"/>
  <c r="N29" i="7"/>
  <c r="G28" i="7"/>
  <c r="F28" i="7"/>
  <c r="E28" i="7"/>
  <c r="N28" i="7"/>
  <c r="G27" i="7"/>
  <c r="F27" i="7"/>
  <c r="E27" i="7"/>
  <c r="N27" i="7"/>
  <c r="G26" i="7"/>
  <c r="F26" i="7"/>
  <c r="E26" i="7"/>
  <c r="N26" i="7"/>
  <c r="G25" i="7"/>
  <c r="F25" i="7"/>
  <c r="E25" i="7"/>
  <c r="N25" i="7"/>
  <c r="G24" i="7"/>
  <c r="F24" i="7"/>
  <c r="E24" i="7"/>
  <c r="N24" i="7"/>
  <c r="G23" i="7"/>
  <c r="F23" i="7"/>
  <c r="E23" i="7"/>
  <c r="N23" i="7"/>
  <c r="G22" i="7"/>
  <c r="F22" i="7"/>
  <c r="E22" i="7"/>
  <c r="N22" i="7"/>
  <c r="G21" i="7"/>
  <c r="F21" i="7"/>
  <c r="E21" i="7"/>
  <c r="N21" i="7"/>
  <c r="G20" i="7"/>
  <c r="F20" i="7"/>
  <c r="E20" i="7"/>
  <c r="N20" i="7"/>
  <c r="G19" i="7"/>
  <c r="F19" i="7"/>
  <c r="E19" i="7"/>
  <c r="N19" i="7"/>
  <c r="G18" i="7"/>
  <c r="F18" i="7"/>
  <c r="E18" i="7"/>
  <c r="N18" i="7"/>
  <c r="G17" i="7"/>
  <c r="F17" i="7"/>
  <c r="E17" i="7"/>
  <c r="N17" i="7"/>
  <c r="G16" i="7"/>
  <c r="F16" i="7"/>
  <c r="E16" i="7"/>
  <c r="N16" i="7"/>
  <c r="G15" i="7"/>
  <c r="F15" i="7"/>
  <c r="E15" i="7"/>
  <c r="N15" i="7"/>
  <c r="G14" i="7"/>
  <c r="F14" i="7"/>
  <c r="E14" i="7"/>
  <c r="N14" i="7"/>
  <c r="G13" i="7"/>
  <c r="F13" i="7"/>
  <c r="E13" i="7"/>
  <c r="N13" i="7"/>
  <c r="G12" i="7"/>
  <c r="F12" i="7"/>
  <c r="E12" i="7"/>
  <c r="N12" i="7"/>
  <c r="G11" i="7"/>
  <c r="F11" i="7"/>
  <c r="E11" i="7"/>
  <c r="N11" i="7"/>
  <c r="G10" i="7"/>
  <c r="F10" i="7"/>
  <c r="E10" i="7"/>
  <c r="N10" i="7"/>
  <c r="G9" i="7"/>
  <c r="F9" i="7"/>
  <c r="E9" i="7"/>
  <c r="N9" i="7"/>
  <c r="G8" i="7"/>
  <c r="F8" i="7"/>
  <c r="E8" i="7"/>
  <c r="N8" i="7"/>
  <c r="G7" i="7"/>
  <c r="F7" i="7"/>
  <c r="E7" i="7"/>
  <c r="N7" i="7"/>
  <c r="G6" i="7"/>
  <c r="F6" i="7"/>
  <c r="E6" i="7"/>
  <c r="N6" i="7"/>
  <c r="G5" i="7"/>
  <c r="F5" i="7"/>
  <c r="E5" i="7"/>
  <c r="N5" i="7"/>
  <c r="G4" i="7"/>
  <c r="F4" i="7"/>
  <c r="E4" i="7"/>
  <c r="N4" i="7"/>
  <c r="B14" i="8"/>
  <c r="B12" i="8"/>
  <c r="B11" i="8"/>
  <c r="B17" i="8"/>
  <c r="B13" i="8"/>
</calcChain>
</file>

<file path=xl/sharedStrings.xml><?xml version="1.0" encoding="utf-8"?>
<sst xmlns="http://schemas.openxmlformats.org/spreadsheetml/2006/main" count="6655" uniqueCount="62">
  <si>
    <t>Beauty</t>
  </si>
  <si>
    <t>South</t>
  </si>
  <si>
    <t>Wallet</t>
  </si>
  <si>
    <t>Clothing</t>
  </si>
  <si>
    <t>Card</t>
  </si>
  <si>
    <t>East</t>
  </si>
  <si>
    <t>COD</t>
  </si>
  <si>
    <t>Electronics</t>
  </si>
  <si>
    <t>West</t>
  </si>
  <si>
    <t>North</t>
  </si>
  <si>
    <t>Home</t>
  </si>
  <si>
    <t>Order Date</t>
  </si>
  <si>
    <t>Product Category</t>
  </si>
  <si>
    <t>Region</t>
  </si>
  <si>
    <t>Unit Price</t>
  </si>
  <si>
    <t>Discount</t>
  </si>
  <si>
    <t>Total Unit Price After Discount</t>
  </si>
  <si>
    <t>Total Revenue</t>
  </si>
  <si>
    <t>Payment Method</t>
  </si>
  <si>
    <t>Delivery Days</t>
  </si>
  <si>
    <t>Customer Rating</t>
  </si>
  <si>
    <t>Customer ID</t>
  </si>
  <si>
    <t>Order ID</t>
  </si>
  <si>
    <t>Quantity Sold</t>
  </si>
  <si>
    <t>Month</t>
  </si>
  <si>
    <t>Quarter</t>
  </si>
  <si>
    <t>Sum of Total Revenue</t>
  </si>
  <si>
    <t>Sum of Quantity Sold</t>
  </si>
  <si>
    <t>Values</t>
  </si>
  <si>
    <t>Count of Order ID</t>
  </si>
  <si>
    <t>Average of Total Revenue2</t>
  </si>
  <si>
    <t>KPI Sections</t>
  </si>
  <si>
    <t>Total Quantity Sold</t>
  </si>
  <si>
    <t>Total Orders</t>
  </si>
  <si>
    <t>Average Order Value</t>
  </si>
  <si>
    <t>Total Customers</t>
  </si>
  <si>
    <t>Row Labels</t>
  </si>
  <si>
    <t>Apr</t>
  </si>
  <si>
    <t>Aug</t>
  </si>
  <si>
    <t>Dec</t>
  </si>
  <si>
    <t>Feb</t>
  </si>
  <si>
    <t>Jan</t>
  </si>
  <si>
    <t>Jul</t>
  </si>
  <si>
    <t>Jun</t>
  </si>
  <si>
    <t>Mar</t>
  </si>
  <si>
    <t>May</t>
  </si>
  <si>
    <t>Nov</t>
  </si>
  <si>
    <t>Oct</t>
  </si>
  <si>
    <t>Sep</t>
  </si>
  <si>
    <t>Payment Method Distribution</t>
  </si>
  <si>
    <t>Count of Payment Method</t>
  </si>
  <si>
    <t>Average of Customer Rating</t>
  </si>
  <si>
    <t>Year</t>
  </si>
  <si>
    <t>Month Number</t>
  </si>
  <si>
    <t>Revenue by Year</t>
  </si>
  <si>
    <t>Monthly Revenue Trend</t>
  </si>
  <si>
    <t>Column Labels</t>
  </si>
  <si>
    <t>Revenue by Region</t>
  </si>
  <si>
    <t>Revenue by Product Category</t>
  </si>
  <si>
    <t>Orders Trend by Year</t>
  </si>
  <si>
    <t>Average Rating by Product Category</t>
  </si>
  <si>
    <t>Top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</si>
</sst>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2]\ * #,##0.00_-;\-[$€-2]\ * #,##0.00_-;_-[$€-2]\ * &quot;-&quot;??_-;_-@_-"/>
    <numFmt numFmtId="165" formatCode="#\ &quot;days&quot;"/>
    <numFmt numFmtId="166" formatCode="0.0"/>
    <numFmt numFmtId="167" formatCode="dd\ mmm\ yyyy"/>
    <numFmt numFmtId="168" formatCode="&quot;ORD-&quot;000#"/>
    <numFmt numFmtId="169" formatCode="\€#,##0,\ &quot;K&quot;"/>
  </numFmts>
  <fonts count="19" x14ac:knownFonts="1">
    <font>
      <sz val="12"/>
      <color theme="1"/>
      <name val="Arial"/>
      <family val="2"/>
    </font>
    <font>
      <sz val="12"/>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sz val="12"/>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CBA8F6"/>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48">
    <xf numFmtId="0" fontId="0" fillId="0" borderId="0" xfId="0"/>
    <xf numFmtId="164" fontId="0" fillId="0" borderId="0" xfId="0" applyNumberFormat="1"/>
    <xf numFmtId="9" fontId="0" fillId="0" borderId="0" xfId="42" applyFont="1"/>
    <xf numFmtId="165" fontId="0" fillId="0" borderId="0" xfId="0" applyNumberFormat="1"/>
    <xf numFmtId="167" fontId="0" fillId="0" borderId="0" xfId="0" applyNumberFormat="1"/>
    <xf numFmtId="0" fontId="0" fillId="0" borderId="0" xfId="0" applyAlignment="1">
      <alignment horizontal="center"/>
    </xf>
    <xf numFmtId="166" fontId="0" fillId="0" borderId="0" xfId="0" applyNumberFormat="1" applyAlignment="1">
      <alignment horizontal="center"/>
    </xf>
    <xf numFmtId="0" fontId="0" fillId="0" borderId="10" xfId="0" applyBorder="1"/>
    <xf numFmtId="0" fontId="0" fillId="0" borderId="0" xfId="0" pivotButton="1"/>
    <xf numFmtId="0" fontId="0" fillId="0" borderId="0" xfId="0" applyAlignment="1">
      <alignment horizontal="left"/>
    </xf>
    <xf numFmtId="1" fontId="0" fillId="0" borderId="0" xfId="0" applyNumberFormat="1"/>
    <xf numFmtId="0" fontId="0" fillId="33" borderId="0" xfId="0" applyFill="1"/>
    <xf numFmtId="169" fontId="0" fillId="0" borderId="0" xfId="0" applyNumberFormat="1"/>
    <xf numFmtId="169" fontId="0" fillId="0" borderId="10" xfId="0" applyNumberFormat="1" applyBorder="1"/>
    <xf numFmtId="0" fontId="0" fillId="33" borderId="0" xfId="0" applyFill="1" applyAlignment="1">
      <alignment horizontal="left"/>
    </xf>
    <xf numFmtId="4" fontId="0" fillId="34" borderId="0" xfId="0" applyNumberFormat="1" applyFill="1"/>
    <xf numFmtId="0" fontId="0" fillId="34" borderId="0" xfId="0" applyFill="1"/>
    <xf numFmtId="0" fontId="0" fillId="0" borderId="0" xfId="0" applyAlignment="1">
      <alignment horizontal="center" vertical="center"/>
    </xf>
    <xf numFmtId="167" fontId="18" fillId="0" borderId="10" xfId="0" applyNumberFormat="1" applyFont="1" applyBorder="1"/>
    <xf numFmtId="0" fontId="18" fillId="0" borderId="10" xfId="0" applyFont="1" applyBorder="1"/>
    <xf numFmtId="0" fontId="18" fillId="0" borderId="10" xfId="0" applyFont="1" applyBorder="1" applyAlignment="1">
      <alignment horizontal="center"/>
    </xf>
    <xf numFmtId="164" fontId="18" fillId="0" borderId="10" xfId="0" applyNumberFormat="1" applyFont="1" applyBorder="1"/>
    <xf numFmtId="9" fontId="18" fillId="0" borderId="10" xfId="42" applyFont="1" applyFill="1" applyBorder="1"/>
    <xf numFmtId="165" fontId="18" fillId="0" borderId="10" xfId="0" applyNumberFormat="1" applyFont="1" applyBorder="1"/>
    <xf numFmtId="1" fontId="18" fillId="0" borderId="10" xfId="0" applyNumberFormat="1" applyFont="1" applyBorder="1" applyAlignment="1">
      <alignment horizontal="center"/>
    </xf>
    <xf numFmtId="168" fontId="18" fillId="0" borderId="12" xfId="0" applyNumberFormat="1" applyFont="1" applyBorder="1"/>
    <xf numFmtId="168" fontId="18" fillId="0" borderId="17" xfId="0" applyNumberFormat="1" applyFont="1" applyBorder="1"/>
    <xf numFmtId="167" fontId="18" fillId="0" borderId="18" xfId="0" applyNumberFormat="1" applyFont="1" applyBorder="1"/>
    <xf numFmtId="0" fontId="18" fillId="0" borderId="18" xfId="0" applyFont="1" applyBorder="1"/>
    <xf numFmtId="0" fontId="18" fillId="0" borderId="18" xfId="0" applyFont="1" applyBorder="1" applyAlignment="1">
      <alignment horizontal="center"/>
    </xf>
    <xf numFmtId="164" fontId="18" fillId="0" borderId="18" xfId="0" applyNumberFormat="1" applyFont="1" applyBorder="1"/>
    <xf numFmtId="9" fontId="18" fillId="0" borderId="18" xfId="42" applyFont="1" applyFill="1" applyBorder="1"/>
    <xf numFmtId="165" fontId="18" fillId="0" borderId="18" xfId="0" applyNumberFormat="1" applyFont="1" applyBorder="1"/>
    <xf numFmtId="1" fontId="18" fillId="0" borderId="18" xfId="0" applyNumberFormat="1" applyFont="1" applyBorder="1" applyAlignment="1">
      <alignment horizontal="center"/>
    </xf>
    <xf numFmtId="1" fontId="13" fillId="0" borderId="14" xfId="0" applyNumberFormat="1" applyFont="1" applyBorder="1" applyAlignment="1">
      <alignment horizontal="center" vertical="center"/>
    </xf>
    <xf numFmtId="167" fontId="13" fillId="0" borderId="15" xfId="0" applyNumberFormat="1" applyFont="1" applyBorder="1" applyAlignment="1">
      <alignment horizontal="center" vertical="center"/>
    </xf>
    <xf numFmtId="1" fontId="13" fillId="0" borderId="15" xfId="0" applyNumberFormat="1" applyFont="1" applyBorder="1" applyAlignment="1">
      <alignment horizontal="center" vertical="center"/>
    </xf>
    <xf numFmtId="0" fontId="13" fillId="0" borderId="15" xfId="0" applyFont="1" applyBorder="1" applyAlignment="1">
      <alignment horizontal="center" vertical="center"/>
    </xf>
    <xf numFmtId="164" fontId="13" fillId="0" borderId="15" xfId="0" applyNumberFormat="1" applyFont="1" applyBorder="1" applyAlignment="1">
      <alignment horizontal="center" vertical="center"/>
    </xf>
    <xf numFmtId="9" fontId="13" fillId="0" borderId="15" xfId="42" applyFont="1" applyFill="1" applyBorder="1" applyAlignment="1">
      <alignment horizontal="center" vertical="center"/>
    </xf>
    <xf numFmtId="165" fontId="13" fillId="0" borderId="15" xfId="0" applyNumberFormat="1" applyFont="1" applyBorder="1" applyAlignment="1">
      <alignment horizontal="center" vertical="center"/>
    </xf>
    <xf numFmtId="166" fontId="13" fillId="0" borderId="16" xfId="0" applyNumberFormat="1" applyFont="1" applyBorder="1" applyAlignment="1">
      <alignment horizontal="center" vertical="center"/>
    </xf>
    <xf numFmtId="4" fontId="0" fillId="0" borderId="0" xfId="0" applyNumberFormat="1"/>
    <xf numFmtId="4" fontId="0" fillId="0" borderId="10" xfId="0" applyNumberFormat="1" applyBorder="1"/>
    <xf numFmtId="1" fontId="0" fillId="0" borderId="0" xfId="0" applyNumberFormat="1" applyAlignment="1">
      <alignment horizontal="left"/>
    </xf>
    <xf numFmtId="2" fontId="18" fillId="0" borderId="13" xfId="0" applyNumberFormat="1" applyFont="1" applyBorder="1" applyAlignment="1">
      <alignment horizontal="center"/>
    </xf>
    <xf numFmtId="2" fontId="18" fillId="0" borderId="11" xfId="0" applyNumberFormat="1" applyFont="1" applyBorder="1" applyAlignment="1">
      <alignment horizontal="center"/>
    </xf>
    <xf numFmtId="0" fontId="0" fillId="0" borderId="10" xfId="0" applyNumberForma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9">
    <dxf>
      <font>
        <b val="0"/>
        <i val="0"/>
        <strike val="0"/>
        <condense val="0"/>
        <extend val="0"/>
        <outline val="0"/>
        <shadow val="0"/>
        <u val="none"/>
        <vertAlign val="baseline"/>
        <sz val="12"/>
        <color auto="1"/>
        <name val="Arial"/>
        <family val="2"/>
        <scheme val="none"/>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165" formatCode="#\ &quot;days&quot;"/>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64" formatCode="_-[$€-2]\ * #,##0.00_-;\-[$€-2]\ * #,##0.00_-;_-[$€-2]\ * &quot;-&quot;??_-;_-@_-"/>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64" formatCode="_-[$€-2]\ * #,##0.00_-;\-[$€-2]\ * #,##0.00_-;_-[$€-2]\ * &quot;-&quot;??_-;_-@_-"/>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3" formatCode="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64" formatCode="_-[$€-2]\ * #,##0.00_-;\-[$€-2]\ * #,##0.00_-;_-[$€-2]\ * &quot;-&quot;??_-;_-@_-"/>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67" formatCode="dd\ mmm\ yyyy"/>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68" formatCode="&quot;ORD-&quot;000#"/>
      <fill>
        <patternFill patternType="none">
          <fgColor indexed="64"/>
          <bgColor indexed="65"/>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border outline="0">
        <bottom style="thin">
          <color indexed="64"/>
        </bottom>
      </border>
    </dxf>
    <dxf>
      <font>
        <strike val="0"/>
        <outline val="0"/>
        <shadow val="0"/>
        <u val="none"/>
        <vertAlign val="baseline"/>
        <sz val="12"/>
        <color theme="0"/>
        <name val="Arial"/>
        <family val="2"/>
        <scheme val="none"/>
      </font>
    </dxf>
    <dxf>
      <numFmt numFmtId="4" formatCode="#,##0.00"/>
    </dxf>
    <dxf>
      <numFmt numFmtId="169" formatCode="\€#,##0,\ &quot;K&quot;"/>
    </dxf>
    <dxf>
      <numFmt numFmtId="169" formatCode="\€#,##0,\ &quot;K&quot;"/>
    </dxf>
    <dxf>
      <numFmt numFmtId="169" formatCode="\€#,##0,\ &quot;K&quot;"/>
    </dxf>
    <dxf>
      <numFmt numFmtId="169" formatCode="\€#,##0,\ &quot;K&quot;"/>
    </dxf>
    <dxf>
      <numFmt numFmtId="4" formatCode="#,##0.00"/>
    </dxf>
    <dxf>
      <numFmt numFmtId="169" formatCode="\€#,##0,\ &quot;K&quot;"/>
    </dxf>
  </dxfs>
  <tableStyles count="3" defaultTableStyle="TableStyleMedium2" defaultPivotStyle="PivotStyleLight16">
    <tableStyle name="Slicer Style 1" pivot="0" table="0" count="1" xr9:uid="{46125146-EAD1-477D-8282-C2D21B2232EC}"/>
    <tableStyle name="Slicer Style 2" pivot="0" table="0" count="1" xr9:uid="{CFA9F106-47BA-44EC-B686-76C7173CD923}"/>
    <tableStyle name="Slicer Style 3" pivot="0" table="0" count="1" xr9:uid="{AFE90650-B813-454E-A4EE-733006091868}"/>
  </tableStyles>
  <colors>
    <mruColors>
      <color rgb="FF5D30B6"/>
      <color rgb="FFA514F6"/>
      <color rgb="FF00BFFF"/>
      <color rgb="FFC59DF5"/>
      <color rgb="FFF2CFEE"/>
      <color rgb="FFCBA8F6"/>
      <color rgb="FF0066FF"/>
      <color rgb="FFF7F7F7"/>
      <color rgb="FFF2F2F2"/>
    </mruColors>
  </colors>
  <extLst>
    <ext xmlns:x14="http://schemas.microsoft.com/office/spreadsheetml/2009/9/main" uri="{46F421CA-312F-682f-3DD2-61675219B42D}">
      <x14:dxfs count="3">
        <dxf>
          <font>
            <b/>
            <i val="0"/>
            <sz val="9"/>
            <name val="Aptos Narrow"/>
            <family val="2"/>
            <scheme val="minor"/>
          </font>
          <fill>
            <patternFill>
              <bgColor theme="7" tint="0.79998168889431442"/>
            </patternFill>
          </fill>
          <border>
            <left style="thin">
              <color auto="1"/>
            </left>
            <right style="thin">
              <color auto="1"/>
            </right>
            <top style="thin">
              <color auto="1"/>
            </top>
            <bottom style="thin">
              <color auto="1"/>
            </bottom>
          </border>
        </dxf>
        <dxf>
          <fill>
            <patternFill>
              <bgColor theme="7" tint="0.79998168889431442"/>
            </patternFill>
          </fill>
          <border diagonalDown="1">
            <left style="thin">
              <color auto="1"/>
            </left>
            <right style="thin">
              <color auto="1"/>
            </right>
            <top style="thin">
              <color auto="1"/>
            </top>
            <bottom style="thin">
              <color auto="1"/>
            </bottom>
            <diagonal style="thin">
              <color auto="1"/>
            </diagonal>
          </border>
        </dxf>
        <dxf>
          <fill>
            <patternFill>
              <fgColor theme="7" tint="0.7999816888943144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s>
        </x14:slicerStyle>
        <x14:slicerStyle name="Slicer Style 2">
          <x14:slicerStyleElements>
            <x14:slicerStyleElement type="selectedItemWithData" dxfId="1"/>
          </x14:slicerStyleElements>
        </x14:slicerStyle>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18" Type="http://schemas.openxmlformats.org/officeDocument/2006/relationships/customXml" Target="../customXml/item7.xml"/><Relationship Id="rId26" Type="http://schemas.openxmlformats.org/officeDocument/2006/relationships/customXml" Target="../customXml/item15.xml"/><Relationship Id="rId3" Type="http://schemas.openxmlformats.org/officeDocument/2006/relationships/worksheet" Target="worksheets/sheet3.xml"/><Relationship Id="rId21" Type="http://schemas.openxmlformats.org/officeDocument/2006/relationships/customXml" Target="../customXml/item10.xml"/><Relationship Id="rId7" Type="http://schemas.microsoft.com/office/2007/relationships/slicerCache" Target="slicerCaches/slicerCache3.xml"/><Relationship Id="rId12" Type="http://schemas.openxmlformats.org/officeDocument/2006/relationships/customXml" Target="../customXml/item1.xml"/><Relationship Id="rId17" Type="http://schemas.openxmlformats.org/officeDocument/2006/relationships/customXml" Target="../customXml/item6.xml"/><Relationship Id="rId25"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customXml" Target="../customXml/item5.xml"/><Relationship Id="rId20" Type="http://schemas.openxmlformats.org/officeDocument/2006/relationships/customXml" Target="../customXml/item9.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24" Type="http://schemas.openxmlformats.org/officeDocument/2006/relationships/customXml" Target="../customXml/item13.xml"/><Relationship Id="rId5" Type="http://schemas.microsoft.com/office/2007/relationships/slicerCache" Target="slicerCaches/slicerCache1.xml"/><Relationship Id="rId15" Type="http://schemas.openxmlformats.org/officeDocument/2006/relationships/customXml" Target="../customXml/item4.xml"/><Relationship Id="rId23" Type="http://schemas.openxmlformats.org/officeDocument/2006/relationships/customXml" Target="../customXml/item12.xml"/><Relationship Id="rId10" Type="http://schemas.openxmlformats.org/officeDocument/2006/relationships/sharedStrings" Target="sharedStrings.xml"/><Relationship Id="rId19" Type="http://schemas.openxmlformats.org/officeDocument/2006/relationships/customXml" Target="../customXml/item8.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3.xml"/><Relationship Id="rId22" Type="http://schemas.openxmlformats.org/officeDocument/2006/relationships/customXml" Target="../customXml/item11.xml"/><Relationship Id="rId27"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rgbClr val="603DDD"/>
              </a:solidFill>
            </a:ln>
          </c:spPr>
          <c:dPt>
            <c:idx val="0"/>
            <c:bubble3D val="0"/>
            <c:spPr>
              <a:solidFill>
                <a:srgbClr val="744BF3"/>
              </a:solidFill>
              <a:ln w="19050">
                <a:noFill/>
              </a:ln>
              <a:effectLst/>
            </c:spPr>
            <c:extLst>
              <c:ext xmlns:c16="http://schemas.microsoft.com/office/drawing/2014/chart" uri="{C3380CC4-5D6E-409C-BE32-E72D297353CC}">
                <c16:uniqueId val="{00000001-AE28-445E-A253-153A225A3672}"/>
              </c:ext>
            </c:extLst>
          </c:dPt>
          <c:dPt>
            <c:idx val="1"/>
            <c:bubble3D val="0"/>
            <c:spPr>
              <a:solidFill>
                <a:srgbClr val="744BF3">
                  <a:alpha val="50000"/>
                </a:srgbClr>
              </a:solidFill>
              <a:ln w="19050">
                <a:noFill/>
              </a:ln>
              <a:effectLst/>
            </c:spPr>
            <c:extLst>
              <c:ext xmlns:c16="http://schemas.microsoft.com/office/drawing/2014/chart" uri="{C3380CC4-5D6E-409C-BE32-E72D297353CC}">
                <c16:uniqueId val="{00000003-AE28-445E-A253-153A225A3672}"/>
              </c:ext>
            </c:extLst>
          </c:dPt>
          <c:val>
            <c:numLit>
              <c:formatCode>General</c:formatCode>
              <c:ptCount val="2"/>
              <c:pt idx="0">
                <c:v>0.67742789097644884</c:v>
              </c:pt>
              <c:pt idx="1">
                <c:v>0.32257210902355116</c:v>
              </c:pt>
            </c:numLit>
          </c:val>
          <c:extLst>
            <c:ext xmlns:c16="http://schemas.microsoft.com/office/drawing/2014/chart" uri="{C3380CC4-5D6E-409C-BE32-E72D297353CC}">
              <c16:uniqueId val="{00000004-AE28-445E-A253-153A225A3672}"/>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 Dashboard.xlsx]Pivot_1!PivotTable2</c:name>
    <c:fmtId val="3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78000">
                <a:srgbClr val="A514F6"/>
              </a:gs>
              <a:gs pos="100000">
                <a:srgbClr val="5D30B6"/>
              </a:gs>
              <a:gs pos="0">
                <a:srgbClr val="00BFF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65233207110159"/>
          <c:y val="5.4445428879818028E-2"/>
          <c:w val="0.83744741572347969"/>
          <c:h val="0.81908802610160092"/>
        </c:manualLayout>
      </c:layout>
      <c:barChart>
        <c:barDir val="col"/>
        <c:grouping val="clustered"/>
        <c:varyColors val="0"/>
        <c:ser>
          <c:idx val="0"/>
          <c:order val="0"/>
          <c:tx>
            <c:strRef>
              <c:f>Pivot_1!$E$4</c:f>
              <c:strCache>
                <c:ptCount val="1"/>
                <c:pt idx="0">
                  <c:v>Total</c:v>
                </c:pt>
              </c:strCache>
            </c:strRef>
          </c:tx>
          <c:spPr>
            <a:gradFill>
              <a:gsLst>
                <a:gs pos="78000">
                  <a:srgbClr val="A514F6"/>
                </a:gs>
                <a:gs pos="100000">
                  <a:srgbClr val="5D30B6"/>
                </a:gs>
                <a:gs pos="0">
                  <a:srgbClr val="00BF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Pivot_1!$D$5:$D$10</c:f>
              <c:strCache>
                <c:ptCount val="6"/>
                <c:pt idx="0">
                  <c:v>2020</c:v>
                </c:pt>
                <c:pt idx="1">
                  <c:v>2021</c:v>
                </c:pt>
                <c:pt idx="2">
                  <c:v>2022</c:v>
                </c:pt>
                <c:pt idx="3">
                  <c:v>2023</c:v>
                </c:pt>
                <c:pt idx="4">
                  <c:v>2024</c:v>
                </c:pt>
                <c:pt idx="5">
                  <c:v>2025</c:v>
                </c:pt>
              </c:strCache>
            </c:strRef>
          </c:cat>
          <c:val>
            <c:numRef>
              <c:f>Pivot_1!$E$5:$E$10</c:f>
              <c:numCache>
                <c:formatCode>\€#,##0,\ "K"</c:formatCode>
                <c:ptCount val="6"/>
                <c:pt idx="0">
                  <c:v>374026.36000000028</c:v>
                </c:pt>
                <c:pt idx="1">
                  <c:v>364996.34000000008</c:v>
                </c:pt>
                <c:pt idx="2">
                  <c:v>361926.5199999999</c:v>
                </c:pt>
                <c:pt idx="3">
                  <c:v>349802.33</c:v>
                </c:pt>
                <c:pt idx="4">
                  <c:v>387037.62000000005</c:v>
                </c:pt>
                <c:pt idx="5">
                  <c:v>386306.47999999981</c:v>
                </c:pt>
              </c:numCache>
            </c:numRef>
          </c:val>
          <c:extLst>
            <c:ext xmlns:c16="http://schemas.microsoft.com/office/drawing/2014/chart" uri="{C3380CC4-5D6E-409C-BE32-E72D297353CC}">
              <c16:uniqueId val="{00000000-25AB-4E0D-AD13-FC0ED9E4F6EA}"/>
            </c:ext>
          </c:extLst>
        </c:ser>
        <c:dLbls>
          <c:showLegendKey val="0"/>
          <c:showVal val="0"/>
          <c:showCatName val="0"/>
          <c:showSerName val="0"/>
          <c:showPercent val="0"/>
          <c:showBubbleSize val="0"/>
        </c:dLbls>
        <c:gapWidth val="150"/>
        <c:axId val="1109215968"/>
        <c:axId val="1181049952"/>
      </c:barChart>
      <c:catAx>
        <c:axId val="1109215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81049952"/>
        <c:crosses val="autoZero"/>
        <c:auto val="1"/>
        <c:lblAlgn val="ctr"/>
        <c:lblOffset val="100"/>
        <c:noMultiLvlLbl val="0"/>
      </c:catAx>
      <c:valAx>
        <c:axId val="1181049952"/>
        <c:scaling>
          <c:orientation val="minMax"/>
        </c:scaling>
        <c:delete val="0"/>
        <c:axPos val="l"/>
        <c:majorGridlines>
          <c:spPr>
            <a:ln w="9525" cap="flat" cmpd="sng" algn="ctr">
              <a:solidFill>
                <a:schemeClr val="tx1">
                  <a:lumMod val="15000"/>
                  <a:lumOff val="85000"/>
                </a:schemeClr>
              </a:solidFill>
              <a:round/>
            </a:ln>
            <a:effectLst/>
          </c:spPr>
        </c:majorGridlines>
        <c:numFmt formatCode="\€#,##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0921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 Dashboard.xlsx]Pivot_1!PivotTable3</c:name>
    <c:fmtId val="19"/>
  </c:pivotSource>
  <c:chart>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solidFill>
            <a:round/>
          </a:ln>
          <a:effectLst/>
        </c:spPr>
        <c:marker>
          <c:symbol val="circle"/>
          <c:size val="5"/>
          <c:spPr>
            <a:solidFill>
              <a:schemeClr val="bg1"/>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6"/>
            </a:solidFill>
            <a:round/>
          </a:ln>
          <a:effectLst/>
        </c:spPr>
        <c:marker>
          <c:symbol val="circle"/>
          <c:size val="5"/>
          <c:spPr>
            <a:solidFill>
              <a:schemeClr val="bg1"/>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6"/>
            </a:solidFill>
            <a:round/>
          </a:ln>
          <a:effectLst/>
        </c:spPr>
        <c:marker>
          <c:symbol val="circle"/>
          <c:size val="5"/>
          <c:spPr>
            <a:solidFill>
              <a:schemeClr val="bg1"/>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6"/>
            </a:solidFill>
            <a:round/>
          </a:ln>
          <a:effectLst/>
        </c:spPr>
        <c:marker>
          <c:symbol val="circle"/>
          <c:size val="5"/>
          <c:spPr>
            <a:solidFill>
              <a:schemeClr val="bg1"/>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6"/>
            </a:solidFill>
            <a:round/>
          </a:ln>
          <a:effectLst/>
        </c:spPr>
        <c:marker>
          <c:symbol val="circle"/>
          <c:size val="5"/>
          <c:spPr>
            <a:solidFill>
              <a:schemeClr val="bg1"/>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6"/>
            </a:solidFill>
            <a:round/>
          </a:ln>
          <a:effectLst/>
        </c:spPr>
        <c:marker>
          <c:symbol val="circle"/>
          <c:size val="5"/>
          <c:spPr>
            <a:solidFill>
              <a:schemeClr val="bg1"/>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75456770509904"/>
          <c:y val="0.21969840133619659"/>
          <c:w val="0.86288402267611142"/>
          <c:h val="0.64019088523025536"/>
        </c:manualLayout>
      </c:layout>
      <c:lineChart>
        <c:grouping val="stacked"/>
        <c:varyColors val="0"/>
        <c:ser>
          <c:idx val="0"/>
          <c:order val="0"/>
          <c:tx>
            <c:strRef>
              <c:f>Pivot_1!$H$4:$H$5</c:f>
              <c:strCache>
                <c:ptCount val="1"/>
                <c:pt idx="0">
                  <c:v>2020</c:v>
                </c:pt>
              </c:strCache>
            </c:strRef>
          </c:tx>
          <c:spPr>
            <a:ln w="28575" cap="rnd">
              <a:solidFill>
                <a:schemeClr val="accent6"/>
              </a:solidFill>
              <a:round/>
            </a:ln>
            <a:effectLst/>
          </c:spPr>
          <c:marker>
            <c:symbol val="circle"/>
            <c:size val="5"/>
            <c:spPr>
              <a:solidFill>
                <a:schemeClr val="bg1"/>
              </a:solidFill>
              <a:ln w="9525">
                <a:solidFill>
                  <a:schemeClr val="accent6"/>
                </a:solidFill>
              </a:ln>
              <a:effectLst/>
            </c:spPr>
          </c:marker>
          <c:cat>
            <c:strRef>
              <c:f>Pivot_1!$G$6:$G$17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Pivot_1!$H$6:$H$17</c:f>
              <c:numCache>
                <c:formatCode>\€#,##0,\ "K"</c:formatCode>
                <c:ptCount val="12"/>
                <c:pt idx="0">
                  <c:v>35624.89</c:v>
                </c:pt>
                <c:pt idx="1">
                  <c:v>29992.37</c:v>
                </c:pt>
                <c:pt idx="2">
                  <c:v>31391.37999999999</c:v>
                </c:pt>
                <c:pt idx="3">
                  <c:v>30853.069999999996</c:v>
                </c:pt>
                <c:pt idx="4">
                  <c:v>40816.130000000012</c:v>
                </c:pt>
                <c:pt idx="5">
                  <c:v>30733.46</c:v>
                </c:pt>
                <c:pt idx="6">
                  <c:v>27676.789999999994</c:v>
                </c:pt>
                <c:pt idx="7">
                  <c:v>30408.57</c:v>
                </c:pt>
                <c:pt idx="8">
                  <c:v>29025.990000000005</c:v>
                </c:pt>
                <c:pt idx="9">
                  <c:v>29323.660000000007</c:v>
                </c:pt>
                <c:pt idx="10">
                  <c:v>30781.819999999996</c:v>
                </c:pt>
                <c:pt idx="11">
                  <c:v>27398.23000000001</c:v>
                </c:pt>
              </c:numCache>
            </c:numRef>
          </c:val>
          <c:smooth val="0"/>
          <c:extLst>
            <c:ext xmlns:c16="http://schemas.microsoft.com/office/drawing/2014/chart" uri="{C3380CC4-5D6E-409C-BE32-E72D297353CC}">
              <c16:uniqueId val="{00000000-EC33-4467-9078-A3C34D740527}"/>
            </c:ext>
          </c:extLst>
        </c:ser>
        <c:ser>
          <c:idx val="1"/>
          <c:order val="1"/>
          <c:tx>
            <c:strRef>
              <c:f>Pivot_1!$I$4:$I$5</c:f>
              <c:strCache>
                <c:ptCount val="1"/>
                <c:pt idx="0">
                  <c:v>2021</c:v>
                </c:pt>
              </c:strCache>
            </c:strRef>
          </c:tx>
          <c:spPr>
            <a:ln w="28575" cap="rnd">
              <a:solidFill>
                <a:schemeClr val="accent5"/>
              </a:solidFill>
              <a:round/>
            </a:ln>
            <a:effectLst/>
          </c:spPr>
          <c:marker>
            <c:symbol val="circle"/>
            <c:size val="5"/>
            <c:spPr>
              <a:solidFill>
                <a:schemeClr val="bg1"/>
              </a:solidFill>
              <a:ln w="9525">
                <a:solidFill>
                  <a:schemeClr val="accent5"/>
                </a:solidFill>
              </a:ln>
              <a:effectLst/>
            </c:spPr>
          </c:marker>
          <c:cat>
            <c:strRef>
              <c:f>Pivot_1!$G$6:$G$17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Pivot_1!$I$6:$I$17</c:f>
              <c:numCache>
                <c:formatCode>\€#,##0,\ "K"</c:formatCode>
                <c:ptCount val="12"/>
                <c:pt idx="0">
                  <c:v>36674.22</c:v>
                </c:pt>
                <c:pt idx="1">
                  <c:v>30037.46</c:v>
                </c:pt>
                <c:pt idx="2">
                  <c:v>26303.77</c:v>
                </c:pt>
                <c:pt idx="3">
                  <c:v>26300.909999999996</c:v>
                </c:pt>
                <c:pt idx="4">
                  <c:v>33584.740000000005</c:v>
                </c:pt>
                <c:pt idx="5">
                  <c:v>34115.64</c:v>
                </c:pt>
                <c:pt idx="6">
                  <c:v>28771.859999999997</c:v>
                </c:pt>
                <c:pt idx="7">
                  <c:v>31126.61</c:v>
                </c:pt>
                <c:pt idx="8">
                  <c:v>31314.93</c:v>
                </c:pt>
                <c:pt idx="9">
                  <c:v>31469.949999999997</c:v>
                </c:pt>
                <c:pt idx="10">
                  <c:v>27314.569999999996</c:v>
                </c:pt>
                <c:pt idx="11">
                  <c:v>27981.680000000004</c:v>
                </c:pt>
              </c:numCache>
            </c:numRef>
          </c:val>
          <c:smooth val="0"/>
          <c:extLst>
            <c:ext xmlns:c16="http://schemas.microsoft.com/office/drawing/2014/chart" uri="{C3380CC4-5D6E-409C-BE32-E72D297353CC}">
              <c16:uniqueId val="{00000006-EF06-4AE8-897D-9DCD380A6D8F}"/>
            </c:ext>
          </c:extLst>
        </c:ser>
        <c:ser>
          <c:idx val="2"/>
          <c:order val="2"/>
          <c:tx>
            <c:strRef>
              <c:f>Pivot_1!$J$4:$J$5</c:f>
              <c:strCache>
                <c:ptCount val="1"/>
                <c:pt idx="0">
                  <c:v>2022</c:v>
                </c:pt>
              </c:strCache>
            </c:strRef>
          </c:tx>
          <c:spPr>
            <a:ln w="28575" cap="rnd">
              <a:solidFill>
                <a:schemeClr val="accent4"/>
              </a:solidFill>
              <a:round/>
            </a:ln>
            <a:effectLst/>
          </c:spPr>
          <c:marker>
            <c:symbol val="circle"/>
            <c:size val="5"/>
            <c:spPr>
              <a:solidFill>
                <a:schemeClr val="bg1"/>
              </a:solidFill>
              <a:ln w="9525">
                <a:solidFill>
                  <a:schemeClr val="accent4"/>
                </a:solidFill>
              </a:ln>
              <a:effectLst/>
            </c:spPr>
          </c:marker>
          <c:cat>
            <c:strRef>
              <c:f>Pivot_1!$G$6:$G$17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Pivot_1!$J$6:$J$17</c:f>
              <c:numCache>
                <c:formatCode>\€#,##0,\ "K"</c:formatCode>
                <c:ptCount val="12"/>
                <c:pt idx="0">
                  <c:v>25128.329999999994</c:v>
                </c:pt>
                <c:pt idx="1">
                  <c:v>31864.580000000005</c:v>
                </c:pt>
                <c:pt idx="2">
                  <c:v>33569.080000000009</c:v>
                </c:pt>
                <c:pt idx="3">
                  <c:v>25985.209999999995</c:v>
                </c:pt>
                <c:pt idx="4">
                  <c:v>35674.589999999997</c:v>
                </c:pt>
                <c:pt idx="5">
                  <c:v>25161.899999999998</c:v>
                </c:pt>
                <c:pt idx="6">
                  <c:v>24587.890000000003</c:v>
                </c:pt>
                <c:pt idx="7">
                  <c:v>40553.72</c:v>
                </c:pt>
                <c:pt idx="8">
                  <c:v>32560.109999999993</c:v>
                </c:pt>
                <c:pt idx="9">
                  <c:v>22583.11</c:v>
                </c:pt>
                <c:pt idx="10">
                  <c:v>31569.1</c:v>
                </c:pt>
                <c:pt idx="11">
                  <c:v>32688.899999999998</c:v>
                </c:pt>
              </c:numCache>
            </c:numRef>
          </c:val>
          <c:smooth val="0"/>
          <c:extLst>
            <c:ext xmlns:c16="http://schemas.microsoft.com/office/drawing/2014/chart" uri="{C3380CC4-5D6E-409C-BE32-E72D297353CC}">
              <c16:uniqueId val="{00000007-EF06-4AE8-897D-9DCD380A6D8F}"/>
            </c:ext>
          </c:extLst>
        </c:ser>
        <c:ser>
          <c:idx val="3"/>
          <c:order val="3"/>
          <c:tx>
            <c:strRef>
              <c:f>Pivot_1!$K$4:$K$5</c:f>
              <c:strCache>
                <c:ptCount val="1"/>
                <c:pt idx="0">
                  <c:v>2023</c:v>
                </c:pt>
              </c:strCache>
            </c:strRef>
          </c:tx>
          <c:spPr>
            <a:ln w="28575" cap="rnd">
              <a:solidFill>
                <a:schemeClr val="accent6">
                  <a:lumMod val="60000"/>
                </a:schemeClr>
              </a:solidFill>
              <a:round/>
            </a:ln>
            <a:effectLst/>
          </c:spPr>
          <c:marker>
            <c:symbol val="circle"/>
            <c:size val="5"/>
            <c:spPr>
              <a:solidFill>
                <a:schemeClr val="bg1"/>
              </a:solidFill>
              <a:ln w="9525">
                <a:solidFill>
                  <a:schemeClr val="accent6">
                    <a:lumMod val="60000"/>
                  </a:schemeClr>
                </a:solidFill>
              </a:ln>
              <a:effectLst/>
            </c:spPr>
          </c:marker>
          <c:cat>
            <c:strRef>
              <c:f>Pivot_1!$G$6:$G$17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Pivot_1!$K$6:$K$17</c:f>
              <c:numCache>
                <c:formatCode>\€#,##0,\ "K"</c:formatCode>
                <c:ptCount val="12"/>
                <c:pt idx="0">
                  <c:v>23935</c:v>
                </c:pt>
                <c:pt idx="1">
                  <c:v>27825.449999999997</c:v>
                </c:pt>
                <c:pt idx="2">
                  <c:v>31729.15</c:v>
                </c:pt>
                <c:pt idx="3">
                  <c:v>21502.780000000002</c:v>
                </c:pt>
                <c:pt idx="4">
                  <c:v>29098.3</c:v>
                </c:pt>
                <c:pt idx="5">
                  <c:v>30727.810000000005</c:v>
                </c:pt>
                <c:pt idx="6">
                  <c:v>34141.220000000008</c:v>
                </c:pt>
                <c:pt idx="7">
                  <c:v>35800.450000000004</c:v>
                </c:pt>
                <c:pt idx="8">
                  <c:v>31010.219999999998</c:v>
                </c:pt>
                <c:pt idx="9">
                  <c:v>20678.850000000002</c:v>
                </c:pt>
                <c:pt idx="10">
                  <c:v>25051.049999999996</c:v>
                </c:pt>
                <c:pt idx="11">
                  <c:v>38302.050000000003</c:v>
                </c:pt>
              </c:numCache>
            </c:numRef>
          </c:val>
          <c:smooth val="0"/>
          <c:extLst>
            <c:ext xmlns:c16="http://schemas.microsoft.com/office/drawing/2014/chart" uri="{C3380CC4-5D6E-409C-BE32-E72D297353CC}">
              <c16:uniqueId val="{00000008-EF06-4AE8-897D-9DCD380A6D8F}"/>
            </c:ext>
          </c:extLst>
        </c:ser>
        <c:ser>
          <c:idx val="4"/>
          <c:order val="4"/>
          <c:tx>
            <c:strRef>
              <c:f>Pivot_1!$L$4:$L$5</c:f>
              <c:strCache>
                <c:ptCount val="1"/>
                <c:pt idx="0">
                  <c:v>2024</c:v>
                </c:pt>
              </c:strCache>
            </c:strRef>
          </c:tx>
          <c:spPr>
            <a:ln w="28575" cap="rnd">
              <a:solidFill>
                <a:schemeClr val="accent5">
                  <a:lumMod val="60000"/>
                </a:schemeClr>
              </a:solidFill>
              <a:round/>
            </a:ln>
            <a:effectLst/>
          </c:spPr>
          <c:marker>
            <c:symbol val="circle"/>
            <c:size val="5"/>
            <c:spPr>
              <a:solidFill>
                <a:schemeClr val="bg1"/>
              </a:solidFill>
              <a:ln w="9525">
                <a:solidFill>
                  <a:schemeClr val="accent5">
                    <a:lumMod val="60000"/>
                  </a:schemeClr>
                </a:solidFill>
              </a:ln>
              <a:effectLst/>
            </c:spPr>
          </c:marker>
          <c:cat>
            <c:strRef>
              <c:f>Pivot_1!$G$6:$G$17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Pivot_1!$L$6:$L$17</c:f>
              <c:numCache>
                <c:formatCode>\€#,##0,\ "K"</c:formatCode>
                <c:ptCount val="12"/>
                <c:pt idx="0">
                  <c:v>27581.72</c:v>
                </c:pt>
                <c:pt idx="1">
                  <c:v>31820.9</c:v>
                </c:pt>
                <c:pt idx="2">
                  <c:v>27833.500000000004</c:v>
                </c:pt>
                <c:pt idx="3">
                  <c:v>28722.14</c:v>
                </c:pt>
                <c:pt idx="4">
                  <c:v>30472.919999999995</c:v>
                </c:pt>
                <c:pt idx="5">
                  <c:v>32029.159999999993</c:v>
                </c:pt>
                <c:pt idx="6">
                  <c:v>34183.51</c:v>
                </c:pt>
                <c:pt idx="7">
                  <c:v>42605.749999999993</c:v>
                </c:pt>
                <c:pt idx="8">
                  <c:v>32630.329999999998</c:v>
                </c:pt>
                <c:pt idx="9">
                  <c:v>32303.810000000005</c:v>
                </c:pt>
                <c:pt idx="10">
                  <c:v>30547.489999999994</c:v>
                </c:pt>
                <c:pt idx="11">
                  <c:v>36306.39</c:v>
                </c:pt>
              </c:numCache>
            </c:numRef>
          </c:val>
          <c:smooth val="0"/>
          <c:extLst>
            <c:ext xmlns:c16="http://schemas.microsoft.com/office/drawing/2014/chart" uri="{C3380CC4-5D6E-409C-BE32-E72D297353CC}">
              <c16:uniqueId val="{00000009-EF06-4AE8-897D-9DCD380A6D8F}"/>
            </c:ext>
          </c:extLst>
        </c:ser>
        <c:ser>
          <c:idx val="5"/>
          <c:order val="5"/>
          <c:tx>
            <c:strRef>
              <c:f>Pivot_1!$M$4:$M$5</c:f>
              <c:strCache>
                <c:ptCount val="1"/>
                <c:pt idx="0">
                  <c:v>2025</c:v>
                </c:pt>
              </c:strCache>
            </c:strRef>
          </c:tx>
          <c:spPr>
            <a:ln w="28575" cap="rnd">
              <a:solidFill>
                <a:schemeClr val="accent4">
                  <a:lumMod val="60000"/>
                </a:schemeClr>
              </a:solidFill>
              <a:round/>
            </a:ln>
            <a:effectLst/>
          </c:spPr>
          <c:marker>
            <c:symbol val="circle"/>
            <c:size val="5"/>
            <c:spPr>
              <a:solidFill>
                <a:schemeClr val="bg1"/>
              </a:solidFill>
              <a:ln w="9525">
                <a:solidFill>
                  <a:schemeClr val="accent4">
                    <a:lumMod val="60000"/>
                  </a:schemeClr>
                </a:solidFill>
              </a:ln>
              <a:effectLst/>
            </c:spPr>
          </c:marker>
          <c:cat>
            <c:strRef>
              <c:f>Pivot_1!$G$6:$G$17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Pivot_1!$M$6:$M$17</c:f>
              <c:numCache>
                <c:formatCode>\€#,##0,\ "K"</c:formatCode>
                <c:ptCount val="12"/>
                <c:pt idx="0">
                  <c:v>30762.78999999999</c:v>
                </c:pt>
                <c:pt idx="1">
                  <c:v>37114.83</c:v>
                </c:pt>
                <c:pt idx="2">
                  <c:v>30022.439999999991</c:v>
                </c:pt>
                <c:pt idx="3">
                  <c:v>35361.660000000003</c:v>
                </c:pt>
                <c:pt idx="4">
                  <c:v>32950.99</c:v>
                </c:pt>
                <c:pt idx="5">
                  <c:v>27380.1</c:v>
                </c:pt>
                <c:pt idx="6">
                  <c:v>30671.73</c:v>
                </c:pt>
                <c:pt idx="7">
                  <c:v>37212.319999999992</c:v>
                </c:pt>
                <c:pt idx="8">
                  <c:v>35370.28</c:v>
                </c:pt>
                <c:pt idx="9">
                  <c:v>39680.129999999997</c:v>
                </c:pt>
                <c:pt idx="10">
                  <c:v>28071.95</c:v>
                </c:pt>
                <c:pt idx="11">
                  <c:v>21707.259999999991</c:v>
                </c:pt>
              </c:numCache>
            </c:numRef>
          </c:val>
          <c:smooth val="0"/>
          <c:extLst>
            <c:ext xmlns:c16="http://schemas.microsoft.com/office/drawing/2014/chart" uri="{C3380CC4-5D6E-409C-BE32-E72D297353CC}">
              <c16:uniqueId val="{0000000A-EF06-4AE8-897D-9DCD380A6D8F}"/>
            </c:ext>
          </c:extLst>
        </c:ser>
        <c:dLbls>
          <c:showLegendKey val="0"/>
          <c:showVal val="0"/>
          <c:showCatName val="0"/>
          <c:showSerName val="0"/>
          <c:showPercent val="0"/>
          <c:showBubbleSize val="0"/>
        </c:dLbls>
        <c:marker val="1"/>
        <c:smooth val="0"/>
        <c:axId val="1187218928"/>
        <c:axId val="267002368"/>
      </c:lineChart>
      <c:catAx>
        <c:axId val="118721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7002368"/>
        <c:crosses val="autoZero"/>
        <c:auto val="1"/>
        <c:lblAlgn val="ctr"/>
        <c:lblOffset val="100"/>
        <c:noMultiLvlLbl val="0"/>
      </c:catAx>
      <c:valAx>
        <c:axId val="267002368"/>
        <c:scaling>
          <c:orientation val="minMax"/>
        </c:scaling>
        <c:delete val="0"/>
        <c:axPos val="l"/>
        <c:numFmt formatCode="\€#,##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87218928"/>
        <c:crosses val="autoZero"/>
        <c:crossBetween val="between"/>
      </c:valAx>
      <c:spPr>
        <a:noFill/>
        <a:ln>
          <a:noFill/>
        </a:ln>
        <a:effectLst/>
      </c:spPr>
    </c:plotArea>
    <c:legend>
      <c:legendPos val="t"/>
      <c:layout>
        <c:manualLayout>
          <c:xMode val="edge"/>
          <c:yMode val="edge"/>
          <c:x val="2.639776329200259E-2"/>
          <c:y val="3.4285714285714287E-2"/>
          <c:w val="0.94383247309846752"/>
          <c:h val="9.6429246344206979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 Dashboard.xlsx]Pivot_1!PivotTable4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5D30B6"/>
              </a:gs>
              <a:gs pos="55000">
                <a:srgbClr val="00BFFF"/>
              </a:gs>
              <a:gs pos="100000">
                <a:srgbClr val="C59DF5"/>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35943144144184"/>
          <c:y val="2.3391802094303037E-2"/>
          <c:w val="0.728787272774994"/>
          <c:h val="0.84726166263219471"/>
        </c:manualLayout>
      </c:layout>
      <c:barChart>
        <c:barDir val="bar"/>
        <c:grouping val="clustered"/>
        <c:varyColors val="0"/>
        <c:ser>
          <c:idx val="0"/>
          <c:order val="0"/>
          <c:tx>
            <c:strRef>
              <c:f>Pivot_1!$B$22</c:f>
              <c:strCache>
                <c:ptCount val="1"/>
                <c:pt idx="0">
                  <c:v>Total</c:v>
                </c:pt>
              </c:strCache>
            </c:strRef>
          </c:tx>
          <c:spPr>
            <a:gradFill>
              <a:gsLst>
                <a:gs pos="0">
                  <a:srgbClr val="5D30B6"/>
                </a:gs>
                <a:gs pos="55000">
                  <a:srgbClr val="00BFFF"/>
                </a:gs>
                <a:gs pos="100000">
                  <a:srgbClr val="C59DF5"/>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Pivot_1!$A$23:$A$26</c:f>
              <c:strCache>
                <c:ptCount val="4"/>
                <c:pt idx="0">
                  <c:v>West</c:v>
                </c:pt>
                <c:pt idx="1">
                  <c:v>North</c:v>
                </c:pt>
                <c:pt idx="2">
                  <c:v>East</c:v>
                </c:pt>
                <c:pt idx="3">
                  <c:v>South</c:v>
                </c:pt>
              </c:strCache>
            </c:strRef>
          </c:cat>
          <c:val>
            <c:numRef>
              <c:f>Pivot_1!$B$23:$B$26</c:f>
              <c:numCache>
                <c:formatCode>\€#,##0,\ "K"</c:formatCode>
                <c:ptCount val="4"/>
                <c:pt idx="0">
                  <c:v>581235.90999999945</c:v>
                </c:pt>
                <c:pt idx="1">
                  <c:v>575570.12999999966</c:v>
                </c:pt>
                <c:pt idx="2">
                  <c:v>561053.53000000061</c:v>
                </c:pt>
                <c:pt idx="3">
                  <c:v>506236.08000000071</c:v>
                </c:pt>
              </c:numCache>
            </c:numRef>
          </c:val>
          <c:extLst>
            <c:ext xmlns:c16="http://schemas.microsoft.com/office/drawing/2014/chart" uri="{C3380CC4-5D6E-409C-BE32-E72D297353CC}">
              <c16:uniqueId val="{00000000-3998-488A-9CFC-83E19BC9D97B}"/>
            </c:ext>
          </c:extLst>
        </c:ser>
        <c:dLbls>
          <c:showLegendKey val="0"/>
          <c:showVal val="0"/>
          <c:showCatName val="0"/>
          <c:showSerName val="0"/>
          <c:showPercent val="0"/>
          <c:showBubbleSize val="0"/>
        </c:dLbls>
        <c:gapWidth val="182"/>
        <c:axId val="1183577104"/>
        <c:axId val="1181082592"/>
      </c:barChart>
      <c:catAx>
        <c:axId val="1183577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81082592"/>
        <c:crosses val="autoZero"/>
        <c:auto val="1"/>
        <c:lblAlgn val="ctr"/>
        <c:lblOffset val="100"/>
        <c:noMultiLvlLbl val="0"/>
      </c:catAx>
      <c:valAx>
        <c:axId val="1181082592"/>
        <c:scaling>
          <c:orientation val="minMax"/>
        </c:scaling>
        <c:delete val="0"/>
        <c:axPos val="b"/>
        <c:numFmt formatCode="\€#,##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8357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 Dashboard.xlsx]Pivot_1!PivotTable5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rgbClr val="00BFFF"/>
              </a:gs>
              <a:gs pos="25000">
                <a:srgbClr val="A514F6"/>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90659630649806"/>
          <c:y val="1.1204481792717087E-2"/>
          <c:w val="0.59745769091631939"/>
          <c:h val="0.85928141335274266"/>
        </c:manualLayout>
      </c:layout>
      <c:barChart>
        <c:barDir val="bar"/>
        <c:grouping val="clustered"/>
        <c:varyColors val="0"/>
        <c:ser>
          <c:idx val="0"/>
          <c:order val="0"/>
          <c:tx>
            <c:strRef>
              <c:f>Pivot_1!$E$22</c:f>
              <c:strCache>
                <c:ptCount val="1"/>
                <c:pt idx="0">
                  <c:v>Total</c:v>
                </c:pt>
              </c:strCache>
            </c:strRef>
          </c:tx>
          <c:spPr>
            <a:gradFill>
              <a:gsLst>
                <a:gs pos="100000">
                  <a:srgbClr val="00BFFF"/>
                </a:gs>
                <a:gs pos="25000">
                  <a:srgbClr val="A514F6"/>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Pivot_1!$D$23:$D$26</c:f>
              <c:strCache>
                <c:ptCount val="4"/>
                <c:pt idx="0">
                  <c:v>Electronics</c:v>
                </c:pt>
                <c:pt idx="1">
                  <c:v>Clothing</c:v>
                </c:pt>
                <c:pt idx="2">
                  <c:v>Home</c:v>
                </c:pt>
                <c:pt idx="3">
                  <c:v>Beauty</c:v>
                </c:pt>
              </c:strCache>
            </c:strRef>
          </c:cat>
          <c:val>
            <c:numRef>
              <c:f>Pivot_1!$E$23:$E$26</c:f>
              <c:numCache>
                <c:formatCode>\€#,##0,\ "K"</c:formatCode>
                <c:ptCount val="4"/>
                <c:pt idx="0">
                  <c:v>783499.47999999858</c:v>
                </c:pt>
                <c:pt idx="1">
                  <c:v>656807.10000000021</c:v>
                </c:pt>
                <c:pt idx="2">
                  <c:v>467170.7099999999</c:v>
                </c:pt>
                <c:pt idx="3">
                  <c:v>316618.36000000028</c:v>
                </c:pt>
              </c:numCache>
            </c:numRef>
          </c:val>
          <c:extLst>
            <c:ext xmlns:c16="http://schemas.microsoft.com/office/drawing/2014/chart" uri="{C3380CC4-5D6E-409C-BE32-E72D297353CC}">
              <c16:uniqueId val="{00000000-77B4-4BBB-ACE3-8C05BE457812}"/>
            </c:ext>
          </c:extLst>
        </c:ser>
        <c:dLbls>
          <c:dLblPos val="inEnd"/>
          <c:showLegendKey val="0"/>
          <c:showVal val="1"/>
          <c:showCatName val="0"/>
          <c:showSerName val="0"/>
          <c:showPercent val="0"/>
          <c:showBubbleSize val="0"/>
        </c:dLbls>
        <c:gapWidth val="182"/>
        <c:axId val="1187208720"/>
        <c:axId val="318017760"/>
      </c:barChart>
      <c:catAx>
        <c:axId val="1187208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8017760"/>
        <c:crosses val="autoZero"/>
        <c:auto val="1"/>
        <c:lblAlgn val="ctr"/>
        <c:lblOffset val="100"/>
        <c:noMultiLvlLbl val="0"/>
      </c:catAx>
      <c:valAx>
        <c:axId val="318017760"/>
        <c:scaling>
          <c:orientation val="minMax"/>
        </c:scaling>
        <c:delete val="0"/>
        <c:axPos val="b"/>
        <c:numFmt formatCode="\€#,##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8720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 Dashboard.xlsx]Pivot_1!PivotTable6</c:name>
    <c:fmtId val="8"/>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D30B6"/>
          </a:solidFill>
          <a:ln w="19050">
            <a:solidFill>
              <a:schemeClr val="lt1"/>
            </a:solidFill>
          </a:ln>
          <a:effectLst/>
        </c:spPr>
      </c:pivotFmt>
      <c:pivotFmt>
        <c:idx val="7"/>
        <c:spPr>
          <a:solidFill>
            <a:srgbClr val="A514F6"/>
          </a:solidFill>
          <a:ln w="19050">
            <a:solidFill>
              <a:schemeClr val="lt1"/>
            </a:solidFill>
          </a:ln>
          <a:effectLst/>
        </c:spPr>
      </c:pivotFmt>
      <c:pivotFmt>
        <c:idx val="8"/>
        <c:spPr>
          <a:solidFill>
            <a:srgbClr val="00BFFF"/>
          </a:solidFill>
          <a:ln w="19050">
            <a:solidFill>
              <a:schemeClr val="lt1"/>
            </a:solidFill>
          </a:ln>
          <a:effectLst/>
        </c:spPr>
      </c:pivotFmt>
    </c:pivotFmts>
    <c:plotArea>
      <c:layout>
        <c:manualLayout>
          <c:layoutTarget val="inner"/>
          <c:xMode val="edge"/>
          <c:yMode val="edge"/>
          <c:x val="5.7840769903762031E-2"/>
          <c:y val="0.12555303977560744"/>
          <c:w val="0.66336843188719052"/>
          <c:h val="0.72600407781645304"/>
        </c:manualLayout>
      </c:layout>
      <c:doughnutChart>
        <c:varyColors val="1"/>
        <c:ser>
          <c:idx val="0"/>
          <c:order val="0"/>
          <c:tx>
            <c:strRef>
              <c:f>Pivot_1!$H$22</c:f>
              <c:strCache>
                <c:ptCount val="1"/>
                <c:pt idx="0">
                  <c:v>Total</c:v>
                </c:pt>
              </c:strCache>
            </c:strRef>
          </c:tx>
          <c:dPt>
            <c:idx val="0"/>
            <c:bubble3D val="0"/>
            <c:spPr>
              <a:solidFill>
                <a:srgbClr val="5D30B6"/>
              </a:solidFill>
              <a:ln w="19050">
                <a:solidFill>
                  <a:schemeClr val="lt1"/>
                </a:solidFill>
              </a:ln>
              <a:effectLst/>
            </c:spPr>
            <c:extLst>
              <c:ext xmlns:c16="http://schemas.microsoft.com/office/drawing/2014/chart" uri="{C3380CC4-5D6E-409C-BE32-E72D297353CC}">
                <c16:uniqueId val="{00000001-B6F6-4F28-BE05-41F77610D0A9}"/>
              </c:ext>
            </c:extLst>
          </c:dPt>
          <c:dPt>
            <c:idx val="1"/>
            <c:bubble3D val="0"/>
            <c:spPr>
              <a:solidFill>
                <a:srgbClr val="A514F6"/>
              </a:solidFill>
              <a:ln w="19050">
                <a:solidFill>
                  <a:schemeClr val="lt1"/>
                </a:solidFill>
              </a:ln>
              <a:effectLst/>
            </c:spPr>
            <c:extLst>
              <c:ext xmlns:c16="http://schemas.microsoft.com/office/drawing/2014/chart" uri="{C3380CC4-5D6E-409C-BE32-E72D297353CC}">
                <c16:uniqueId val="{00000003-B6F6-4F28-BE05-41F77610D0A9}"/>
              </c:ext>
            </c:extLst>
          </c:dPt>
          <c:dPt>
            <c:idx val="2"/>
            <c:bubble3D val="0"/>
            <c:spPr>
              <a:solidFill>
                <a:srgbClr val="00BFFF"/>
              </a:solidFill>
              <a:ln w="19050">
                <a:solidFill>
                  <a:schemeClr val="lt1"/>
                </a:solidFill>
              </a:ln>
              <a:effectLst/>
            </c:spPr>
            <c:extLst>
              <c:ext xmlns:c16="http://schemas.microsoft.com/office/drawing/2014/chart" uri="{C3380CC4-5D6E-409C-BE32-E72D297353CC}">
                <c16:uniqueId val="{00000005-B6F6-4F28-BE05-41F77610D0A9}"/>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Pivot_1!$G$23:$G$25</c:f>
              <c:strCache>
                <c:ptCount val="3"/>
                <c:pt idx="0">
                  <c:v>Card</c:v>
                </c:pt>
                <c:pt idx="1">
                  <c:v>COD</c:v>
                </c:pt>
                <c:pt idx="2">
                  <c:v>Wallet</c:v>
                </c:pt>
              </c:strCache>
            </c:strRef>
          </c:cat>
          <c:val>
            <c:numRef>
              <c:f>Pivot_1!$H$23:$H$25</c:f>
              <c:numCache>
                <c:formatCode>General</c:formatCode>
                <c:ptCount val="3"/>
                <c:pt idx="0">
                  <c:v>982</c:v>
                </c:pt>
                <c:pt idx="1">
                  <c:v>785</c:v>
                </c:pt>
                <c:pt idx="2">
                  <c:v>425</c:v>
                </c:pt>
              </c:numCache>
            </c:numRef>
          </c:val>
          <c:extLst>
            <c:ext xmlns:c16="http://schemas.microsoft.com/office/drawing/2014/chart" uri="{C3380CC4-5D6E-409C-BE32-E72D297353CC}">
              <c16:uniqueId val="{00000006-B6F6-4F28-BE05-41F77610D0A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4767742267510684"/>
          <c:y val="0.33798159350252893"/>
          <c:w val="0.21572127013535072"/>
          <c:h val="0.2897015984589909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 Dashboard.xlsx]Pivot_1!PivotTable7</c:name>
    <c:fmtId val="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78000">
                <a:srgbClr val="A514F6"/>
              </a:gs>
              <a:gs pos="100000">
                <a:srgbClr val="5D30B6"/>
              </a:gs>
              <a:gs pos="0">
                <a:srgbClr val="00BFF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75184292793041"/>
          <c:y val="4.8660213517570834E-2"/>
          <c:w val="0.81163472286194571"/>
          <c:h val="0.76860884317675748"/>
        </c:manualLayout>
      </c:layout>
      <c:barChart>
        <c:barDir val="col"/>
        <c:grouping val="clustered"/>
        <c:varyColors val="0"/>
        <c:ser>
          <c:idx val="0"/>
          <c:order val="0"/>
          <c:tx>
            <c:strRef>
              <c:f>Pivot_1!$B$31</c:f>
              <c:strCache>
                <c:ptCount val="1"/>
                <c:pt idx="0">
                  <c:v>Total</c:v>
                </c:pt>
              </c:strCache>
            </c:strRef>
          </c:tx>
          <c:spPr>
            <a:gradFill>
              <a:gsLst>
                <a:gs pos="78000">
                  <a:srgbClr val="A514F6"/>
                </a:gs>
                <a:gs pos="100000">
                  <a:srgbClr val="5D30B6"/>
                </a:gs>
                <a:gs pos="0">
                  <a:srgbClr val="00BF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Pivot_1!$A$32:$A$37</c:f>
              <c:strCache>
                <c:ptCount val="6"/>
                <c:pt idx="0">
                  <c:v>2020</c:v>
                </c:pt>
                <c:pt idx="1">
                  <c:v>2021</c:v>
                </c:pt>
                <c:pt idx="2">
                  <c:v>2022</c:v>
                </c:pt>
                <c:pt idx="3">
                  <c:v>2023</c:v>
                </c:pt>
                <c:pt idx="4">
                  <c:v>2024</c:v>
                </c:pt>
                <c:pt idx="5">
                  <c:v>2025</c:v>
                </c:pt>
              </c:strCache>
            </c:strRef>
          </c:cat>
          <c:val>
            <c:numRef>
              <c:f>Pivot_1!$B$32:$B$37</c:f>
              <c:numCache>
                <c:formatCode>General</c:formatCode>
                <c:ptCount val="6"/>
                <c:pt idx="0">
                  <c:v>366</c:v>
                </c:pt>
                <c:pt idx="1">
                  <c:v>365</c:v>
                </c:pt>
                <c:pt idx="2">
                  <c:v>365</c:v>
                </c:pt>
                <c:pt idx="3">
                  <c:v>365</c:v>
                </c:pt>
                <c:pt idx="4">
                  <c:v>366</c:v>
                </c:pt>
                <c:pt idx="5">
                  <c:v>365</c:v>
                </c:pt>
              </c:numCache>
            </c:numRef>
          </c:val>
          <c:extLst>
            <c:ext xmlns:c16="http://schemas.microsoft.com/office/drawing/2014/chart" uri="{C3380CC4-5D6E-409C-BE32-E72D297353CC}">
              <c16:uniqueId val="{00000000-E54E-4CCC-94F6-2DAB78B8A1C7}"/>
            </c:ext>
          </c:extLst>
        </c:ser>
        <c:dLbls>
          <c:showLegendKey val="0"/>
          <c:showVal val="0"/>
          <c:showCatName val="0"/>
          <c:showSerName val="0"/>
          <c:showPercent val="0"/>
          <c:showBubbleSize val="0"/>
        </c:dLbls>
        <c:gapWidth val="150"/>
        <c:axId val="1187207792"/>
        <c:axId val="318024000"/>
      </c:barChart>
      <c:catAx>
        <c:axId val="1187207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8024000"/>
        <c:crosses val="autoZero"/>
        <c:auto val="1"/>
        <c:lblAlgn val="ctr"/>
        <c:lblOffset val="100"/>
        <c:noMultiLvlLbl val="0"/>
      </c:catAx>
      <c:valAx>
        <c:axId val="318024000"/>
        <c:scaling>
          <c:orientation val="minMax"/>
          <c:max val="37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87207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 Dashboard.xlsx]Pivot_1!PivotTable8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63000">
                <a:srgbClr val="A514F6"/>
              </a:gs>
              <a:gs pos="100000">
                <a:srgbClr val="5D30B6"/>
              </a:gs>
              <a:gs pos="0">
                <a:srgbClr val="00BFFF"/>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865439896935962"/>
          <c:y val="2.7894002789400279E-2"/>
          <c:w val="0.66405622374126316"/>
          <c:h val="0.84313379237637132"/>
        </c:manualLayout>
      </c:layout>
      <c:barChart>
        <c:barDir val="bar"/>
        <c:grouping val="clustered"/>
        <c:varyColors val="0"/>
        <c:ser>
          <c:idx val="0"/>
          <c:order val="0"/>
          <c:tx>
            <c:strRef>
              <c:f>Pivot_1!$E$31</c:f>
              <c:strCache>
                <c:ptCount val="1"/>
                <c:pt idx="0">
                  <c:v>Total</c:v>
                </c:pt>
              </c:strCache>
            </c:strRef>
          </c:tx>
          <c:spPr>
            <a:gradFill>
              <a:gsLst>
                <a:gs pos="63000">
                  <a:srgbClr val="A514F6"/>
                </a:gs>
                <a:gs pos="100000">
                  <a:srgbClr val="5D30B6"/>
                </a:gs>
                <a:gs pos="0">
                  <a:srgbClr val="00BFFF"/>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Pivot_1!$D$32:$D$35</c:f>
              <c:strCache>
                <c:ptCount val="4"/>
                <c:pt idx="0">
                  <c:v>Beauty</c:v>
                </c:pt>
                <c:pt idx="1">
                  <c:v>Clothing</c:v>
                </c:pt>
                <c:pt idx="2">
                  <c:v>Electronics</c:v>
                </c:pt>
                <c:pt idx="3">
                  <c:v>Home</c:v>
                </c:pt>
              </c:strCache>
            </c:strRef>
          </c:cat>
          <c:val>
            <c:numRef>
              <c:f>Pivot_1!$E$32:$E$35</c:f>
              <c:numCache>
                <c:formatCode>#,##0.00</c:formatCode>
                <c:ptCount val="4"/>
                <c:pt idx="0">
                  <c:v>2.9922818791946311</c:v>
                </c:pt>
                <c:pt idx="1">
                  <c:v>3.0065151515151527</c:v>
                </c:pt>
                <c:pt idx="2">
                  <c:v>2.9853816300129381</c:v>
                </c:pt>
                <c:pt idx="3">
                  <c:v>2.9140997830802591</c:v>
                </c:pt>
              </c:numCache>
            </c:numRef>
          </c:val>
          <c:extLst>
            <c:ext xmlns:c16="http://schemas.microsoft.com/office/drawing/2014/chart" uri="{C3380CC4-5D6E-409C-BE32-E72D297353CC}">
              <c16:uniqueId val="{00000000-F351-4902-A1C8-7224B1AB8DB2}"/>
            </c:ext>
          </c:extLst>
        </c:ser>
        <c:dLbls>
          <c:showLegendKey val="0"/>
          <c:showVal val="0"/>
          <c:showCatName val="0"/>
          <c:showSerName val="0"/>
          <c:showPercent val="0"/>
          <c:showBubbleSize val="0"/>
        </c:dLbls>
        <c:gapWidth val="182"/>
        <c:axId val="1187203152"/>
        <c:axId val="1181076352"/>
      </c:barChart>
      <c:catAx>
        <c:axId val="1187203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81076352"/>
        <c:crosses val="autoZero"/>
        <c:auto val="1"/>
        <c:lblAlgn val="ctr"/>
        <c:lblOffset val="100"/>
        <c:noMultiLvlLbl val="0"/>
      </c:catAx>
      <c:valAx>
        <c:axId val="1181076352"/>
        <c:scaling>
          <c:orientation val="minMax"/>
          <c:max val="5"/>
          <c:min val="0"/>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8720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2.xml"/><Relationship Id="rId18" Type="http://schemas.openxmlformats.org/officeDocument/2006/relationships/chart" Target="../charts/chart7.xml"/><Relationship Id="rId3" Type="http://schemas.openxmlformats.org/officeDocument/2006/relationships/image" Target="../media/image2.svg"/><Relationship Id="rId7" Type="http://schemas.openxmlformats.org/officeDocument/2006/relationships/hyperlink" Target="#Dashboard_1!A1"/><Relationship Id="rId12" Type="http://schemas.openxmlformats.org/officeDocument/2006/relationships/image" Target="../media/image8.svg"/><Relationship Id="rId17" Type="http://schemas.openxmlformats.org/officeDocument/2006/relationships/chart" Target="../charts/chart6.xml"/><Relationship Id="rId2" Type="http://schemas.openxmlformats.org/officeDocument/2006/relationships/image" Target="../media/image1.png"/><Relationship Id="rId16" Type="http://schemas.openxmlformats.org/officeDocument/2006/relationships/chart" Target="../charts/chart5.xml"/><Relationship Id="rId1" Type="http://schemas.openxmlformats.org/officeDocument/2006/relationships/chart" Target="../charts/chart1.xml"/><Relationship Id="rId6" Type="http://schemas.openxmlformats.org/officeDocument/2006/relationships/hyperlink" Target="#Data_1!A1"/><Relationship Id="rId11" Type="http://schemas.openxmlformats.org/officeDocument/2006/relationships/image" Target="../media/image7.png"/><Relationship Id="rId5" Type="http://schemas.openxmlformats.org/officeDocument/2006/relationships/image" Target="../media/image4.svg"/><Relationship Id="rId15" Type="http://schemas.openxmlformats.org/officeDocument/2006/relationships/chart" Target="../charts/chart4.xml"/><Relationship Id="rId10" Type="http://schemas.openxmlformats.org/officeDocument/2006/relationships/hyperlink" Target="#Pivot_1!A1"/><Relationship Id="rId19" Type="http://schemas.openxmlformats.org/officeDocument/2006/relationships/chart" Target="../charts/chart8.xml"/><Relationship Id="rId4" Type="http://schemas.openxmlformats.org/officeDocument/2006/relationships/image" Target="../media/image3.png"/><Relationship Id="rId9" Type="http://schemas.openxmlformats.org/officeDocument/2006/relationships/image" Target="../media/image6.svg"/><Relationship Id="rId1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hyperlink" Target="#Dashboard_1!A1"/></Relationships>
</file>

<file path=xl/drawings/_rels/drawing3.xml.rels><?xml version="1.0" encoding="UTF-8" standalone="yes"?>
<Relationships xmlns="http://schemas.openxmlformats.org/package/2006/relationships"><Relationship Id="rId1" Type="http://schemas.openxmlformats.org/officeDocument/2006/relationships/hyperlink" Target="#Dashboard_1!A1"/></Relationships>
</file>

<file path=xl/drawings/drawing1.xml><?xml version="1.0" encoding="utf-8"?>
<xdr:wsDr xmlns:xdr="http://schemas.openxmlformats.org/drawingml/2006/spreadsheetDrawing" xmlns:a="http://schemas.openxmlformats.org/drawingml/2006/main">
  <xdr:twoCellAnchor>
    <xdr:from>
      <xdr:col>0</xdr:col>
      <xdr:colOff>304800</xdr:colOff>
      <xdr:row>1</xdr:row>
      <xdr:rowOff>133350</xdr:rowOff>
    </xdr:from>
    <xdr:to>
      <xdr:col>18</xdr:col>
      <xdr:colOff>49530</xdr:colOff>
      <xdr:row>41</xdr:row>
      <xdr:rowOff>41910</xdr:rowOff>
    </xdr:to>
    <xdr:sp macro="" textlink="">
      <xdr:nvSpPr>
        <xdr:cNvPr id="2" name="Rectangle: Rounded Corners 1">
          <a:extLst>
            <a:ext uri="{FF2B5EF4-FFF2-40B4-BE49-F238E27FC236}">
              <a16:creationId xmlns:a16="http://schemas.microsoft.com/office/drawing/2014/main" id="{5C7C93FD-3B45-479B-9C68-BC1E39EADD66}"/>
            </a:ext>
          </a:extLst>
        </xdr:cNvPr>
        <xdr:cNvSpPr/>
      </xdr:nvSpPr>
      <xdr:spPr>
        <a:xfrm>
          <a:off x="304800" y="323850"/>
          <a:ext cx="13460730" cy="7528560"/>
        </a:xfrm>
        <a:prstGeom prst="roundRect">
          <a:avLst>
            <a:gd name="adj" fmla="val 2721"/>
          </a:avLst>
        </a:prstGeom>
        <a:gradFill flip="none" rotWithShape="1">
          <a:gsLst>
            <a:gs pos="0">
              <a:srgbClr val="ECE6FE"/>
            </a:gs>
            <a:gs pos="46000">
              <a:srgbClr val="F4F3FA"/>
            </a:gs>
          </a:gsLst>
          <a:lin ang="2700000" scaled="0"/>
          <a:tileRect/>
        </a:gradFill>
        <a:ln w="12700">
          <a:solidFill>
            <a:schemeClr val="bg1"/>
          </a:solidFill>
        </a:ln>
        <a:effectLst>
          <a:outerShdw blurRad="266700" dist="114300" dir="16800000" algn="br" rotWithShape="0">
            <a:srgbClr val="0066FF">
              <a:alpha val="1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2000"/>
        </a:p>
      </xdr:txBody>
    </xdr:sp>
    <xdr:clientData/>
  </xdr:twoCellAnchor>
  <xdr:twoCellAnchor>
    <xdr:from>
      <xdr:col>3</xdr:col>
      <xdr:colOff>744802</xdr:colOff>
      <xdr:row>7</xdr:row>
      <xdr:rowOff>60861</xdr:rowOff>
    </xdr:from>
    <xdr:to>
      <xdr:col>6</xdr:col>
      <xdr:colOff>438802</xdr:colOff>
      <xdr:row>12</xdr:row>
      <xdr:rowOff>8361</xdr:rowOff>
    </xdr:to>
    <xdr:sp macro="" textlink="">
      <xdr:nvSpPr>
        <xdr:cNvPr id="5" name="Rectangle: Rounded Corners 4">
          <a:extLst>
            <a:ext uri="{FF2B5EF4-FFF2-40B4-BE49-F238E27FC236}">
              <a16:creationId xmlns:a16="http://schemas.microsoft.com/office/drawing/2014/main" id="{12CD6AD4-A641-46C8-822E-80B41AC6599E}"/>
            </a:ext>
          </a:extLst>
        </xdr:cNvPr>
        <xdr:cNvSpPr/>
      </xdr:nvSpPr>
      <xdr:spPr>
        <a:xfrm>
          <a:off x="3030802" y="1394361"/>
          <a:ext cx="1980000" cy="900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400" b="1">
              <a:solidFill>
                <a:schemeClr val="accent5">
                  <a:lumMod val="50000"/>
                </a:schemeClr>
              </a:solidFill>
            </a:rPr>
            <a:t>Total</a:t>
          </a:r>
          <a:r>
            <a:rPr lang="en-ID" sz="1400" b="1" baseline="0">
              <a:solidFill>
                <a:schemeClr val="accent5">
                  <a:lumMod val="50000"/>
                </a:schemeClr>
              </a:solidFill>
            </a:rPr>
            <a:t> Revenue</a:t>
          </a:r>
          <a:endParaRPr lang="en-ID" sz="1400" b="1">
            <a:solidFill>
              <a:schemeClr val="accent5">
                <a:lumMod val="50000"/>
              </a:schemeClr>
            </a:solidFill>
          </a:endParaRPr>
        </a:p>
      </xdr:txBody>
    </xdr:sp>
    <xdr:clientData/>
  </xdr:twoCellAnchor>
  <xdr:twoCellAnchor>
    <xdr:from>
      <xdr:col>5</xdr:col>
      <xdr:colOff>571501</xdr:colOff>
      <xdr:row>8</xdr:row>
      <xdr:rowOff>137583</xdr:rowOff>
    </xdr:from>
    <xdr:to>
      <xdr:col>6</xdr:col>
      <xdr:colOff>313501</xdr:colOff>
      <xdr:row>11</xdr:row>
      <xdr:rowOff>70083</xdr:rowOff>
    </xdr:to>
    <xdr:grpSp>
      <xdr:nvGrpSpPr>
        <xdr:cNvPr id="6" name="Group 5">
          <a:extLst>
            <a:ext uri="{FF2B5EF4-FFF2-40B4-BE49-F238E27FC236}">
              <a16:creationId xmlns:a16="http://schemas.microsoft.com/office/drawing/2014/main" id="{9124AF22-5CB1-46EC-8983-3AB0A7E05B8F}"/>
            </a:ext>
          </a:extLst>
        </xdr:cNvPr>
        <xdr:cNvGrpSpPr/>
      </xdr:nvGrpSpPr>
      <xdr:grpSpPr>
        <a:xfrm>
          <a:off x="4381501" y="1661583"/>
          <a:ext cx="504000" cy="504000"/>
          <a:chOff x="-1103845" y="633236"/>
          <a:chExt cx="7156174" cy="7305641"/>
        </a:xfrm>
        <a:effectLst>
          <a:outerShdw blurRad="50800" dist="38100" dir="2700000" algn="tl" rotWithShape="0">
            <a:srgbClr val="2A0240">
              <a:alpha val="20000"/>
            </a:srgbClr>
          </a:outerShdw>
        </a:effectLst>
      </xdr:grpSpPr>
      <xdr:sp macro="" textlink="">
        <xdr:nvSpPr>
          <xdr:cNvPr id="7" name="Oval 6">
            <a:extLst>
              <a:ext uri="{FF2B5EF4-FFF2-40B4-BE49-F238E27FC236}">
                <a16:creationId xmlns:a16="http://schemas.microsoft.com/office/drawing/2014/main" id="{19A33FD1-B8EE-CD71-21F8-CBA965351FE7}"/>
              </a:ext>
            </a:extLst>
          </xdr:cNvPr>
          <xdr:cNvSpPr/>
        </xdr:nvSpPr>
        <xdr:spPr>
          <a:xfrm>
            <a:off x="-1103845" y="633236"/>
            <a:ext cx="7156174" cy="7305641"/>
          </a:xfrm>
          <a:prstGeom prst="ellipse">
            <a:avLst/>
          </a:prstGeom>
          <a:gradFill flip="none" rotWithShape="1">
            <a:gsLst>
              <a:gs pos="0">
                <a:srgbClr val="E7FFFE"/>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 name="Freeform: Shape 7">
            <a:extLst>
              <a:ext uri="{FF2B5EF4-FFF2-40B4-BE49-F238E27FC236}">
                <a16:creationId xmlns:a16="http://schemas.microsoft.com/office/drawing/2014/main" id="{A168AF81-E042-4178-0832-705F6641D6C7}"/>
              </a:ext>
            </a:extLst>
          </xdr:cNvPr>
          <xdr:cNvSpPr/>
        </xdr:nvSpPr>
        <xdr:spPr>
          <a:xfrm rot="18600000">
            <a:off x="106178" y="2764140"/>
            <a:ext cx="5329307" cy="3622357"/>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01D1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oneCellAnchor>
    <xdr:from>
      <xdr:col>4</xdr:col>
      <xdr:colOff>31482</xdr:colOff>
      <xdr:row>9</xdr:row>
      <xdr:rowOff>36519</xdr:rowOff>
    </xdr:from>
    <xdr:ext cx="1372659" cy="468013"/>
    <xdr:sp macro="" textlink="Pivot_1!B11">
      <xdr:nvSpPr>
        <xdr:cNvPr id="9" name="TextBox 8">
          <a:extLst>
            <a:ext uri="{FF2B5EF4-FFF2-40B4-BE49-F238E27FC236}">
              <a16:creationId xmlns:a16="http://schemas.microsoft.com/office/drawing/2014/main" id="{D3B537E9-B0FE-4F07-B52C-4DF7362B4396}"/>
            </a:ext>
          </a:extLst>
        </xdr:cNvPr>
        <xdr:cNvSpPr txBox="1"/>
      </xdr:nvSpPr>
      <xdr:spPr>
        <a:xfrm>
          <a:off x="3079482" y="1751019"/>
          <a:ext cx="137265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4AC3EB8-A40A-4029-8B6C-A7293BE31483}" type="TxLink">
            <a:rPr lang="en-US" sz="2400" b="1" i="0" u="none" strike="noStrike">
              <a:solidFill>
                <a:srgbClr val="000000"/>
              </a:solidFill>
              <a:latin typeface="+mn-lt"/>
              <a:cs typeface="Arial"/>
            </a:rPr>
            <a:pPr/>
            <a:t>€2.224 K</a:t>
          </a:fld>
          <a:endParaRPr lang="en-ID" sz="6000" b="1">
            <a:latin typeface="+mn-lt"/>
          </a:endParaRPr>
        </a:p>
      </xdr:txBody>
    </xdr:sp>
    <xdr:clientData/>
  </xdr:oneCellAnchor>
  <xdr:twoCellAnchor>
    <xdr:from>
      <xdr:col>6</xdr:col>
      <xdr:colOff>560915</xdr:colOff>
      <xdr:row>7</xdr:row>
      <xdr:rowOff>50807</xdr:rowOff>
    </xdr:from>
    <xdr:to>
      <xdr:col>9</xdr:col>
      <xdr:colOff>254915</xdr:colOff>
      <xdr:row>11</xdr:row>
      <xdr:rowOff>188807</xdr:rowOff>
    </xdr:to>
    <xdr:sp macro="" textlink="">
      <xdr:nvSpPr>
        <xdr:cNvPr id="10" name="Rectangle: Rounded Corners 9">
          <a:extLst>
            <a:ext uri="{FF2B5EF4-FFF2-40B4-BE49-F238E27FC236}">
              <a16:creationId xmlns:a16="http://schemas.microsoft.com/office/drawing/2014/main" id="{27E6BE80-A998-40DA-9373-293D1182501A}"/>
            </a:ext>
          </a:extLst>
        </xdr:cNvPr>
        <xdr:cNvSpPr/>
      </xdr:nvSpPr>
      <xdr:spPr>
        <a:xfrm>
          <a:off x="5132915" y="1384307"/>
          <a:ext cx="1980000" cy="900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400" b="1">
              <a:solidFill>
                <a:schemeClr val="accent5">
                  <a:lumMod val="50000"/>
                </a:schemeClr>
              </a:solidFill>
            </a:rPr>
            <a:t>Total</a:t>
          </a:r>
          <a:r>
            <a:rPr lang="en-ID" sz="1400" b="1" baseline="0">
              <a:solidFill>
                <a:schemeClr val="accent5">
                  <a:lumMod val="50000"/>
                </a:schemeClr>
              </a:solidFill>
            </a:rPr>
            <a:t> Quantity Sold</a:t>
          </a:r>
          <a:endParaRPr lang="en-ID" sz="1400" b="1">
            <a:solidFill>
              <a:schemeClr val="accent5">
                <a:lumMod val="50000"/>
              </a:schemeClr>
            </a:solidFill>
          </a:endParaRPr>
        </a:p>
      </xdr:txBody>
    </xdr:sp>
    <xdr:clientData/>
  </xdr:twoCellAnchor>
  <xdr:twoCellAnchor>
    <xdr:from>
      <xdr:col>8</xdr:col>
      <xdr:colOff>402167</xdr:colOff>
      <xdr:row>8</xdr:row>
      <xdr:rowOff>148164</xdr:rowOff>
    </xdr:from>
    <xdr:to>
      <xdr:col>9</xdr:col>
      <xdr:colOff>128481</xdr:colOff>
      <xdr:row>11</xdr:row>
      <xdr:rowOff>66264</xdr:rowOff>
    </xdr:to>
    <xdr:grpSp>
      <xdr:nvGrpSpPr>
        <xdr:cNvPr id="11" name="Group 10">
          <a:extLst>
            <a:ext uri="{FF2B5EF4-FFF2-40B4-BE49-F238E27FC236}">
              <a16:creationId xmlns:a16="http://schemas.microsoft.com/office/drawing/2014/main" id="{604269E2-6DD9-4D45-9902-BF4AEE435FF1}"/>
            </a:ext>
          </a:extLst>
        </xdr:cNvPr>
        <xdr:cNvGrpSpPr/>
      </xdr:nvGrpSpPr>
      <xdr:grpSpPr>
        <a:xfrm>
          <a:off x="6498167" y="1672164"/>
          <a:ext cx="488314" cy="489600"/>
          <a:chOff x="7315200" y="8272259"/>
          <a:chExt cx="548640" cy="567187"/>
        </a:xfrm>
        <a:effectLst>
          <a:outerShdw blurRad="50800" dist="38100" dir="2700000" algn="tl" rotWithShape="0">
            <a:prstClr val="black">
              <a:alpha val="20000"/>
            </a:prstClr>
          </a:outerShdw>
        </a:effectLst>
      </xdr:grpSpPr>
      <xdr:sp macro="" textlink="">
        <xdr:nvSpPr>
          <xdr:cNvPr id="12" name="Oval 11">
            <a:extLst>
              <a:ext uri="{FF2B5EF4-FFF2-40B4-BE49-F238E27FC236}">
                <a16:creationId xmlns:a16="http://schemas.microsoft.com/office/drawing/2014/main" id="{4949C038-2D6D-FE80-8F8E-00246DD55226}"/>
              </a:ext>
            </a:extLst>
          </xdr:cNvPr>
          <xdr:cNvSpPr/>
        </xdr:nvSpPr>
        <xdr:spPr>
          <a:xfrm>
            <a:off x="7315200" y="8272259"/>
            <a:ext cx="548640" cy="567187"/>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nvGrpSpPr>
          <xdr:cNvPr id="13" name="Group 12">
            <a:extLst>
              <a:ext uri="{FF2B5EF4-FFF2-40B4-BE49-F238E27FC236}">
                <a16:creationId xmlns:a16="http://schemas.microsoft.com/office/drawing/2014/main" id="{6534F361-BC90-7F6F-4CC6-94B9E7FAFC11}"/>
              </a:ext>
            </a:extLst>
          </xdr:cNvPr>
          <xdr:cNvGrpSpPr/>
        </xdr:nvGrpSpPr>
        <xdr:grpSpPr>
          <a:xfrm>
            <a:off x="7443262" y="8385091"/>
            <a:ext cx="292517" cy="349932"/>
            <a:chOff x="2956130" y="2689277"/>
            <a:chExt cx="2134619" cy="2485936"/>
          </a:xfrm>
        </xdr:grpSpPr>
        <xdr:sp macro="" textlink="">
          <xdr:nvSpPr>
            <xdr:cNvPr id="14" name="Flowchart: Delay 13">
              <a:extLst>
                <a:ext uri="{FF2B5EF4-FFF2-40B4-BE49-F238E27FC236}">
                  <a16:creationId xmlns:a16="http://schemas.microsoft.com/office/drawing/2014/main" id="{0C3B162F-6955-3263-A5FF-AD1874E71CB0}"/>
                </a:ext>
              </a:extLst>
            </xdr:cNvPr>
            <xdr:cNvSpPr/>
          </xdr:nvSpPr>
          <xdr:spPr>
            <a:xfrm rot="5400000">
              <a:off x="4144193" y="3586002"/>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15" name="Flowchart: Delay 14">
              <a:extLst>
                <a:ext uri="{FF2B5EF4-FFF2-40B4-BE49-F238E27FC236}">
                  <a16:creationId xmlns:a16="http://schemas.microsoft.com/office/drawing/2014/main" id="{83DCA073-4AF6-4234-5CAB-EBE85D681E59}"/>
                </a:ext>
              </a:extLst>
            </xdr:cNvPr>
            <xdr:cNvSpPr/>
          </xdr:nvSpPr>
          <xdr:spPr>
            <a:xfrm rot="5400000">
              <a:off x="4144193" y="3291034"/>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16" name="Flowchart: Delay 15">
              <a:extLst>
                <a:ext uri="{FF2B5EF4-FFF2-40B4-BE49-F238E27FC236}">
                  <a16:creationId xmlns:a16="http://schemas.microsoft.com/office/drawing/2014/main" id="{145B3CC4-693E-EDEF-E26B-43F925B476BE}"/>
                </a:ext>
              </a:extLst>
            </xdr:cNvPr>
            <xdr:cNvSpPr/>
          </xdr:nvSpPr>
          <xdr:spPr>
            <a:xfrm rot="5400000">
              <a:off x="4144193" y="2996067"/>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17" name="Flowchart: Delay 16">
              <a:extLst>
                <a:ext uri="{FF2B5EF4-FFF2-40B4-BE49-F238E27FC236}">
                  <a16:creationId xmlns:a16="http://schemas.microsoft.com/office/drawing/2014/main" id="{E8A08A1F-0C59-25E8-CE0D-4040DD3D776D}"/>
                </a:ext>
              </a:extLst>
            </xdr:cNvPr>
            <xdr:cNvSpPr/>
          </xdr:nvSpPr>
          <xdr:spPr>
            <a:xfrm rot="5400000">
              <a:off x="4144193" y="2701100"/>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18" name="Oval 17">
              <a:extLst>
                <a:ext uri="{FF2B5EF4-FFF2-40B4-BE49-F238E27FC236}">
                  <a16:creationId xmlns:a16="http://schemas.microsoft.com/office/drawing/2014/main" id="{5A7EB994-C50B-4ECA-6C95-FED0F39275B1}"/>
                </a:ext>
              </a:extLst>
            </xdr:cNvPr>
            <xdr:cNvSpPr/>
          </xdr:nvSpPr>
          <xdr:spPr>
            <a:xfrm>
              <a:off x="3835881" y="2689277"/>
              <a:ext cx="1254868" cy="671208"/>
            </a:xfrm>
            <a:prstGeom prst="ellipse">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19" name="Flowchart: Delay 18">
              <a:extLst>
                <a:ext uri="{FF2B5EF4-FFF2-40B4-BE49-F238E27FC236}">
                  <a16:creationId xmlns:a16="http://schemas.microsoft.com/office/drawing/2014/main" id="{E2CC0B8A-E02E-ACEF-2901-032E507E32FE}"/>
                </a:ext>
              </a:extLst>
            </xdr:cNvPr>
            <xdr:cNvSpPr/>
          </xdr:nvSpPr>
          <xdr:spPr>
            <a:xfrm rot="5400000">
              <a:off x="3264442" y="4230797"/>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20" name="Flowchart: Delay 19">
              <a:extLst>
                <a:ext uri="{FF2B5EF4-FFF2-40B4-BE49-F238E27FC236}">
                  <a16:creationId xmlns:a16="http://schemas.microsoft.com/office/drawing/2014/main" id="{4D6FAE21-0D69-0663-4829-CC217ECA7AE7}"/>
                </a:ext>
              </a:extLst>
            </xdr:cNvPr>
            <xdr:cNvSpPr/>
          </xdr:nvSpPr>
          <xdr:spPr>
            <a:xfrm rot="5400000">
              <a:off x="3264442" y="3909773"/>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21" name="Flowchart: Delay 20">
              <a:extLst>
                <a:ext uri="{FF2B5EF4-FFF2-40B4-BE49-F238E27FC236}">
                  <a16:creationId xmlns:a16="http://schemas.microsoft.com/office/drawing/2014/main" id="{AD216733-581B-0402-2ED5-35481ACAE36E}"/>
                </a:ext>
              </a:extLst>
            </xdr:cNvPr>
            <xdr:cNvSpPr/>
          </xdr:nvSpPr>
          <xdr:spPr>
            <a:xfrm rot="5400000">
              <a:off x="3264442" y="3588750"/>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22" name="Oval 21">
              <a:extLst>
                <a:ext uri="{FF2B5EF4-FFF2-40B4-BE49-F238E27FC236}">
                  <a16:creationId xmlns:a16="http://schemas.microsoft.com/office/drawing/2014/main" id="{7D6AF625-48A5-C7FF-ED9B-8843AA1A18B7}"/>
                </a:ext>
              </a:extLst>
            </xdr:cNvPr>
            <xdr:cNvSpPr/>
          </xdr:nvSpPr>
          <xdr:spPr>
            <a:xfrm>
              <a:off x="2956130" y="3576927"/>
              <a:ext cx="1254868" cy="671208"/>
            </a:xfrm>
            <a:prstGeom prst="ellipse">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grpSp>
    <xdr:clientData/>
  </xdr:twoCellAnchor>
  <xdr:oneCellAnchor>
    <xdr:from>
      <xdr:col>6</xdr:col>
      <xdr:colOff>620181</xdr:colOff>
      <xdr:row>8</xdr:row>
      <xdr:rowOff>185214</xdr:rowOff>
    </xdr:from>
    <xdr:ext cx="808683" cy="468013"/>
    <xdr:sp macro="" textlink="Pivot_1!B12">
      <xdr:nvSpPr>
        <xdr:cNvPr id="23" name="TextBox 22">
          <a:extLst>
            <a:ext uri="{FF2B5EF4-FFF2-40B4-BE49-F238E27FC236}">
              <a16:creationId xmlns:a16="http://schemas.microsoft.com/office/drawing/2014/main" id="{BAA8B6BD-EC75-4EE3-87EE-F26A2ABF2B3F}"/>
            </a:ext>
          </a:extLst>
        </xdr:cNvPr>
        <xdr:cNvSpPr txBox="1"/>
      </xdr:nvSpPr>
      <xdr:spPr>
        <a:xfrm>
          <a:off x="5192181" y="1709214"/>
          <a:ext cx="80868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B3F7DB1-5F08-49A7-9CFB-1D2AAE1A4C7D}" type="TxLink">
            <a:rPr lang="en-US" sz="2400" b="1" i="0" u="none" strike="noStrike">
              <a:solidFill>
                <a:srgbClr val="000000"/>
              </a:solidFill>
              <a:latin typeface="+mn-lt"/>
              <a:cs typeface="Arial"/>
            </a:rPr>
            <a:pPr/>
            <a:t>8892</a:t>
          </a:fld>
          <a:endParaRPr lang="en-ID" sz="6600" b="1">
            <a:latin typeface="+mn-lt"/>
          </a:endParaRPr>
        </a:p>
      </xdr:txBody>
    </xdr:sp>
    <xdr:clientData/>
  </xdr:oneCellAnchor>
  <xdr:twoCellAnchor>
    <xdr:from>
      <xdr:col>9</xdr:col>
      <xdr:colOff>368299</xdr:colOff>
      <xdr:row>7</xdr:row>
      <xdr:rowOff>38106</xdr:rowOff>
    </xdr:from>
    <xdr:to>
      <xdr:col>12</xdr:col>
      <xdr:colOff>62299</xdr:colOff>
      <xdr:row>11</xdr:row>
      <xdr:rowOff>176106</xdr:rowOff>
    </xdr:to>
    <xdr:sp macro="" textlink="">
      <xdr:nvSpPr>
        <xdr:cNvPr id="24" name="Rectangle: Rounded Corners 23">
          <a:extLst>
            <a:ext uri="{FF2B5EF4-FFF2-40B4-BE49-F238E27FC236}">
              <a16:creationId xmlns:a16="http://schemas.microsoft.com/office/drawing/2014/main" id="{82AB3EBA-5436-468C-8AD7-8FF52B9E8F19}"/>
            </a:ext>
          </a:extLst>
        </xdr:cNvPr>
        <xdr:cNvSpPr/>
      </xdr:nvSpPr>
      <xdr:spPr>
        <a:xfrm>
          <a:off x="7226299" y="1371606"/>
          <a:ext cx="1980000" cy="900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400" b="1">
              <a:solidFill>
                <a:schemeClr val="accent5">
                  <a:lumMod val="50000"/>
                </a:schemeClr>
              </a:solidFill>
            </a:rPr>
            <a:t>Total</a:t>
          </a:r>
          <a:r>
            <a:rPr lang="en-ID" sz="1400" b="1" baseline="0">
              <a:solidFill>
                <a:schemeClr val="accent5">
                  <a:lumMod val="50000"/>
                </a:schemeClr>
              </a:solidFill>
            </a:rPr>
            <a:t> Orders</a:t>
          </a:r>
          <a:endParaRPr lang="en-ID" sz="1400" b="1">
            <a:solidFill>
              <a:schemeClr val="accent5">
                <a:lumMod val="50000"/>
              </a:schemeClr>
            </a:solidFill>
          </a:endParaRPr>
        </a:p>
      </xdr:txBody>
    </xdr:sp>
    <xdr:clientData/>
  </xdr:twoCellAnchor>
  <xdr:twoCellAnchor>
    <xdr:from>
      <xdr:col>11</xdr:col>
      <xdr:colOff>201083</xdr:colOff>
      <xdr:row>8</xdr:row>
      <xdr:rowOff>116416</xdr:rowOff>
    </xdr:from>
    <xdr:to>
      <xdr:col>11</xdr:col>
      <xdr:colOff>741679</xdr:colOff>
      <xdr:row>11</xdr:row>
      <xdr:rowOff>84916</xdr:rowOff>
    </xdr:to>
    <xdr:grpSp>
      <xdr:nvGrpSpPr>
        <xdr:cNvPr id="25" name="Group 24">
          <a:extLst>
            <a:ext uri="{FF2B5EF4-FFF2-40B4-BE49-F238E27FC236}">
              <a16:creationId xmlns:a16="http://schemas.microsoft.com/office/drawing/2014/main" id="{BF391C62-FD18-49DA-A6FC-FAC43A00D9F6}"/>
            </a:ext>
          </a:extLst>
        </xdr:cNvPr>
        <xdr:cNvGrpSpPr/>
      </xdr:nvGrpSpPr>
      <xdr:grpSpPr>
        <a:xfrm>
          <a:off x="8583083" y="1640416"/>
          <a:ext cx="540596" cy="540000"/>
          <a:chOff x="5889222" y="1357831"/>
          <a:chExt cx="640080" cy="640080"/>
        </a:xfrm>
        <a:effectLst>
          <a:outerShdw blurRad="50800" dist="38100" dir="2700000" algn="tl" rotWithShape="0">
            <a:prstClr val="black">
              <a:alpha val="20000"/>
            </a:prstClr>
          </a:outerShdw>
        </a:effectLst>
      </xdr:grpSpPr>
      <xdr:sp macro="" textlink="">
        <xdr:nvSpPr>
          <xdr:cNvPr id="26" name="Oval 25">
            <a:extLst>
              <a:ext uri="{FF2B5EF4-FFF2-40B4-BE49-F238E27FC236}">
                <a16:creationId xmlns:a16="http://schemas.microsoft.com/office/drawing/2014/main" id="{EFB33129-319E-87BB-D1DE-40B1FDAF1BCE}"/>
              </a:ext>
            </a:extLst>
          </xdr:cNvPr>
          <xdr:cNvSpPr/>
        </xdr:nvSpPr>
        <xdr:spPr>
          <a:xfrm>
            <a:off x="5924550" y="1396645"/>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aphicFrame macro="">
        <xdr:nvGraphicFramePr>
          <xdr:cNvPr id="27" name="Chart 26">
            <a:extLst>
              <a:ext uri="{FF2B5EF4-FFF2-40B4-BE49-F238E27FC236}">
                <a16:creationId xmlns:a16="http://schemas.microsoft.com/office/drawing/2014/main" id="{401707C7-FB9E-C434-4AD5-79EE365F8465}"/>
              </a:ext>
            </a:extLst>
          </xdr:cNvPr>
          <xdr:cNvGraphicFramePr>
            <a:graphicFrameLocks/>
          </xdr:cNvGraphicFramePr>
        </xdr:nvGraphicFramePr>
        <xdr:xfrm>
          <a:off x="5889222" y="1357831"/>
          <a:ext cx="640080" cy="64008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oneCellAnchor>
    <xdr:from>
      <xdr:col>9</xdr:col>
      <xdr:colOff>426507</xdr:colOff>
      <xdr:row>8</xdr:row>
      <xdr:rowOff>183096</xdr:rowOff>
    </xdr:from>
    <xdr:ext cx="808683" cy="468013"/>
    <xdr:sp macro="" textlink="Pivot_1!B13">
      <xdr:nvSpPr>
        <xdr:cNvPr id="28" name="TextBox 27">
          <a:extLst>
            <a:ext uri="{FF2B5EF4-FFF2-40B4-BE49-F238E27FC236}">
              <a16:creationId xmlns:a16="http://schemas.microsoft.com/office/drawing/2014/main" id="{CC1DE82B-C201-4074-8CDE-DCA67BE69A29}"/>
            </a:ext>
          </a:extLst>
        </xdr:cNvPr>
        <xdr:cNvSpPr txBox="1"/>
      </xdr:nvSpPr>
      <xdr:spPr>
        <a:xfrm>
          <a:off x="7284507" y="1707096"/>
          <a:ext cx="80868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C4843C1-A8CF-40AD-B811-DB0CCC1969D0}" type="TxLink">
            <a:rPr lang="en-US" sz="2400" b="1" i="0" u="none" strike="noStrike">
              <a:solidFill>
                <a:srgbClr val="000000"/>
              </a:solidFill>
              <a:latin typeface="+mn-lt"/>
              <a:cs typeface="Arial"/>
            </a:rPr>
            <a:pPr/>
            <a:t>2192</a:t>
          </a:fld>
          <a:endParaRPr lang="en-ID" sz="4000" b="1">
            <a:latin typeface="+mn-lt"/>
          </a:endParaRPr>
        </a:p>
      </xdr:txBody>
    </xdr:sp>
    <xdr:clientData/>
  </xdr:oneCellAnchor>
  <xdr:twoCellAnchor>
    <xdr:from>
      <xdr:col>12</xdr:col>
      <xdr:colOff>178858</xdr:colOff>
      <xdr:row>7</xdr:row>
      <xdr:rowOff>46573</xdr:rowOff>
    </xdr:from>
    <xdr:to>
      <xdr:col>14</xdr:col>
      <xdr:colOff>634858</xdr:colOff>
      <xdr:row>11</xdr:row>
      <xdr:rowOff>184573</xdr:rowOff>
    </xdr:to>
    <xdr:sp macro="" textlink="">
      <xdr:nvSpPr>
        <xdr:cNvPr id="29" name="Rectangle: Rounded Corners 28">
          <a:extLst>
            <a:ext uri="{FF2B5EF4-FFF2-40B4-BE49-F238E27FC236}">
              <a16:creationId xmlns:a16="http://schemas.microsoft.com/office/drawing/2014/main" id="{1F22A623-9764-49D6-9A23-29DEE3A38926}"/>
            </a:ext>
          </a:extLst>
        </xdr:cNvPr>
        <xdr:cNvSpPr/>
      </xdr:nvSpPr>
      <xdr:spPr>
        <a:xfrm>
          <a:off x="9322858" y="1380073"/>
          <a:ext cx="1980000" cy="900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400" b="1">
              <a:solidFill>
                <a:schemeClr val="accent5">
                  <a:lumMod val="50000"/>
                </a:schemeClr>
              </a:solidFill>
            </a:rPr>
            <a:t>Average</a:t>
          </a:r>
          <a:r>
            <a:rPr lang="en-ID" sz="1400" b="1" baseline="0">
              <a:solidFill>
                <a:schemeClr val="accent5">
                  <a:lumMod val="50000"/>
                </a:schemeClr>
              </a:solidFill>
            </a:rPr>
            <a:t> Order Value</a:t>
          </a:r>
          <a:endParaRPr lang="en-ID" sz="1400" b="1">
            <a:solidFill>
              <a:schemeClr val="accent5">
                <a:lumMod val="50000"/>
              </a:schemeClr>
            </a:solidFill>
          </a:endParaRPr>
        </a:p>
      </xdr:txBody>
    </xdr:sp>
    <xdr:clientData/>
  </xdr:twoCellAnchor>
  <xdr:twoCellAnchor>
    <xdr:from>
      <xdr:col>14</xdr:col>
      <xdr:colOff>10583</xdr:colOff>
      <xdr:row>8</xdr:row>
      <xdr:rowOff>137583</xdr:rowOff>
    </xdr:from>
    <xdr:to>
      <xdr:col>14</xdr:col>
      <xdr:colOff>509481</xdr:colOff>
      <xdr:row>11</xdr:row>
      <xdr:rowOff>66483</xdr:rowOff>
    </xdr:to>
    <xdr:grpSp>
      <xdr:nvGrpSpPr>
        <xdr:cNvPr id="30" name="Group 29">
          <a:extLst>
            <a:ext uri="{FF2B5EF4-FFF2-40B4-BE49-F238E27FC236}">
              <a16:creationId xmlns:a16="http://schemas.microsoft.com/office/drawing/2014/main" id="{DE974C52-82B7-4E4D-A493-DC344F32B917}"/>
            </a:ext>
          </a:extLst>
        </xdr:cNvPr>
        <xdr:cNvGrpSpPr/>
      </xdr:nvGrpSpPr>
      <xdr:grpSpPr>
        <a:xfrm>
          <a:off x="10678583" y="1661583"/>
          <a:ext cx="498898" cy="500400"/>
          <a:chOff x="6446520" y="7936230"/>
          <a:chExt cx="548640" cy="548640"/>
        </a:xfrm>
        <a:effectLst>
          <a:outerShdw blurRad="50800" dist="38100" dir="2700000" algn="tl" rotWithShape="0">
            <a:prstClr val="black">
              <a:alpha val="20000"/>
            </a:prstClr>
          </a:outerShdw>
        </a:effectLst>
      </xdr:grpSpPr>
      <xdr:sp macro="" textlink="">
        <xdr:nvSpPr>
          <xdr:cNvPr id="31" name="Oval 30">
            <a:extLst>
              <a:ext uri="{FF2B5EF4-FFF2-40B4-BE49-F238E27FC236}">
                <a16:creationId xmlns:a16="http://schemas.microsoft.com/office/drawing/2014/main" id="{21ECD266-A07D-A0AA-00B9-0912FE67DCEC}"/>
              </a:ext>
            </a:extLst>
          </xdr:cNvPr>
          <xdr:cNvSpPr/>
        </xdr:nvSpPr>
        <xdr:spPr>
          <a:xfrm>
            <a:off x="6446520" y="793623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pic>
        <xdr:nvPicPr>
          <xdr:cNvPr id="32" name="Graphic 31" descr="Rocket with solid fill">
            <a:extLst>
              <a:ext uri="{FF2B5EF4-FFF2-40B4-BE49-F238E27FC236}">
                <a16:creationId xmlns:a16="http://schemas.microsoft.com/office/drawing/2014/main" id="{23C30D7D-72ED-86E5-8656-33316586F08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537960" y="8027670"/>
            <a:ext cx="365760" cy="365760"/>
          </a:xfrm>
          <a:prstGeom prst="rect">
            <a:avLst/>
          </a:prstGeom>
        </xdr:spPr>
      </xdr:pic>
    </xdr:grpSp>
    <xdr:clientData/>
  </xdr:twoCellAnchor>
  <xdr:oneCellAnchor>
    <xdr:from>
      <xdr:col>12</xdr:col>
      <xdr:colOff>229657</xdr:colOff>
      <xdr:row>9</xdr:row>
      <xdr:rowOff>11646</xdr:rowOff>
    </xdr:from>
    <xdr:ext cx="1280863" cy="468013"/>
    <xdr:sp macro="" textlink="Pivot_1!B14">
      <xdr:nvSpPr>
        <xdr:cNvPr id="33" name="TextBox 32">
          <a:extLst>
            <a:ext uri="{FF2B5EF4-FFF2-40B4-BE49-F238E27FC236}">
              <a16:creationId xmlns:a16="http://schemas.microsoft.com/office/drawing/2014/main" id="{6F7F6A63-8729-4008-9828-7EB6332CA9CF}"/>
            </a:ext>
          </a:extLst>
        </xdr:cNvPr>
        <xdr:cNvSpPr txBox="1"/>
      </xdr:nvSpPr>
      <xdr:spPr>
        <a:xfrm>
          <a:off x="9373657" y="1726146"/>
          <a:ext cx="128086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DAF97C2-F054-4EC1-A76B-2D24DD3AF11B}" type="TxLink">
            <a:rPr lang="en-US" sz="2400" b="1" i="0" u="none" strike="noStrike">
              <a:solidFill>
                <a:srgbClr val="000000"/>
              </a:solidFill>
              <a:latin typeface="+mn-lt"/>
              <a:cs typeface="Arial"/>
            </a:rPr>
            <a:pPr/>
            <a:t>1.014,64</a:t>
          </a:fld>
          <a:endParaRPr lang="en-ID" sz="4000" b="1">
            <a:latin typeface="+mn-lt"/>
          </a:endParaRPr>
        </a:p>
      </xdr:txBody>
    </xdr:sp>
    <xdr:clientData/>
  </xdr:oneCellAnchor>
  <xdr:twoCellAnchor>
    <xdr:from>
      <xdr:col>14</xdr:col>
      <xdr:colOff>749301</xdr:colOff>
      <xdr:row>7</xdr:row>
      <xdr:rowOff>30696</xdr:rowOff>
    </xdr:from>
    <xdr:to>
      <xdr:col>17</xdr:col>
      <xdr:colOff>443301</xdr:colOff>
      <xdr:row>11</xdr:row>
      <xdr:rowOff>168696</xdr:rowOff>
    </xdr:to>
    <xdr:sp macro="" textlink="">
      <xdr:nvSpPr>
        <xdr:cNvPr id="34" name="Rectangle: Rounded Corners 33">
          <a:extLst>
            <a:ext uri="{FF2B5EF4-FFF2-40B4-BE49-F238E27FC236}">
              <a16:creationId xmlns:a16="http://schemas.microsoft.com/office/drawing/2014/main" id="{EEACFB57-CB7C-422C-88C7-2D9F87CE7E94}"/>
            </a:ext>
          </a:extLst>
        </xdr:cNvPr>
        <xdr:cNvSpPr/>
      </xdr:nvSpPr>
      <xdr:spPr>
        <a:xfrm>
          <a:off x="11417301" y="1364196"/>
          <a:ext cx="1980000" cy="900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400" b="1">
              <a:solidFill>
                <a:schemeClr val="accent5">
                  <a:lumMod val="50000"/>
                </a:schemeClr>
              </a:solidFill>
            </a:rPr>
            <a:t>Total</a:t>
          </a:r>
          <a:r>
            <a:rPr lang="en-ID" sz="1400" b="1" baseline="0">
              <a:solidFill>
                <a:schemeClr val="accent5">
                  <a:lumMod val="50000"/>
                </a:schemeClr>
              </a:solidFill>
            </a:rPr>
            <a:t> Customers</a:t>
          </a:r>
          <a:endParaRPr lang="en-ID" sz="1400" b="1">
            <a:solidFill>
              <a:schemeClr val="accent5">
                <a:lumMod val="50000"/>
              </a:schemeClr>
            </a:solidFill>
          </a:endParaRPr>
        </a:p>
      </xdr:txBody>
    </xdr:sp>
    <xdr:clientData/>
  </xdr:twoCellAnchor>
  <xdr:twoCellAnchor>
    <xdr:from>
      <xdr:col>16</xdr:col>
      <xdr:colOff>582083</xdr:colOff>
      <xdr:row>8</xdr:row>
      <xdr:rowOff>126999</xdr:rowOff>
    </xdr:from>
    <xdr:to>
      <xdr:col>17</xdr:col>
      <xdr:colOff>308399</xdr:colOff>
      <xdr:row>11</xdr:row>
      <xdr:rowOff>45099</xdr:rowOff>
    </xdr:to>
    <xdr:grpSp>
      <xdr:nvGrpSpPr>
        <xdr:cNvPr id="35" name="Group 34">
          <a:extLst>
            <a:ext uri="{FF2B5EF4-FFF2-40B4-BE49-F238E27FC236}">
              <a16:creationId xmlns:a16="http://schemas.microsoft.com/office/drawing/2014/main" id="{870C8565-C7DA-4464-9310-3D0EB569F4D1}"/>
            </a:ext>
          </a:extLst>
        </xdr:cNvPr>
        <xdr:cNvGrpSpPr/>
      </xdr:nvGrpSpPr>
      <xdr:grpSpPr>
        <a:xfrm>
          <a:off x="12774083" y="1650999"/>
          <a:ext cx="488316" cy="489600"/>
          <a:chOff x="4876800" y="8778240"/>
          <a:chExt cx="548640" cy="548640"/>
        </a:xfrm>
        <a:effectLst>
          <a:outerShdw blurRad="50800" dist="38100" dir="2700000" algn="tl" rotWithShape="0">
            <a:prstClr val="black">
              <a:alpha val="20000"/>
            </a:prstClr>
          </a:outerShdw>
        </a:effectLst>
      </xdr:grpSpPr>
      <xdr:sp macro="" textlink="">
        <xdr:nvSpPr>
          <xdr:cNvPr id="36" name="Oval 35">
            <a:extLst>
              <a:ext uri="{FF2B5EF4-FFF2-40B4-BE49-F238E27FC236}">
                <a16:creationId xmlns:a16="http://schemas.microsoft.com/office/drawing/2014/main" id="{A9FC429F-28EB-369E-B845-3DE05469892B}"/>
              </a:ext>
            </a:extLst>
          </xdr:cNvPr>
          <xdr:cNvSpPr/>
        </xdr:nvSpPr>
        <xdr:spPr>
          <a:xfrm>
            <a:off x="4876800" y="877824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pic>
        <xdr:nvPicPr>
          <xdr:cNvPr id="37" name="Graphic 36" descr="Bullseye with solid fill">
            <a:extLst>
              <a:ext uri="{FF2B5EF4-FFF2-40B4-BE49-F238E27FC236}">
                <a16:creationId xmlns:a16="http://schemas.microsoft.com/office/drawing/2014/main" id="{ED8537AB-B503-04DD-2033-1657C621281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968240" y="8869680"/>
            <a:ext cx="365760" cy="365760"/>
          </a:xfrm>
          <a:prstGeom prst="rect">
            <a:avLst/>
          </a:prstGeom>
        </xdr:spPr>
      </xdr:pic>
    </xdr:grpSp>
    <xdr:clientData/>
  </xdr:twoCellAnchor>
  <xdr:oneCellAnchor>
    <xdr:from>
      <xdr:col>15</xdr:col>
      <xdr:colOff>57150</xdr:colOff>
      <xdr:row>8</xdr:row>
      <xdr:rowOff>174629</xdr:rowOff>
    </xdr:from>
    <xdr:ext cx="652679" cy="468013"/>
    <xdr:sp macro="" textlink="Pivot_1!B15">
      <xdr:nvSpPr>
        <xdr:cNvPr id="38" name="TextBox 37">
          <a:extLst>
            <a:ext uri="{FF2B5EF4-FFF2-40B4-BE49-F238E27FC236}">
              <a16:creationId xmlns:a16="http://schemas.microsoft.com/office/drawing/2014/main" id="{CEE74EF5-175E-48C4-8167-152EB63E4D71}"/>
            </a:ext>
          </a:extLst>
        </xdr:cNvPr>
        <xdr:cNvSpPr txBox="1"/>
      </xdr:nvSpPr>
      <xdr:spPr>
        <a:xfrm>
          <a:off x="11487150" y="1698629"/>
          <a:ext cx="65267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87A7472-F08F-4A8A-96BD-DD1136E76309}" type="TxLink">
            <a:rPr lang="en-US" sz="2400" b="1" i="0" u="none" strike="noStrike">
              <a:solidFill>
                <a:srgbClr val="000000"/>
              </a:solidFill>
              <a:latin typeface="+mn-lt"/>
              <a:cs typeface="Arial"/>
            </a:rPr>
            <a:pPr/>
            <a:t>874</a:t>
          </a:fld>
          <a:endParaRPr lang="en-ID" sz="4400" b="1">
            <a:latin typeface="+mn-lt"/>
          </a:endParaRPr>
        </a:p>
      </xdr:txBody>
    </xdr:sp>
    <xdr:clientData/>
  </xdr:oneCellAnchor>
  <xdr:twoCellAnchor>
    <xdr:from>
      <xdr:col>0</xdr:col>
      <xdr:colOff>304799</xdr:colOff>
      <xdr:row>1</xdr:row>
      <xdr:rowOff>123824</xdr:rowOff>
    </xdr:from>
    <xdr:to>
      <xdr:col>3</xdr:col>
      <xdr:colOff>390525</xdr:colOff>
      <xdr:row>41</xdr:row>
      <xdr:rowOff>57149</xdr:rowOff>
    </xdr:to>
    <xdr:sp macro="" textlink="">
      <xdr:nvSpPr>
        <xdr:cNvPr id="39" name="Rectangle: Rounded Corners 38">
          <a:extLst>
            <a:ext uri="{FF2B5EF4-FFF2-40B4-BE49-F238E27FC236}">
              <a16:creationId xmlns:a16="http://schemas.microsoft.com/office/drawing/2014/main" id="{D53CE5D8-1389-4C9B-8FD6-F15D2436AB3B}"/>
            </a:ext>
          </a:extLst>
        </xdr:cNvPr>
        <xdr:cNvSpPr/>
      </xdr:nvSpPr>
      <xdr:spPr>
        <a:xfrm>
          <a:off x="304799" y="314324"/>
          <a:ext cx="2371726" cy="7553325"/>
        </a:xfrm>
        <a:prstGeom prst="roundRect">
          <a:avLst>
            <a:gd name="adj" fmla="val 8446"/>
          </a:avLst>
        </a:prstGeom>
        <a:gradFill flip="none" rotWithShape="1">
          <a:gsLst>
            <a:gs pos="0">
              <a:srgbClr val="A514F6">
                <a:shade val="30000"/>
                <a:satMod val="115000"/>
              </a:srgbClr>
            </a:gs>
            <a:gs pos="50000">
              <a:srgbClr val="A514F6">
                <a:shade val="67500"/>
                <a:satMod val="115000"/>
              </a:srgbClr>
            </a:gs>
            <a:gs pos="100000">
              <a:srgbClr val="A514F6">
                <a:shade val="100000"/>
                <a:satMod val="115000"/>
              </a:srgbClr>
            </a:gs>
          </a:gsLst>
          <a:lin ang="0" scaled="1"/>
          <a:tileRect/>
        </a:gradFill>
        <a:ln w="12700">
          <a:noFill/>
        </a:ln>
        <a:effectLst>
          <a:outerShdw blurRad="266700" dist="114300" dir="16800000" algn="br" rotWithShape="0">
            <a:srgbClr val="0066FF">
              <a:alpha val="1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2000"/>
        </a:p>
      </xdr:txBody>
    </xdr:sp>
    <xdr:clientData/>
  </xdr:twoCellAnchor>
  <xdr:twoCellAnchor>
    <xdr:from>
      <xdr:col>0</xdr:col>
      <xdr:colOff>678394</xdr:colOff>
      <xdr:row>10</xdr:row>
      <xdr:rowOff>104775</xdr:rowOff>
    </xdr:from>
    <xdr:to>
      <xdr:col>3</xdr:col>
      <xdr:colOff>54316</xdr:colOff>
      <xdr:row>13</xdr:row>
      <xdr:rowOff>73275</xdr:rowOff>
    </xdr:to>
    <xdr:sp macro="" textlink="">
      <xdr:nvSpPr>
        <xdr:cNvPr id="40" name="Rectangle: Rounded Corners 39">
          <a:hlinkClick xmlns:r="http://schemas.openxmlformats.org/officeDocument/2006/relationships" r:id="rId6"/>
          <a:extLst>
            <a:ext uri="{FF2B5EF4-FFF2-40B4-BE49-F238E27FC236}">
              <a16:creationId xmlns:a16="http://schemas.microsoft.com/office/drawing/2014/main" id="{9090E93C-DCDA-4BDD-969A-53DDE1C0FEF5}"/>
            </a:ext>
          </a:extLst>
        </xdr:cNvPr>
        <xdr:cNvSpPr/>
      </xdr:nvSpPr>
      <xdr:spPr>
        <a:xfrm>
          <a:off x="678394" y="2009775"/>
          <a:ext cx="1661922" cy="540000"/>
        </a:xfrm>
        <a:prstGeom prst="roundRect">
          <a:avLst/>
        </a:prstGeom>
        <a:gradFill flip="none" rotWithShape="1">
          <a:gsLst>
            <a:gs pos="2000">
              <a:srgbClr val="66FFFF"/>
            </a:gs>
            <a:gs pos="90000">
              <a:schemeClr val="bg1"/>
            </a:gs>
          </a:gsLst>
          <a:path path="circle">
            <a:fillToRect t="100000" r="100000"/>
          </a:path>
          <a:tileRect l="-100000" b="-100000"/>
        </a:gradFill>
        <a:ln w="9525">
          <a:solidFill>
            <a:schemeClr val="bg1"/>
          </a:solidFill>
        </a:ln>
        <a:effectLst>
          <a:outerShdw blurRad="101600" dist="63500" dir="2700000" algn="tl" rotWithShape="0">
            <a:srgbClr val="4E65B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US" sz="1800" kern="1200">
              <a:solidFill>
                <a:schemeClr val="lt1"/>
              </a:solidFill>
              <a:effectLst/>
              <a:latin typeface="+mn-lt"/>
              <a:ea typeface="+mn-ea"/>
              <a:cs typeface="+mn-cs"/>
            </a:rPr>
            <a:t>         </a:t>
          </a:r>
          <a:r>
            <a:rPr lang="en-US" sz="1600" b="1">
              <a:solidFill>
                <a:schemeClr val="tx1"/>
              </a:solidFill>
            </a:rPr>
            <a:t>Data</a:t>
          </a:r>
          <a:endParaRPr lang="ru-RU" sz="1300" b="1">
            <a:solidFill>
              <a:schemeClr val="tx1"/>
            </a:solidFill>
          </a:endParaRPr>
        </a:p>
      </xdr:txBody>
    </xdr:sp>
    <xdr:clientData/>
  </xdr:twoCellAnchor>
  <xdr:twoCellAnchor>
    <xdr:from>
      <xdr:col>0</xdr:col>
      <xdr:colOff>667809</xdr:colOff>
      <xdr:row>2</xdr:row>
      <xdr:rowOff>154517</xdr:rowOff>
    </xdr:from>
    <xdr:to>
      <xdr:col>3</xdr:col>
      <xdr:colOff>43731</xdr:colOff>
      <xdr:row>5</xdr:row>
      <xdr:rowOff>123017</xdr:rowOff>
    </xdr:to>
    <xdr:sp macro="" textlink="">
      <xdr:nvSpPr>
        <xdr:cNvPr id="41" name="Rectangle: Rounded Corners 40">
          <a:hlinkClick xmlns:r="http://schemas.openxmlformats.org/officeDocument/2006/relationships" r:id="rId7"/>
          <a:extLst>
            <a:ext uri="{FF2B5EF4-FFF2-40B4-BE49-F238E27FC236}">
              <a16:creationId xmlns:a16="http://schemas.microsoft.com/office/drawing/2014/main" id="{612A50DD-7B2D-49FF-BE92-CF09C0184238}"/>
            </a:ext>
          </a:extLst>
        </xdr:cNvPr>
        <xdr:cNvSpPr/>
      </xdr:nvSpPr>
      <xdr:spPr>
        <a:xfrm>
          <a:off x="667809" y="535517"/>
          <a:ext cx="1661922" cy="540000"/>
        </a:xfrm>
        <a:prstGeom prst="roundRect">
          <a:avLst/>
        </a:prstGeom>
        <a:gradFill flip="none" rotWithShape="1">
          <a:gsLst>
            <a:gs pos="2000">
              <a:srgbClr val="66FFFF"/>
            </a:gs>
            <a:gs pos="90000">
              <a:schemeClr val="bg1"/>
            </a:gs>
          </a:gsLst>
          <a:path path="circle">
            <a:fillToRect t="100000" r="100000"/>
          </a:path>
          <a:tileRect l="-100000" b="-100000"/>
        </a:gradFill>
        <a:ln w="9525">
          <a:solidFill>
            <a:schemeClr val="bg1"/>
          </a:solidFill>
        </a:ln>
        <a:effectLst>
          <a:outerShdw blurRad="101600" dist="63500" dir="2700000" algn="tl" rotWithShape="0">
            <a:srgbClr val="4E65B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US" sz="1600"/>
            <a:t>           </a:t>
          </a:r>
          <a:r>
            <a:rPr lang="en-US" sz="1600" b="1">
              <a:solidFill>
                <a:schemeClr val="tx1"/>
              </a:solidFill>
            </a:rPr>
            <a:t>Dashboard</a:t>
          </a:r>
          <a:endParaRPr lang="ru-RU" sz="1600" b="1">
            <a:solidFill>
              <a:schemeClr val="tx1"/>
            </a:solidFill>
          </a:endParaRPr>
        </a:p>
      </xdr:txBody>
    </xdr:sp>
    <xdr:clientData/>
  </xdr:twoCellAnchor>
  <xdr:twoCellAnchor editAs="oneCell">
    <xdr:from>
      <xdr:col>1</xdr:col>
      <xdr:colOff>39804</xdr:colOff>
      <xdr:row>3</xdr:row>
      <xdr:rowOff>114308</xdr:rowOff>
    </xdr:from>
    <xdr:to>
      <xdr:col>1</xdr:col>
      <xdr:colOff>268404</xdr:colOff>
      <xdr:row>4</xdr:row>
      <xdr:rowOff>160028</xdr:rowOff>
    </xdr:to>
    <xdr:pic>
      <xdr:nvPicPr>
        <xdr:cNvPr id="42" name="Graphic 41" descr="Signal with solid fill">
          <a:extLst>
            <a:ext uri="{FF2B5EF4-FFF2-40B4-BE49-F238E27FC236}">
              <a16:creationId xmlns:a16="http://schemas.microsoft.com/office/drawing/2014/main" id="{FF2C9CD2-A803-4763-994F-A527F86F838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01804" y="685808"/>
          <a:ext cx="228600" cy="236220"/>
        </a:xfrm>
        <a:prstGeom prst="rect">
          <a:avLst/>
        </a:prstGeom>
      </xdr:spPr>
    </xdr:pic>
    <xdr:clientData/>
  </xdr:twoCellAnchor>
  <xdr:twoCellAnchor>
    <xdr:from>
      <xdr:col>0</xdr:col>
      <xdr:colOff>678392</xdr:colOff>
      <xdr:row>6</xdr:row>
      <xdr:rowOff>134408</xdr:rowOff>
    </xdr:from>
    <xdr:to>
      <xdr:col>3</xdr:col>
      <xdr:colOff>54314</xdr:colOff>
      <xdr:row>9</xdr:row>
      <xdr:rowOff>102908</xdr:rowOff>
    </xdr:to>
    <xdr:sp macro="" textlink="">
      <xdr:nvSpPr>
        <xdr:cNvPr id="44" name="Rectangle: Rounded Corners 43">
          <a:hlinkClick xmlns:r="http://schemas.openxmlformats.org/officeDocument/2006/relationships" r:id="rId10"/>
          <a:extLst>
            <a:ext uri="{FF2B5EF4-FFF2-40B4-BE49-F238E27FC236}">
              <a16:creationId xmlns:a16="http://schemas.microsoft.com/office/drawing/2014/main" id="{7135DD69-F7B3-4940-BEC0-BEF126C48AD1}"/>
            </a:ext>
          </a:extLst>
        </xdr:cNvPr>
        <xdr:cNvSpPr/>
      </xdr:nvSpPr>
      <xdr:spPr>
        <a:xfrm>
          <a:off x="678392" y="1277408"/>
          <a:ext cx="1661922" cy="540000"/>
        </a:xfrm>
        <a:prstGeom prst="roundRect">
          <a:avLst/>
        </a:prstGeom>
        <a:gradFill flip="none" rotWithShape="1">
          <a:gsLst>
            <a:gs pos="2000">
              <a:srgbClr val="66FFFF"/>
            </a:gs>
            <a:gs pos="90000">
              <a:schemeClr val="bg1"/>
            </a:gs>
          </a:gsLst>
          <a:path path="circle">
            <a:fillToRect t="100000" r="100000"/>
          </a:path>
          <a:tileRect l="-100000" b="-100000"/>
        </a:gradFill>
        <a:ln w="9525">
          <a:solidFill>
            <a:schemeClr val="bg1"/>
          </a:solidFill>
        </a:ln>
        <a:effectLst>
          <a:outerShdw blurRad="101600" dist="63500" dir="2700000" algn="tl" rotWithShape="0">
            <a:srgbClr val="4E65B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US" sz="1800" kern="1200">
              <a:solidFill>
                <a:schemeClr val="lt1"/>
              </a:solidFill>
              <a:effectLst/>
              <a:latin typeface="+mn-lt"/>
              <a:ea typeface="+mn-ea"/>
              <a:cs typeface="+mn-cs"/>
            </a:rPr>
            <a:t>         </a:t>
          </a:r>
          <a:r>
            <a:rPr lang="en-US" sz="1600" b="1">
              <a:solidFill>
                <a:schemeClr val="tx1"/>
              </a:solidFill>
            </a:rPr>
            <a:t>Analysis</a:t>
          </a:r>
          <a:endParaRPr lang="ru-RU" sz="1400" b="1">
            <a:solidFill>
              <a:schemeClr val="tx1"/>
            </a:solidFill>
          </a:endParaRPr>
        </a:p>
      </xdr:txBody>
    </xdr:sp>
    <xdr:clientData/>
  </xdr:twoCellAnchor>
  <xdr:twoCellAnchor>
    <xdr:from>
      <xdr:col>1</xdr:col>
      <xdr:colOff>81858</xdr:colOff>
      <xdr:row>7</xdr:row>
      <xdr:rowOff>124120</xdr:rowOff>
    </xdr:from>
    <xdr:to>
      <xdr:col>1</xdr:col>
      <xdr:colOff>258325</xdr:colOff>
      <xdr:row>8</xdr:row>
      <xdr:rowOff>117737</xdr:rowOff>
    </xdr:to>
    <xdr:grpSp>
      <xdr:nvGrpSpPr>
        <xdr:cNvPr id="45" name="Group 44">
          <a:extLst>
            <a:ext uri="{FF2B5EF4-FFF2-40B4-BE49-F238E27FC236}">
              <a16:creationId xmlns:a16="http://schemas.microsoft.com/office/drawing/2014/main" id="{EF8B8A60-F4D5-46A1-84F3-7CB2E0E2FFFB}"/>
            </a:ext>
          </a:extLst>
        </xdr:cNvPr>
        <xdr:cNvGrpSpPr/>
      </xdr:nvGrpSpPr>
      <xdr:grpSpPr>
        <a:xfrm>
          <a:off x="843858" y="1457620"/>
          <a:ext cx="176467" cy="184117"/>
          <a:chOff x="2057174" y="7954500"/>
          <a:chExt cx="2078634" cy="2078634"/>
        </a:xfrm>
      </xdr:grpSpPr>
      <xdr:sp macro="" textlink="">
        <xdr:nvSpPr>
          <xdr:cNvPr id="46" name="Circle: Hollow 45">
            <a:extLst>
              <a:ext uri="{FF2B5EF4-FFF2-40B4-BE49-F238E27FC236}">
                <a16:creationId xmlns:a16="http://schemas.microsoft.com/office/drawing/2014/main" id="{45D858FA-6592-6590-EEB5-8ACB9C70EBBA}"/>
              </a:ext>
            </a:extLst>
          </xdr:cNvPr>
          <xdr:cNvSpPr/>
        </xdr:nvSpPr>
        <xdr:spPr>
          <a:xfrm>
            <a:off x="2057174" y="7954500"/>
            <a:ext cx="2078634" cy="2078634"/>
          </a:xfrm>
          <a:prstGeom prst="donut">
            <a:avLst>
              <a:gd name="adj" fmla="val 26743"/>
            </a:avLst>
          </a:prstGeom>
          <a:no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47" name="Block Arc 46">
            <a:extLst>
              <a:ext uri="{FF2B5EF4-FFF2-40B4-BE49-F238E27FC236}">
                <a16:creationId xmlns:a16="http://schemas.microsoft.com/office/drawing/2014/main" id="{F65A3643-52BD-70A6-8EC2-97EB787A0379}"/>
              </a:ext>
            </a:extLst>
          </xdr:cNvPr>
          <xdr:cNvSpPr/>
        </xdr:nvSpPr>
        <xdr:spPr>
          <a:xfrm rot="5400000">
            <a:off x="2058644" y="7955966"/>
            <a:ext cx="2075694" cy="2075689"/>
          </a:xfrm>
          <a:prstGeom prst="blockArc">
            <a:avLst>
              <a:gd name="adj1" fmla="val 10800000"/>
              <a:gd name="adj2" fmla="val 14219001"/>
              <a:gd name="adj3" fmla="val 27631"/>
            </a:avLst>
          </a:prstGeom>
          <a:solidFill>
            <a:schemeClr val="tx1">
              <a:alpha val="7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pSp>
    <xdr:clientData/>
  </xdr:twoCellAnchor>
  <xdr:twoCellAnchor editAs="oneCell">
    <xdr:from>
      <xdr:col>1</xdr:col>
      <xdr:colOff>60326</xdr:colOff>
      <xdr:row>11</xdr:row>
      <xdr:rowOff>55034</xdr:rowOff>
    </xdr:from>
    <xdr:to>
      <xdr:col>1</xdr:col>
      <xdr:colOff>279401</xdr:colOff>
      <xdr:row>12</xdr:row>
      <xdr:rowOff>108374</xdr:rowOff>
    </xdr:to>
    <xdr:pic>
      <xdr:nvPicPr>
        <xdr:cNvPr id="48" name="Graphic 47" descr="Signal outline">
          <a:extLst>
            <a:ext uri="{FF2B5EF4-FFF2-40B4-BE49-F238E27FC236}">
              <a16:creationId xmlns:a16="http://schemas.microsoft.com/office/drawing/2014/main" id="{0A4297C5-1EEF-4E7E-B71D-50B10863321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rot="5400000" flipH="1">
          <a:off x="809944" y="2162916"/>
          <a:ext cx="243840" cy="219075"/>
        </a:xfrm>
        <a:prstGeom prst="rect">
          <a:avLst/>
        </a:prstGeom>
      </xdr:spPr>
    </xdr:pic>
    <xdr:clientData/>
  </xdr:twoCellAnchor>
  <xdr:twoCellAnchor>
    <xdr:from>
      <xdr:col>3</xdr:col>
      <xdr:colOff>741628</xdr:colOff>
      <xdr:row>12</xdr:row>
      <xdr:rowOff>123824</xdr:rowOff>
    </xdr:from>
    <xdr:to>
      <xdr:col>8</xdr:col>
      <xdr:colOff>711628</xdr:colOff>
      <xdr:row>26</xdr:row>
      <xdr:rowOff>12824</xdr:rowOff>
    </xdr:to>
    <xdr:sp macro="" textlink="">
      <xdr:nvSpPr>
        <xdr:cNvPr id="49" name="Rectangle: Rounded Corners 48">
          <a:extLst>
            <a:ext uri="{FF2B5EF4-FFF2-40B4-BE49-F238E27FC236}">
              <a16:creationId xmlns:a16="http://schemas.microsoft.com/office/drawing/2014/main" id="{3903F9B0-8C8C-426C-A36C-74B4AC7C84D0}"/>
            </a:ext>
          </a:extLst>
        </xdr:cNvPr>
        <xdr:cNvSpPr/>
      </xdr:nvSpPr>
      <xdr:spPr>
        <a:xfrm>
          <a:off x="3027628" y="2409824"/>
          <a:ext cx="3780000" cy="2556000"/>
        </a:xfrm>
        <a:prstGeom prst="roundRect">
          <a:avLst>
            <a:gd name="adj" fmla="val 7527"/>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400" b="1">
              <a:solidFill>
                <a:schemeClr val="accent5">
                  <a:lumMod val="50000"/>
                </a:schemeClr>
              </a:solidFill>
              <a:latin typeface="+mn-lt"/>
              <a:cs typeface="Arial" panose="020B0604020202020204" pitchFamily="34" charset="0"/>
            </a:rPr>
            <a:t>Revenue</a:t>
          </a:r>
          <a:r>
            <a:rPr lang="en-ID" sz="1400" b="1" baseline="0">
              <a:solidFill>
                <a:schemeClr val="accent5">
                  <a:lumMod val="50000"/>
                </a:schemeClr>
              </a:solidFill>
              <a:latin typeface="+mn-lt"/>
              <a:cs typeface="Arial" panose="020B0604020202020204" pitchFamily="34" charset="0"/>
            </a:rPr>
            <a:t> by Year</a:t>
          </a:r>
          <a:endParaRPr lang="en-ID" sz="1400" b="1">
            <a:solidFill>
              <a:schemeClr val="accent5">
                <a:lumMod val="50000"/>
              </a:schemeClr>
            </a:solidFill>
            <a:latin typeface="+mn-lt"/>
            <a:cs typeface="Arial" panose="020B0604020202020204" pitchFamily="34" charset="0"/>
          </a:endParaRPr>
        </a:p>
      </xdr:txBody>
    </xdr:sp>
    <xdr:clientData/>
  </xdr:twoCellAnchor>
  <xdr:twoCellAnchor>
    <xdr:from>
      <xdr:col>14</xdr:col>
      <xdr:colOff>179917</xdr:colOff>
      <xdr:row>12</xdr:row>
      <xdr:rowOff>104774</xdr:rowOff>
    </xdr:from>
    <xdr:to>
      <xdr:col>17</xdr:col>
      <xdr:colOff>468047</xdr:colOff>
      <xdr:row>25</xdr:row>
      <xdr:rowOff>184274</xdr:rowOff>
    </xdr:to>
    <xdr:sp macro="" textlink="">
      <xdr:nvSpPr>
        <xdr:cNvPr id="50" name="Rectangle: Rounded Corners 49">
          <a:extLst>
            <a:ext uri="{FF2B5EF4-FFF2-40B4-BE49-F238E27FC236}">
              <a16:creationId xmlns:a16="http://schemas.microsoft.com/office/drawing/2014/main" id="{6FACD2A2-4827-41B4-9ACD-FE450E25C6AF}"/>
            </a:ext>
          </a:extLst>
        </xdr:cNvPr>
        <xdr:cNvSpPr/>
      </xdr:nvSpPr>
      <xdr:spPr>
        <a:xfrm>
          <a:off x="10847917" y="2390774"/>
          <a:ext cx="2574130" cy="2556000"/>
        </a:xfrm>
        <a:prstGeom prst="roundRect">
          <a:avLst>
            <a:gd name="adj" fmla="val 7527"/>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400" b="1">
              <a:solidFill>
                <a:schemeClr val="accent5">
                  <a:lumMod val="50000"/>
                </a:schemeClr>
              </a:solidFill>
            </a:rPr>
            <a:t>Revenue by Region</a:t>
          </a:r>
        </a:p>
      </xdr:txBody>
    </xdr:sp>
    <xdr:clientData/>
  </xdr:twoCellAnchor>
  <xdr:twoCellAnchor>
    <xdr:from>
      <xdr:col>9</xdr:col>
      <xdr:colOff>86786</xdr:colOff>
      <xdr:row>12</xdr:row>
      <xdr:rowOff>123823</xdr:rowOff>
    </xdr:from>
    <xdr:to>
      <xdr:col>14</xdr:col>
      <xdr:colOff>56786</xdr:colOff>
      <xdr:row>26</xdr:row>
      <xdr:rowOff>12823</xdr:rowOff>
    </xdr:to>
    <xdr:sp macro="" textlink="">
      <xdr:nvSpPr>
        <xdr:cNvPr id="51" name="Rectangle: Rounded Corners 50">
          <a:extLst>
            <a:ext uri="{FF2B5EF4-FFF2-40B4-BE49-F238E27FC236}">
              <a16:creationId xmlns:a16="http://schemas.microsoft.com/office/drawing/2014/main" id="{C34669EB-14C4-436C-8DD2-AAD4636D7149}"/>
            </a:ext>
          </a:extLst>
        </xdr:cNvPr>
        <xdr:cNvSpPr/>
      </xdr:nvSpPr>
      <xdr:spPr>
        <a:xfrm>
          <a:off x="6944786" y="2409823"/>
          <a:ext cx="3780000" cy="2556000"/>
        </a:xfrm>
        <a:prstGeom prst="roundRect">
          <a:avLst>
            <a:gd name="adj" fmla="val 7527"/>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400" b="1">
              <a:solidFill>
                <a:schemeClr val="accent5">
                  <a:lumMod val="50000"/>
                </a:schemeClr>
              </a:solidFill>
            </a:rPr>
            <a:t>Monthly Revenue Trend</a:t>
          </a:r>
        </a:p>
      </xdr:txBody>
    </xdr:sp>
    <xdr:clientData/>
  </xdr:twoCellAnchor>
  <xdr:twoCellAnchor>
    <xdr:from>
      <xdr:col>10</xdr:col>
      <xdr:colOff>698500</xdr:colOff>
      <xdr:row>26</xdr:row>
      <xdr:rowOff>137581</xdr:rowOff>
    </xdr:from>
    <xdr:to>
      <xdr:col>14</xdr:col>
      <xdr:colOff>179916</xdr:colOff>
      <xdr:row>39</xdr:row>
      <xdr:rowOff>181081</xdr:rowOff>
    </xdr:to>
    <xdr:sp macro="" textlink="">
      <xdr:nvSpPr>
        <xdr:cNvPr id="52" name="Rectangle: Rounded Corners 51">
          <a:extLst>
            <a:ext uri="{FF2B5EF4-FFF2-40B4-BE49-F238E27FC236}">
              <a16:creationId xmlns:a16="http://schemas.microsoft.com/office/drawing/2014/main" id="{89DACC8C-1EFB-45EE-8078-FE75E12DD055}"/>
            </a:ext>
          </a:extLst>
        </xdr:cNvPr>
        <xdr:cNvSpPr/>
      </xdr:nvSpPr>
      <xdr:spPr>
        <a:xfrm>
          <a:off x="8318500" y="5090581"/>
          <a:ext cx="2529416" cy="2520000"/>
        </a:xfrm>
        <a:prstGeom prst="roundRect">
          <a:avLst>
            <a:gd name="adj" fmla="val 7527"/>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400" b="1">
              <a:solidFill>
                <a:schemeClr val="accent5">
                  <a:lumMod val="50000"/>
                </a:schemeClr>
              </a:solidFill>
            </a:rPr>
            <a:t>Average Customer Rating by Product</a:t>
          </a:r>
          <a:r>
            <a:rPr lang="en-ID" sz="1400" b="1" baseline="0">
              <a:solidFill>
                <a:schemeClr val="accent5">
                  <a:lumMod val="50000"/>
                </a:schemeClr>
              </a:solidFill>
            </a:rPr>
            <a:t> </a:t>
          </a:r>
          <a:r>
            <a:rPr lang="en-ID" sz="1400" b="1">
              <a:solidFill>
                <a:schemeClr val="accent5">
                  <a:lumMod val="50000"/>
                </a:schemeClr>
              </a:solidFill>
            </a:rPr>
            <a:t>Category</a:t>
          </a:r>
        </a:p>
      </xdr:txBody>
    </xdr:sp>
    <xdr:clientData/>
  </xdr:twoCellAnchor>
  <xdr:twoCellAnchor>
    <xdr:from>
      <xdr:col>4</xdr:col>
      <xdr:colOff>1058</xdr:colOff>
      <xdr:row>26</xdr:row>
      <xdr:rowOff>154782</xdr:rowOff>
    </xdr:from>
    <xdr:to>
      <xdr:col>7</xdr:col>
      <xdr:colOff>328083</xdr:colOff>
      <xdr:row>39</xdr:row>
      <xdr:rowOff>190499</xdr:rowOff>
    </xdr:to>
    <xdr:sp macro="" textlink="">
      <xdr:nvSpPr>
        <xdr:cNvPr id="53" name="Rectangle: Rounded Corners 52">
          <a:extLst>
            <a:ext uri="{FF2B5EF4-FFF2-40B4-BE49-F238E27FC236}">
              <a16:creationId xmlns:a16="http://schemas.microsoft.com/office/drawing/2014/main" id="{D0352F05-0D40-48B0-8A61-5387FD17475A}"/>
            </a:ext>
          </a:extLst>
        </xdr:cNvPr>
        <xdr:cNvSpPr/>
      </xdr:nvSpPr>
      <xdr:spPr>
        <a:xfrm>
          <a:off x="3049058" y="5107782"/>
          <a:ext cx="2613025" cy="2512217"/>
        </a:xfrm>
        <a:prstGeom prst="roundRect">
          <a:avLst>
            <a:gd name="adj" fmla="val 7527"/>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400" b="1">
              <a:solidFill>
                <a:schemeClr val="accent5">
                  <a:lumMod val="50000"/>
                </a:schemeClr>
              </a:solidFill>
            </a:rPr>
            <a:t>Orders Trend by Year</a:t>
          </a:r>
        </a:p>
      </xdr:txBody>
    </xdr:sp>
    <xdr:clientData/>
  </xdr:twoCellAnchor>
  <xdr:twoCellAnchor>
    <xdr:from>
      <xdr:col>7</xdr:col>
      <xdr:colOff>425451</xdr:colOff>
      <xdr:row>26</xdr:row>
      <xdr:rowOff>141817</xdr:rowOff>
    </xdr:from>
    <xdr:to>
      <xdr:col>10</xdr:col>
      <xdr:colOff>604045</xdr:colOff>
      <xdr:row>39</xdr:row>
      <xdr:rowOff>189442</xdr:rowOff>
    </xdr:to>
    <xdr:sp macro="" textlink="">
      <xdr:nvSpPr>
        <xdr:cNvPr id="54" name="Rectangle: Rounded Corners 53">
          <a:extLst>
            <a:ext uri="{FF2B5EF4-FFF2-40B4-BE49-F238E27FC236}">
              <a16:creationId xmlns:a16="http://schemas.microsoft.com/office/drawing/2014/main" id="{3FF30F9D-30A5-42E1-9865-4270C655BC21}"/>
            </a:ext>
          </a:extLst>
        </xdr:cNvPr>
        <xdr:cNvSpPr/>
      </xdr:nvSpPr>
      <xdr:spPr>
        <a:xfrm>
          <a:off x="5759451" y="5094817"/>
          <a:ext cx="2464594" cy="2524125"/>
        </a:xfrm>
        <a:prstGeom prst="roundRect">
          <a:avLst>
            <a:gd name="adj" fmla="val 7527"/>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400" b="1">
              <a:solidFill>
                <a:schemeClr val="accent5">
                  <a:lumMod val="50000"/>
                </a:schemeClr>
              </a:solidFill>
            </a:rPr>
            <a:t>Payment</a:t>
          </a:r>
          <a:r>
            <a:rPr lang="en-ID" sz="1400" b="1" baseline="0">
              <a:solidFill>
                <a:schemeClr val="accent5">
                  <a:lumMod val="50000"/>
                </a:schemeClr>
              </a:solidFill>
            </a:rPr>
            <a:t> Method Distribution</a:t>
          </a:r>
          <a:endParaRPr lang="en-ID" sz="1400" b="1">
            <a:solidFill>
              <a:schemeClr val="accent5">
                <a:lumMod val="50000"/>
              </a:schemeClr>
            </a:solidFill>
          </a:endParaRPr>
        </a:p>
      </xdr:txBody>
    </xdr:sp>
    <xdr:clientData/>
  </xdr:twoCellAnchor>
  <xdr:twoCellAnchor>
    <xdr:from>
      <xdr:col>0</xdr:col>
      <xdr:colOff>692680</xdr:colOff>
      <xdr:row>14</xdr:row>
      <xdr:rowOff>97103</xdr:rowOff>
    </xdr:from>
    <xdr:to>
      <xdr:col>3</xdr:col>
      <xdr:colOff>62680</xdr:colOff>
      <xdr:row>21</xdr:row>
      <xdr:rowOff>10583</xdr:rowOff>
    </xdr:to>
    <xdr:sp macro="" textlink="">
      <xdr:nvSpPr>
        <xdr:cNvPr id="63" name="Rectangle: Rounded Corners 62">
          <a:extLst>
            <a:ext uri="{FF2B5EF4-FFF2-40B4-BE49-F238E27FC236}">
              <a16:creationId xmlns:a16="http://schemas.microsoft.com/office/drawing/2014/main" id="{4EC8AAA2-DD1D-4D94-9FD2-F84C215818EB}"/>
            </a:ext>
          </a:extLst>
        </xdr:cNvPr>
        <xdr:cNvSpPr/>
      </xdr:nvSpPr>
      <xdr:spPr>
        <a:xfrm>
          <a:off x="692680" y="2764103"/>
          <a:ext cx="1656000" cy="1246980"/>
        </a:xfrm>
        <a:prstGeom prst="roundRect">
          <a:avLst>
            <a:gd name="adj" fmla="val 9664"/>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200" b="1">
            <a:solidFill>
              <a:schemeClr val="accent5">
                <a:lumMod val="50000"/>
              </a:schemeClr>
            </a:solidFill>
          </a:endParaRPr>
        </a:p>
      </xdr:txBody>
    </xdr:sp>
    <xdr:clientData/>
  </xdr:twoCellAnchor>
  <xdr:oneCellAnchor>
    <xdr:from>
      <xdr:col>4</xdr:col>
      <xdr:colOff>264583</xdr:colOff>
      <xdr:row>30</xdr:row>
      <xdr:rowOff>158750</xdr:rowOff>
    </xdr:from>
    <xdr:ext cx="184731" cy="264560"/>
    <xdr:sp macro="" textlink="">
      <xdr:nvSpPr>
        <xdr:cNvPr id="65" name="TextBox 64">
          <a:extLst>
            <a:ext uri="{FF2B5EF4-FFF2-40B4-BE49-F238E27FC236}">
              <a16:creationId xmlns:a16="http://schemas.microsoft.com/office/drawing/2014/main" id="{C4F040F9-4DAD-4EE8-ABE0-E64D83A4FFA3}"/>
            </a:ext>
          </a:extLst>
        </xdr:cNvPr>
        <xdr:cNvSpPr txBox="1"/>
      </xdr:nvSpPr>
      <xdr:spPr>
        <a:xfrm>
          <a:off x="3312583" y="5873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a:p>
      </xdr:txBody>
    </xdr:sp>
    <xdr:clientData/>
  </xdr:oneCellAnchor>
  <xdr:twoCellAnchor>
    <xdr:from>
      <xdr:col>3</xdr:col>
      <xdr:colOff>728660</xdr:colOff>
      <xdr:row>2</xdr:row>
      <xdr:rowOff>150018</xdr:rowOff>
    </xdr:from>
    <xdr:to>
      <xdr:col>17</xdr:col>
      <xdr:colOff>444499</xdr:colOff>
      <xdr:row>6</xdr:row>
      <xdr:rowOff>130969</xdr:rowOff>
    </xdr:to>
    <xdr:sp macro="" textlink="">
      <xdr:nvSpPr>
        <xdr:cNvPr id="71" name="Rectangle: Rounded Corners 70">
          <a:extLst>
            <a:ext uri="{FF2B5EF4-FFF2-40B4-BE49-F238E27FC236}">
              <a16:creationId xmlns:a16="http://schemas.microsoft.com/office/drawing/2014/main" id="{0CDA62C4-F91B-418C-B58A-B841302D20F4}"/>
            </a:ext>
          </a:extLst>
        </xdr:cNvPr>
        <xdr:cNvSpPr/>
      </xdr:nvSpPr>
      <xdr:spPr>
        <a:xfrm>
          <a:off x="3014660" y="531018"/>
          <a:ext cx="10383839" cy="742951"/>
        </a:xfrm>
        <a:prstGeom prst="roundRect">
          <a:avLst>
            <a:gd name="adj" fmla="val 0"/>
          </a:avLst>
        </a:prstGeom>
        <a:gradFill flip="none" rotWithShape="1">
          <a:gsLst>
            <a:gs pos="0">
              <a:srgbClr val="A514F6">
                <a:shade val="30000"/>
                <a:satMod val="115000"/>
              </a:srgbClr>
            </a:gs>
            <a:gs pos="50000">
              <a:srgbClr val="A514F6">
                <a:shade val="67500"/>
                <a:satMod val="115000"/>
              </a:srgbClr>
            </a:gs>
            <a:gs pos="100000">
              <a:srgbClr val="A514F6">
                <a:shade val="100000"/>
                <a:satMod val="115000"/>
              </a:srgbClr>
            </a:gs>
          </a:gsLst>
          <a:lin ang="13500000" scaled="1"/>
          <a:tileRect/>
        </a:gradFill>
        <a:ln>
          <a:noFill/>
        </a:ln>
        <a:effectLst>
          <a:outerShdw blurRad="50800" dist="38100" dir="5400000" algn="t" rotWithShape="0">
            <a:schemeClr val="bg2">
              <a:lumMod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1">
              <a:solidFill>
                <a:schemeClr val="bg1"/>
              </a:solidFill>
              <a:effectLst/>
              <a:latin typeface="+mn-lt"/>
              <a:ea typeface="+mn-ea"/>
              <a:cs typeface="Times New Roman" panose="02020603050405020304" pitchFamily="18" charset="0"/>
            </a:rPr>
            <a:t>E-COMMERCE</a:t>
          </a:r>
          <a:r>
            <a:rPr lang="en-US" sz="3200" b="1" baseline="0">
              <a:solidFill>
                <a:schemeClr val="bg1"/>
              </a:solidFill>
              <a:effectLst/>
              <a:latin typeface="+mn-lt"/>
              <a:ea typeface="+mn-ea"/>
              <a:cs typeface="Times New Roman" panose="02020603050405020304" pitchFamily="18" charset="0"/>
            </a:rPr>
            <a:t> SALES PERFORMANCE DASHBOARD</a:t>
          </a:r>
          <a:endParaRPr lang="en-ID" sz="3200">
            <a:solidFill>
              <a:schemeClr val="bg1"/>
            </a:solidFill>
            <a:effectLst/>
            <a:latin typeface="+mn-lt"/>
            <a:cs typeface="Times New Roman" panose="02020603050405020304" pitchFamily="18" charset="0"/>
          </a:endParaRPr>
        </a:p>
      </xdr:txBody>
    </xdr:sp>
    <xdr:clientData/>
  </xdr:twoCellAnchor>
  <xdr:twoCellAnchor>
    <xdr:from>
      <xdr:col>14</xdr:col>
      <xdr:colOff>278343</xdr:colOff>
      <xdr:row>26</xdr:row>
      <xdr:rowOff>131234</xdr:rowOff>
    </xdr:from>
    <xdr:to>
      <xdr:col>17</xdr:col>
      <xdr:colOff>456937</xdr:colOff>
      <xdr:row>39</xdr:row>
      <xdr:rowOff>174734</xdr:rowOff>
    </xdr:to>
    <xdr:sp macro="" textlink="">
      <xdr:nvSpPr>
        <xdr:cNvPr id="86" name="Rectangle: Rounded Corners 85">
          <a:extLst>
            <a:ext uri="{FF2B5EF4-FFF2-40B4-BE49-F238E27FC236}">
              <a16:creationId xmlns:a16="http://schemas.microsoft.com/office/drawing/2014/main" id="{2AC65D67-F017-4304-B3A6-A773CA6BBE1D}"/>
            </a:ext>
          </a:extLst>
        </xdr:cNvPr>
        <xdr:cNvSpPr/>
      </xdr:nvSpPr>
      <xdr:spPr>
        <a:xfrm>
          <a:off x="10946343" y="5084234"/>
          <a:ext cx="2464594" cy="2520000"/>
        </a:xfrm>
        <a:prstGeom prst="roundRect">
          <a:avLst>
            <a:gd name="adj" fmla="val 7527"/>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400" b="1">
              <a:solidFill>
                <a:schemeClr val="accent5">
                  <a:lumMod val="50000"/>
                </a:schemeClr>
              </a:solidFill>
            </a:rPr>
            <a:t>Revenue by Product Category</a:t>
          </a:r>
        </a:p>
      </xdr:txBody>
    </xdr:sp>
    <xdr:clientData/>
  </xdr:twoCellAnchor>
  <xdr:twoCellAnchor>
    <xdr:from>
      <xdr:col>3</xdr:col>
      <xdr:colOff>741629</xdr:colOff>
      <xdr:row>14</xdr:row>
      <xdr:rowOff>1</xdr:rowOff>
    </xdr:from>
    <xdr:to>
      <xdr:col>8</xdr:col>
      <xdr:colOff>687917</xdr:colOff>
      <xdr:row>25</xdr:row>
      <xdr:rowOff>179917</xdr:rowOff>
    </xdr:to>
    <xdr:graphicFrame macro="">
      <xdr:nvGraphicFramePr>
        <xdr:cNvPr id="87" name="Chart 86">
          <a:extLst>
            <a:ext uri="{FF2B5EF4-FFF2-40B4-BE49-F238E27FC236}">
              <a16:creationId xmlns:a16="http://schemas.microsoft.com/office/drawing/2014/main" id="{B33E22EE-FF71-4FA6-A32B-D9268CAEE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96311</xdr:colOff>
      <xdr:row>14</xdr:row>
      <xdr:rowOff>52917</xdr:rowOff>
    </xdr:from>
    <xdr:to>
      <xdr:col>14</xdr:col>
      <xdr:colOff>52918</xdr:colOff>
      <xdr:row>25</xdr:row>
      <xdr:rowOff>179917</xdr:rowOff>
    </xdr:to>
    <xdr:graphicFrame macro="">
      <xdr:nvGraphicFramePr>
        <xdr:cNvPr id="88" name="Chart 87">
          <a:extLst>
            <a:ext uri="{FF2B5EF4-FFF2-40B4-BE49-F238E27FC236}">
              <a16:creationId xmlns:a16="http://schemas.microsoft.com/office/drawing/2014/main" id="{BE741A73-85A5-48A1-9B48-741C3F987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190500</xdr:colOff>
      <xdr:row>14</xdr:row>
      <xdr:rowOff>31750</xdr:rowOff>
    </xdr:from>
    <xdr:to>
      <xdr:col>17</xdr:col>
      <xdr:colOff>428626</xdr:colOff>
      <xdr:row>25</xdr:row>
      <xdr:rowOff>169333</xdr:rowOff>
    </xdr:to>
    <xdr:graphicFrame macro="">
      <xdr:nvGraphicFramePr>
        <xdr:cNvPr id="89" name="Chart 88">
          <a:extLst>
            <a:ext uri="{FF2B5EF4-FFF2-40B4-BE49-F238E27FC236}">
              <a16:creationId xmlns:a16="http://schemas.microsoft.com/office/drawing/2014/main" id="{B781C022-AC9A-42B9-A1E1-10B6042D3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278343</xdr:colOff>
      <xdr:row>28</xdr:row>
      <xdr:rowOff>74083</xdr:rowOff>
    </xdr:from>
    <xdr:to>
      <xdr:col>17</xdr:col>
      <xdr:colOff>449794</xdr:colOff>
      <xdr:row>39</xdr:row>
      <xdr:rowOff>178858</xdr:rowOff>
    </xdr:to>
    <xdr:graphicFrame macro="">
      <xdr:nvGraphicFramePr>
        <xdr:cNvPr id="90" name="Chart 89">
          <a:extLst>
            <a:ext uri="{FF2B5EF4-FFF2-40B4-BE49-F238E27FC236}">
              <a16:creationId xmlns:a16="http://schemas.microsoft.com/office/drawing/2014/main" id="{A560AB99-E9AB-4473-AF36-183F7E1B86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425451</xdr:colOff>
      <xdr:row>28</xdr:row>
      <xdr:rowOff>46567</xdr:rowOff>
    </xdr:from>
    <xdr:to>
      <xdr:col>10</xdr:col>
      <xdr:colOff>568326</xdr:colOff>
      <xdr:row>39</xdr:row>
      <xdr:rowOff>170392</xdr:rowOff>
    </xdr:to>
    <xdr:graphicFrame macro="">
      <xdr:nvGraphicFramePr>
        <xdr:cNvPr id="91" name="Chart 90">
          <a:extLst>
            <a:ext uri="{FF2B5EF4-FFF2-40B4-BE49-F238E27FC236}">
              <a16:creationId xmlns:a16="http://schemas.microsoft.com/office/drawing/2014/main" id="{B6C05139-5028-46B1-9B25-97AD72F73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753534</xdr:colOff>
      <xdr:row>28</xdr:row>
      <xdr:rowOff>116418</xdr:rowOff>
    </xdr:from>
    <xdr:to>
      <xdr:col>7</xdr:col>
      <xdr:colOff>285751</xdr:colOff>
      <xdr:row>40</xdr:row>
      <xdr:rowOff>16670</xdr:rowOff>
    </xdr:to>
    <xdr:graphicFrame macro="">
      <xdr:nvGraphicFramePr>
        <xdr:cNvPr id="92" name="Chart 91">
          <a:extLst>
            <a:ext uri="{FF2B5EF4-FFF2-40B4-BE49-F238E27FC236}">
              <a16:creationId xmlns:a16="http://schemas.microsoft.com/office/drawing/2014/main" id="{E8C04CAF-06C3-4FDC-9277-46649579A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719665</xdr:colOff>
      <xdr:row>29</xdr:row>
      <xdr:rowOff>107156</xdr:rowOff>
    </xdr:from>
    <xdr:to>
      <xdr:col>14</xdr:col>
      <xdr:colOff>166686</xdr:colOff>
      <xdr:row>39</xdr:row>
      <xdr:rowOff>169332</xdr:rowOff>
    </xdr:to>
    <xdr:graphicFrame macro="">
      <xdr:nvGraphicFramePr>
        <xdr:cNvPr id="93" name="Chart 92">
          <a:extLst>
            <a:ext uri="{FF2B5EF4-FFF2-40B4-BE49-F238E27FC236}">
              <a16:creationId xmlns:a16="http://schemas.microsoft.com/office/drawing/2014/main" id="{6AE76B61-4392-496A-BD0A-AEB51F71A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xdr:col>
      <xdr:colOff>25927</xdr:colOff>
      <xdr:row>14</xdr:row>
      <xdr:rowOff>187060</xdr:rowOff>
    </xdr:from>
    <xdr:to>
      <xdr:col>2</xdr:col>
      <xdr:colOff>751417</xdr:colOff>
      <xdr:row>20</xdr:row>
      <xdr:rowOff>63501</xdr:rowOff>
    </xdr:to>
    <mc:AlternateContent xmlns:mc="http://schemas.openxmlformats.org/markup-compatibility/2006" xmlns:a14="http://schemas.microsoft.com/office/drawing/2010/main">
      <mc:Choice Requires="a14">
        <xdr:graphicFrame macro="">
          <xdr:nvGraphicFramePr>
            <xdr:cNvPr id="94" name="Year">
              <a:extLst>
                <a:ext uri="{FF2B5EF4-FFF2-40B4-BE49-F238E27FC236}">
                  <a16:creationId xmlns:a16="http://schemas.microsoft.com/office/drawing/2014/main" id="{99C163A4-DD9E-46B2-85FF-C0EF5316425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87927" y="2854060"/>
              <a:ext cx="1487490" cy="101944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696913</xdr:colOff>
      <xdr:row>22</xdr:row>
      <xdr:rowOff>16669</xdr:rowOff>
    </xdr:from>
    <xdr:to>
      <xdr:col>3</xdr:col>
      <xdr:colOff>66913</xdr:colOff>
      <xdr:row>28</xdr:row>
      <xdr:rowOff>158750</xdr:rowOff>
    </xdr:to>
    <xdr:sp macro="" textlink="">
      <xdr:nvSpPr>
        <xdr:cNvPr id="4" name="Rectangle: Rounded Corners 3">
          <a:extLst>
            <a:ext uri="{FF2B5EF4-FFF2-40B4-BE49-F238E27FC236}">
              <a16:creationId xmlns:a16="http://schemas.microsoft.com/office/drawing/2014/main" id="{471A38D7-D5F4-472D-8022-FB290D4E3B4C}"/>
            </a:ext>
          </a:extLst>
        </xdr:cNvPr>
        <xdr:cNvSpPr/>
      </xdr:nvSpPr>
      <xdr:spPr>
        <a:xfrm>
          <a:off x="696913" y="4207669"/>
          <a:ext cx="1656000" cy="1285081"/>
        </a:xfrm>
        <a:prstGeom prst="roundRect">
          <a:avLst>
            <a:gd name="adj" fmla="val 9664"/>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200" b="1">
            <a:solidFill>
              <a:schemeClr val="accent5">
                <a:lumMod val="50000"/>
              </a:schemeClr>
            </a:solidFill>
          </a:endParaRPr>
        </a:p>
      </xdr:txBody>
    </xdr:sp>
    <xdr:clientData/>
  </xdr:twoCellAnchor>
  <xdr:twoCellAnchor editAs="oneCell">
    <xdr:from>
      <xdr:col>1</xdr:col>
      <xdr:colOff>31751</xdr:colOff>
      <xdr:row>22</xdr:row>
      <xdr:rowOff>121442</xdr:rowOff>
    </xdr:from>
    <xdr:to>
      <xdr:col>3</xdr:col>
      <xdr:colOff>1</xdr:colOff>
      <xdr:row>28</xdr:row>
      <xdr:rowOff>21166</xdr:rowOff>
    </xdr:to>
    <mc:AlternateContent xmlns:mc="http://schemas.openxmlformats.org/markup-compatibility/2006" xmlns:a14="http://schemas.microsoft.com/office/drawing/2010/main">
      <mc:Choice Requires="a14">
        <xdr:graphicFrame macro="">
          <xdr:nvGraphicFramePr>
            <xdr:cNvPr id="96" name="Region">
              <a:extLst>
                <a:ext uri="{FF2B5EF4-FFF2-40B4-BE49-F238E27FC236}">
                  <a16:creationId xmlns:a16="http://schemas.microsoft.com/office/drawing/2014/main" id="{A79231E7-708E-44A8-8135-1C0F74FDE9E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3751" y="4312442"/>
              <a:ext cx="1492250" cy="104272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711730</xdr:colOff>
      <xdr:row>29</xdr:row>
      <xdr:rowOff>158486</xdr:rowOff>
    </xdr:from>
    <xdr:to>
      <xdr:col>3</xdr:col>
      <xdr:colOff>81730</xdr:colOff>
      <xdr:row>36</xdr:row>
      <xdr:rowOff>110067</xdr:rowOff>
    </xdr:to>
    <xdr:sp macro="" textlink="">
      <xdr:nvSpPr>
        <xdr:cNvPr id="55" name="Rectangle: Rounded Corners 54">
          <a:extLst>
            <a:ext uri="{FF2B5EF4-FFF2-40B4-BE49-F238E27FC236}">
              <a16:creationId xmlns:a16="http://schemas.microsoft.com/office/drawing/2014/main" id="{59F14BB5-0A5E-4545-8B5B-38D31EE91C7C}"/>
            </a:ext>
          </a:extLst>
        </xdr:cNvPr>
        <xdr:cNvSpPr/>
      </xdr:nvSpPr>
      <xdr:spPr>
        <a:xfrm>
          <a:off x="711730" y="5682986"/>
          <a:ext cx="1656000" cy="1285081"/>
        </a:xfrm>
        <a:prstGeom prst="roundRect">
          <a:avLst>
            <a:gd name="adj" fmla="val 9664"/>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200" b="1">
            <a:solidFill>
              <a:schemeClr val="accent5">
                <a:lumMod val="50000"/>
              </a:schemeClr>
            </a:solidFill>
          </a:endParaRPr>
        </a:p>
      </xdr:txBody>
    </xdr:sp>
    <xdr:clientData/>
  </xdr:twoCellAnchor>
  <xdr:twoCellAnchor editAs="oneCell">
    <xdr:from>
      <xdr:col>1</xdr:col>
      <xdr:colOff>53443</xdr:colOff>
      <xdr:row>30</xdr:row>
      <xdr:rowOff>100281</xdr:rowOff>
    </xdr:from>
    <xdr:to>
      <xdr:col>3</xdr:col>
      <xdr:colOff>0</xdr:colOff>
      <xdr:row>35</xdr:row>
      <xdr:rowOff>158753</xdr:rowOff>
    </xdr:to>
    <mc:AlternateContent xmlns:mc="http://schemas.openxmlformats.org/markup-compatibility/2006" xmlns:a14="http://schemas.microsoft.com/office/drawing/2010/main">
      <mc:Choice Requires="a14">
        <xdr:graphicFrame macro="">
          <xdr:nvGraphicFramePr>
            <xdr:cNvPr id="95" name="Product Category">
              <a:extLst>
                <a:ext uri="{FF2B5EF4-FFF2-40B4-BE49-F238E27FC236}">
                  <a16:creationId xmlns:a16="http://schemas.microsoft.com/office/drawing/2014/main" id="{E6333F7A-BB38-409B-99AA-C5B35795AEF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815443" y="5815281"/>
              <a:ext cx="1470557" cy="101097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631031</xdr:colOff>
      <xdr:row>38</xdr:row>
      <xdr:rowOff>166688</xdr:rowOff>
    </xdr:from>
    <xdr:ext cx="1799916" cy="311496"/>
    <xdr:sp macro="" textlink="">
      <xdr:nvSpPr>
        <xdr:cNvPr id="56" name="TextBox 55">
          <a:extLst>
            <a:ext uri="{FF2B5EF4-FFF2-40B4-BE49-F238E27FC236}">
              <a16:creationId xmlns:a16="http://schemas.microsoft.com/office/drawing/2014/main" id="{46D92FAF-C464-0D91-5D9D-E5B59732ADD7}"/>
            </a:ext>
          </a:extLst>
        </xdr:cNvPr>
        <xdr:cNvSpPr txBox="1"/>
      </xdr:nvSpPr>
      <xdr:spPr>
        <a:xfrm>
          <a:off x="631031" y="7405688"/>
          <a:ext cx="179991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400">
              <a:solidFill>
                <a:schemeClr val="bg1"/>
              </a:solidFill>
            </a:rPr>
            <a:t>Created by</a:t>
          </a:r>
          <a:r>
            <a:rPr lang="en-ID" sz="1400" baseline="0">
              <a:solidFill>
                <a:schemeClr val="bg1"/>
              </a:solidFill>
            </a:rPr>
            <a:t> Rifa Fitriani</a:t>
          </a:r>
          <a:endParaRPr lang="en-ID" sz="1400">
            <a:solidFill>
              <a:schemeClr val="bg1"/>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295275</xdr:colOff>
      <xdr:row>0</xdr:row>
      <xdr:rowOff>114300</xdr:rowOff>
    </xdr:from>
    <xdr:to>
      <xdr:col>1</xdr:col>
      <xdr:colOff>861822</xdr:colOff>
      <xdr:row>0</xdr:row>
      <xdr:rowOff>654300</xdr:rowOff>
    </xdr:to>
    <xdr:sp macro="" textlink="">
      <xdr:nvSpPr>
        <xdr:cNvPr id="17" name="Rectangle: Rounded Corners 16">
          <a:hlinkClick xmlns:r="http://schemas.openxmlformats.org/officeDocument/2006/relationships" r:id="rId1"/>
          <a:extLst>
            <a:ext uri="{FF2B5EF4-FFF2-40B4-BE49-F238E27FC236}">
              <a16:creationId xmlns:a16="http://schemas.microsoft.com/office/drawing/2014/main" id="{BD14AF25-3D36-4179-BA00-E2BE36AE398F}"/>
            </a:ext>
          </a:extLst>
        </xdr:cNvPr>
        <xdr:cNvSpPr/>
      </xdr:nvSpPr>
      <xdr:spPr>
        <a:xfrm>
          <a:off x="295275" y="114300"/>
          <a:ext cx="1661922" cy="540000"/>
        </a:xfrm>
        <a:prstGeom prst="roundRect">
          <a:avLst/>
        </a:prstGeom>
        <a:gradFill flip="none" rotWithShape="1">
          <a:gsLst>
            <a:gs pos="2000">
              <a:srgbClr val="66FFFF"/>
            </a:gs>
            <a:gs pos="90000">
              <a:schemeClr val="bg1"/>
            </a:gs>
          </a:gsLst>
          <a:path path="circle">
            <a:fillToRect t="100000" r="100000"/>
          </a:path>
          <a:tileRect l="-100000" b="-100000"/>
        </a:gradFill>
        <a:ln w="9525">
          <a:solidFill>
            <a:schemeClr val="bg1"/>
          </a:solidFill>
        </a:ln>
        <a:effectLst>
          <a:outerShdw blurRad="101600" dist="63500" dir="2700000" algn="tl" rotWithShape="0">
            <a:srgbClr val="4E65B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400" b="1">
              <a:solidFill>
                <a:schemeClr val="tx1"/>
              </a:solidFill>
            </a:rPr>
            <a:t>Back to Dashboard</a:t>
          </a:r>
          <a:endParaRPr lang="ru-RU" sz="1300" b="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285750</xdr:colOff>
      <xdr:row>0</xdr:row>
      <xdr:rowOff>123825</xdr:rowOff>
    </xdr:from>
    <xdr:to>
      <xdr:col>2</xdr:col>
      <xdr:colOff>376047</xdr:colOff>
      <xdr:row>0</xdr:row>
      <xdr:rowOff>663825</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AF7049DD-54A7-4674-B36B-BA3E30E75233}"/>
            </a:ext>
          </a:extLst>
        </xdr:cNvPr>
        <xdr:cNvSpPr/>
      </xdr:nvSpPr>
      <xdr:spPr>
        <a:xfrm>
          <a:off x="285750" y="123825"/>
          <a:ext cx="1661922" cy="540000"/>
        </a:xfrm>
        <a:prstGeom prst="roundRect">
          <a:avLst/>
        </a:prstGeom>
        <a:gradFill flip="none" rotWithShape="1">
          <a:gsLst>
            <a:gs pos="2000">
              <a:srgbClr val="66FFFF"/>
            </a:gs>
            <a:gs pos="90000">
              <a:schemeClr val="bg1"/>
            </a:gs>
          </a:gsLst>
          <a:path path="circle">
            <a:fillToRect t="100000" r="100000"/>
          </a:path>
          <a:tileRect l="-100000" b="-100000"/>
        </a:gradFill>
        <a:ln w="9525">
          <a:solidFill>
            <a:schemeClr val="bg1"/>
          </a:solidFill>
        </a:ln>
        <a:effectLst>
          <a:outerShdw blurRad="101600" dist="63500" dir="2700000" algn="tl" rotWithShape="0">
            <a:srgbClr val="4E65B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400" b="1">
              <a:solidFill>
                <a:schemeClr val="tx1"/>
              </a:solidFill>
            </a:rPr>
            <a:t>Back to Dashboard</a:t>
          </a:r>
          <a:endParaRPr lang="ru-RU" sz="1300" b="1">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65.519651273149" createdVersion="8" refreshedVersion="8" minRefreshableVersion="3" recordCount="2192" xr:uid="{2E62E2C8-3382-4F7E-8970-7C59AF5CC8D8}">
  <cacheSource type="worksheet">
    <worksheetSource name="Table4"/>
  </cacheSource>
  <cacheFields count="17">
    <cacheField name="Order ID" numFmtId="168">
      <sharedItems containsSemiMixedTypes="0" containsString="0" containsNumber="1" containsInteger="1" minValue="1" maxValue="2192"/>
    </cacheField>
    <cacheField name="Order Date" numFmtId="167">
      <sharedItems containsSemiMixedTypes="0" containsNonDate="0" containsDate="1" containsString="0" minDate="2020-01-01T00:00:00" maxDate="2026-01-01T00:00:00"/>
    </cacheField>
    <cacheField name="Year" numFmtId="1">
      <sharedItems containsSemiMixedTypes="0" containsString="0" containsNumber="1" containsInteger="1" minValue="2020" maxValue="2025" count="6">
        <n v="2020"/>
        <n v="2021"/>
        <n v="2022"/>
        <n v="2023"/>
        <n v="2024"/>
        <n v="2025"/>
      </sharedItems>
    </cacheField>
    <cacheField name="Quarter" numFmtId="1">
      <sharedItems/>
    </cacheField>
    <cacheField name="Month" numFmtId="1">
      <sharedItems count="12">
        <s v="Jan"/>
        <s v="Feb"/>
        <s v="Mar"/>
        <s v="Apr"/>
        <s v="May"/>
        <s v="Jun"/>
        <s v="Jul"/>
        <s v="Aug"/>
        <s v="Sep"/>
        <s v="Oct"/>
        <s v="Nov"/>
        <s v="Dec"/>
      </sharedItems>
    </cacheField>
    <cacheField name="Month Number" numFmtId="1">
      <sharedItems containsSemiMixedTypes="0" containsString="0" containsNumber="1" containsInteger="1" minValue="1" maxValue="12"/>
    </cacheField>
    <cacheField name="Customer ID" numFmtId="0">
      <sharedItems containsSemiMixedTypes="0" containsString="0" containsNumber="1" containsInteger="1" minValue="1000" maxValue="1998"/>
    </cacheField>
    <cacheField name="Product Category" numFmtId="0">
      <sharedItems count="4">
        <s v="Beauty"/>
        <s v="Clothing"/>
        <s v="Electronics"/>
        <s v="Home"/>
      </sharedItems>
    </cacheField>
    <cacheField name="Region" numFmtId="0">
      <sharedItems count="4">
        <s v="South"/>
        <s v="East"/>
        <s v="West"/>
        <s v="North"/>
      </sharedItems>
    </cacheField>
    <cacheField name="Quantity Sold" numFmtId="0">
      <sharedItems containsSemiMixedTypes="0" containsString="0" containsNumber="1" containsInteger="1" minValue="1" maxValue="7"/>
    </cacheField>
    <cacheField name="Unit Price" numFmtId="164">
      <sharedItems containsSemiMixedTypes="0" containsString="0" containsNumber="1" minValue="15.77" maxValue="599.89"/>
    </cacheField>
    <cacheField name="Discount" numFmtId="9">
      <sharedItems containsSemiMixedTypes="0" containsString="0" containsNumber="1" minValue="0" maxValue="0.35"/>
    </cacheField>
    <cacheField name="Total Unit Price After Discount" numFmtId="164">
      <sharedItems containsSemiMixedTypes="0" containsString="0" containsNumber="1" minValue="10.6061" maxValue="595.79999999999995"/>
    </cacheField>
    <cacheField name="Total Revenue" numFmtId="164">
      <sharedItems containsSemiMixedTypes="0" containsString="0" containsNumber="1" minValue="12.83" maxValue="4119.33"/>
    </cacheField>
    <cacheField name="Payment Method" numFmtId="0">
      <sharedItems count="3">
        <s v="Wallet"/>
        <s v="Card"/>
        <s v="COD"/>
      </sharedItems>
    </cacheField>
    <cacheField name="Delivery Days" numFmtId="165">
      <sharedItems containsSemiMixedTypes="0" containsString="0" containsNumber="1" containsInteger="1" minValue="1" maxValue="11"/>
    </cacheField>
    <cacheField name="Customer Rating" numFmtId="2">
      <sharedItems containsSemiMixedTypes="0" containsString="0" containsNumber="1" minValue="1" maxValue="5"/>
    </cacheField>
  </cacheFields>
  <extLst>
    <ext xmlns:x14="http://schemas.microsoft.com/office/spreadsheetml/2009/9/main" uri="{725AE2AE-9491-48be-B2B4-4EB974FC3084}">
      <x14:pivotCacheDefinition pivotCacheId="14752685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92">
  <r>
    <n v="1"/>
    <d v="2020-01-01T00:00:00"/>
    <x v="0"/>
    <s v="Q1"/>
    <x v="0"/>
    <n v="1"/>
    <n v="1102"/>
    <x v="0"/>
    <x v="0"/>
    <n v="7"/>
    <n v="373.65"/>
    <n v="0.28000000000000003"/>
    <n v="269.02799999999996"/>
    <n v="1883.2"/>
    <x v="0"/>
    <n v="10"/>
    <n v="4.7"/>
  </r>
  <r>
    <n v="2"/>
    <d v="2020-01-02T00:00:00"/>
    <x v="0"/>
    <s v="Q1"/>
    <x v="0"/>
    <n v="1"/>
    <n v="1435"/>
    <x v="1"/>
    <x v="0"/>
    <n v="7"/>
    <n v="47.74"/>
    <n v="0.09"/>
    <n v="43.443400000000004"/>
    <n v="304.10000000000002"/>
    <x v="1"/>
    <n v="6"/>
    <n v="3.9"/>
  </r>
  <r>
    <n v="3"/>
    <d v="2020-01-03T00:00:00"/>
    <x v="0"/>
    <s v="Q1"/>
    <x v="0"/>
    <n v="1"/>
    <n v="1860"/>
    <x v="0"/>
    <x v="1"/>
    <n v="3"/>
    <n v="311.27999999999997"/>
    <n v="0.31"/>
    <n v="214.78319999999997"/>
    <n v="644.35"/>
    <x v="2"/>
    <n v="6"/>
    <n v="2.5"/>
  </r>
  <r>
    <n v="4"/>
    <d v="2020-01-04T00:00:00"/>
    <x v="0"/>
    <s v="Q1"/>
    <x v="0"/>
    <n v="1"/>
    <n v="1270"/>
    <x v="2"/>
    <x v="2"/>
    <n v="5"/>
    <n v="524.47"/>
    <n v="0.02"/>
    <n v="513.98059999999998"/>
    <n v="2569.9"/>
    <x v="0"/>
    <n v="6"/>
    <n v="1.6"/>
  </r>
  <r>
    <n v="5"/>
    <d v="2020-01-05T00:00:00"/>
    <x v="0"/>
    <s v="Q1"/>
    <x v="0"/>
    <n v="1"/>
    <n v="1106"/>
    <x v="1"/>
    <x v="2"/>
    <n v="5"/>
    <n v="139.87"/>
    <n v="0.33"/>
    <n v="93.712899999999991"/>
    <n v="468.56"/>
    <x v="0"/>
    <n v="4"/>
    <n v="4.9000000000000004"/>
  </r>
  <r>
    <n v="6"/>
    <d v="2020-01-06T00:00:00"/>
    <x v="0"/>
    <s v="Q1"/>
    <x v="0"/>
    <n v="1"/>
    <n v="1071"/>
    <x v="2"/>
    <x v="2"/>
    <n v="2"/>
    <n v="264.44"/>
    <n v="0.2"/>
    <n v="211.55199999999999"/>
    <n v="423.1"/>
    <x v="1"/>
    <n v="3"/>
    <n v="3.3"/>
  </r>
  <r>
    <n v="7"/>
    <d v="2020-01-07T00:00:00"/>
    <x v="0"/>
    <s v="Q1"/>
    <x v="0"/>
    <n v="1"/>
    <n v="1700"/>
    <x v="1"/>
    <x v="0"/>
    <n v="6"/>
    <n v="564.6"/>
    <n v="0.23"/>
    <n v="434.74200000000002"/>
    <n v="2608.4499999999998"/>
    <x v="1"/>
    <n v="1"/>
    <n v="1.8"/>
  </r>
  <r>
    <n v="8"/>
    <d v="2020-01-08T00:00:00"/>
    <x v="0"/>
    <s v="Q1"/>
    <x v="0"/>
    <n v="1"/>
    <n v="1020"/>
    <x v="0"/>
    <x v="3"/>
    <n v="6"/>
    <n v="265.70999999999998"/>
    <n v="0.13"/>
    <n v="231.16769999999997"/>
    <n v="1387.01"/>
    <x v="1"/>
    <n v="2"/>
    <n v="3.7"/>
  </r>
  <r>
    <n v="9"/>
    <d v="2020-01-09T00:00:00"/>
    <x v="0"/>
    <s v="Q1"/>
    <x v="0"/>
    <n v="1"/>
    <n v="1614"/>
    <x v="1"/>
    <x v="0"/>
    <n v="6"/>
    <n v="224.65"/>
    <n v="0.27"/>
    <n v="163.99450000000002"/>
    <n v="983.97"/>
    <x v="1"/>
    <n v="2"/>
    <n v="1.4"/>
  </r>
  <r>
    <n v="10"/>
    <d v="2020-01-10T00:00:00"/>
    <x v="0"/>
    <s v="Q1"/>
    <x v="0"/>
    <n v="1"/>
    <n v="1121"/>
    <x v="1"/>
    <x v="2"/>
    <n v="4"/>
    <n v="272.70999999999998"/>
    <n v="0.06"/>
    <n v="256.34739999999999"/>
    <n v="1025.3900000000001"/>
    <x v="1"/>
    <n v="10"/>
    <n v="4.5"/>
  </r>
  <r>
    <n v="11"/>
    <d v="2020-01-11T00:00:00"/>
    <x v="0"/>
    <s v="Q1"/>
    <x v="0"/>
    <n v="1"/>
    <n v="1466"/>
    <x v="1"/>
    <x v="2"/>
    <n v="6"/>
    <n v="318.88"/>
    <n v="0.02"/>
    <n v="312.50240000000002"/>
    <n v="1875.01"/>
    <x v="2"/>
    <n v="7"/>
    <n v="1.4"/>
  </r>
  <r>
    <n v="12"/>
    <d v="2020-01-12T00:00:00"/>
    <x v="0"/>
    <s v="Q1"/>
    <x v="0"/>
    <n v="1"/>
    <n v="1214"/>
    <x v="2"/>
    <x v="2"/>
    <n v="3"/>
    <n v="384.71"/>
    <n v="0.14000000000000001"/>
    <n v="330.85059999999999"/>
    <n v="992.55"/>
    <x v="2"/>
    <n v="11"/>
    <n v="1.9"/>
  </r>
  <r>
    <n v="13"/>
    <d v="2020-01-13T00:00:00"/>
    <x v="0"/>
    <s v="Q1"/>
    <x v="0"/>
    <n v="1"/>
    <n v="1330"/>
    <x v="0"/>
    <x v="0"/>
    <n v="7"/>
    <n v="483.41"/>
    <n v="0.3"/>
    <n v="338.38700000000006"/>
    <n v="2368.71"/>
    <x v="2"/>
    <n v="6"/>
    <n v="1.4"/>
  </r>
  <r>
    <n v="14"/>
    <d v="2020-01-14T00:00:00"/>
    <x v="0"/>
    <s v="Q1"/>
    <x v="0"/>
    <n v="1"/>
    <n v="1458"/>
    <x v="1"/>
    <x v="2"/>
    <n v="7"/>
    <n v="279.48"/>
    <n v="0.26"/>
    <n v="206.8152"/>
    <n v="1447.71"/>
    <x v="2"/>
    <n v="8"/>
    <n v="1.4"/>
  </r>
  <r>
    <n v="15"/>
    <d v="2020-01-15T00:00:00"/>
    <x v="0"/>
    <s v="Q1"/>
    <x v="0"/>
    <n v="1"/>
    <n v="1087"/>
    <x v="1"/>
    <x v="1"/>
    <n v="4"/>
    <n v="493.23"/>
    <n v="0.18"/>
    <n v="404.4486"/>
    <n v="1617.79"/>
    <x v="1"/>
    <n v="9"/>
    <n v="3.1"/>
  </r>
  <r>
    <n v="16"/>
    <d v="2020-01-16T00:00:00"/>
    <x v="0"/>
    <s v="Q1"/>
    <x v="0"/>
    <n v="1"/>
    <n v="1372"/>
    <x v="1"/>
    <x v="2"/>
    <n v="2"/>
    <n v="327.23"/>
    <n v="0.2"/>
    <n v="261.78399999999999"/>
    <n v="523.57000000000005"/>
    <x v="0"/>
    <n v="5"/>
    <n v="3.7"/>
  </r>
  <r>
    <n v="17"/>
    <d v="2020-01-17T00:00:00"/>
    <x v="0"/>
    <s v="Q1"/>
    <x v="0"/>
    <n v="1"/>
    <n v="1099"/>
    <x v="1"/>
    <x v="3"/>
    <n v="3"/>
    <n v="213.01"/>
    <n v="0.05"/>
    <n v="202.3595"/>
    <n v="607.08000000000004"/>
    <x v="0"/>
    <n v="11"/>
    <n v="4.2"/>
  </r>
  <r>
    <n v="18"/>
    <d v="2020-01-18T00:00:00"/>
    <x v="0"/>
    <s v="Q1"/>
    <x v="0"/>
    <n v="1"/>
    <n v="1871"/>
    <x v="2"/>
    <x v="1"/>
    <n v="7"/>
    <n v="399.9"/>
    <n v="0.28999999999999998"/>
    <n v="283.92899999999997"/>
    <n v="1987.5"/>
    <x v="2"/>
    <n v="3"/>
    <n v="3.8"/>
  </r>
  <r>
    <n v="19"/>
    <d v="2020-01-19T00:00:00"/>
    <x v="0"/>
    <s v="Q1"/>
    <x v="0"/>
    <n v="1"/>
    <n v="1663"/>
    <x v="3"/>
    <x v="2"/>
    <n v="3"/>
    <n v="434.87"/>
    <n v="0.28000000000000003"/>
    <n v="313.10640000000001"/>
    <n v="939.32"/>
    <x v="0"/>
    <n v="4"/>
    <n v="2.5"/>
  </r>
  <r>
    <n v="20"/>
    <d v="2020-01-20T00:00:00"/>
    <x v="0"/>
    <s v="Q1"/>
    <x v="0"/>
    <n v="1"/>
    <n v="1130"/>
    <x v="2"/>
    <x v="1"/>
    <n v="7"/>
    <n v="341.46"/>
    <n v="0.23"/>
    <n v="262.92419999999998"/>
    <n v="1840.47"/>
    <x v="1"/>
    <n v="11"/>
    <n v="3.2"/>
  </r>
  <r>
    <n v="21"/>
    <d v="2020-01-21T00:00:00"/>
    <x v="0"/>
    <s v="Q1"/>
    <x v="0"/>
    <n v="1"/>
    <n v="1661"/>
    <x v="3"/>
    <x v="2"/>
    <n v="1"/>
    <n v="48.12"/>
    <n v="0.16"/>
    <n v="40.4208"/>
    <n v="40.42"/>
    <x v="2"/>
    <n v="8"/>
    <n v="4.7"/>
  </r>
  <r>
    <n v="22"/>
    <d v="2020-01-22T00:00:00"/>
    <x v="0"/>
    <s v="Q1"/>
    <x v="0"/>
    <n v="1"/>
    <n v="1308"/>
    <x v="3"/>
    <x v="3"/>
    <n v="2"/>
    <n v="114.38"/>
    <n v="0.34"/>
    <n v="75.490799999999993"/>
    <n v="150.97999999999999"/>
    <x v="1"/>
    <n v="3"/>
    <n v="2.6"/>
  </r>
  <r>
    <n v="23"/>
    <d v="2020-01-23T00:00:00"/>
    <x v="0"/>
    <s v="Q1"/>
    <x v="0"/>
    <n v="1"/>
    <n v="1769"/>
    <x v="3"/>
    <x v="2"/>
    <n v="2"/>
    <n v="181.9"/>
    <n v="0.31"/>
    <n v="125.511"/>
    <n v="251.02"/>
    <x v="1"/>
    <n v="2"/>
    <n v="2"/>
  </r>
  <r>
    <n v="24"/>
    <d v="2020-01-24T00:00:00"/>
    <x v="0"/>
    <s v="Q1"/>
    <x v="0"/>
    <n v="1"/>
    <n v="1343"/>
    <x v="1"/>
    <x v="1"/>
    <n v="1"/>
    <n v="180.34"/>
    <n v="0.23"/>
    <n v="138.86180000000002"/>
    <n v="138.86000000000001"/>
    <x v="1"/>
    <n v="7"/>
    <n v="3.1"/>
  </r>
  <r>
    <n v="25"/>
    <d v="2020-01-25T00:00:00"/>
    <x v="0"/>
    <s v="Q1"/>
    <x v="0"/>
    <n v="1"/>
    <n v="1491"/>
    <x v="1"/>
    <x v="3"/>
    <n v="4"/>
    <n v="408.95"/>
    <n v="0.13"/>
    <n v="355.78649999999999"/>
    <n v="1423.15"/>
    <x v="2"/>
    <n v="4"/>
    <n v="2.2000000000000002"/>
  </r>
  <r>
    <n v="26"/>
    <d v="2020-01-26T00:00:00"/>
    <x v="0"/>
    <s v="Q1"/>
    <x v="0"/>
    <n v="1"/>
    <n v="1413"/>
    <x v="2"/>
    <x v="0"/>
    <n v="7"/>
    <n v="25.73"/>
    <n v="0.22"/>
    <n v="20.069400000000002"/>
    <n v="140.49"/>
    <x v="1"/>
    <n v="8"/>
    <n v="2"/>
  </r>
  <r>
    <n v="27"/>
    <d v="2020-01-27T00:00:00"/>
    <x v="0"/>
    <s v="Q1"/>
    <x v="0"/>
    <n v="1"/>
    <n v="1805"/>
    <x v="3"/>
    <x v="3"/>
    <n v="7"/>
    <n v="457.07"/>
    <n v="0.2"/>
    <n v="365.65600000000001"/>
    <n v="2559.59"/>
    <x v="2"/>
    <n v="1"/>
    <n v="4.0999999999999996"/>
  </r>
  <r>
    <n v="28"/>
    <d v="2020-01-28T00:00:00"/>
    <x v="0"/>
    <s v="Q1"/>
    <x v="0"/>
    <n v="1"/>
    <n v="1385"/>
    <x v="2"/>
    <x v="3"/>
    <n v="7"/>
    <n v="170.23"/>
    <n v="0.14000000000000001"/>
    <n v="146.39779999999999"/>
    <n v="1024.78"/>
    <x v="1"/>
    <n v="8"/>
    <n v="4.5999999999999996"/>
  </r>
  <r>
    <n v="29"/>
    <d v="2020-01-29T00:00:00"/>
    <x v="0"/>
    <s v="Q1"/>
    <x v="0"/>
    <n v="1"/>
    <n v="1191"/>
    <x v="1"/>
    <x v="3"/>
    <n v="6"/>
    <n v="196.36"/>
    <n v="0.11"/>
    <n v="174.7604"/>
    <n v="1048.56"/>
    <x v="0"/>
    <n v="5"/>
    <n v="3"/>
  </r>
  <r>
    <n v="30"/>
    <d v="2020-01-30T00:00:00"/>
    <x v="0"/>
    <s v="Q1"/>
    <x v="0"/>
    <n v="1"/>
    <n v="1955"/>
    <x v="2"/>
    <x v="1"/>
    <n v="6"/>
    <n v="323.83"/>
    <n v="0.14000000000000001"/>
    <n v="278.49379999999996"/>
    <n v="1670.96"/>
    <x v="2"/>
    <n v="2"/>
    <n v="4.0999999999999996"/>
  </r>
  <r>
    <n v="31"/>
    <d v="2020-01-31T00:00:00"/>
    <x v="0"/>
    <s v="Q1"/>
    <x v="0"/>
    <n v="1"/>
    <n v="1276"/>
    <x v="2"/>
    <x v="3"/>
    <n v="6"/>
    <n v="141.32"/>
    <n v="0.2"/>
    <n v="113.056"/>
    <n v="678.34"/>
    <x v="1"/>
    <n v="1"/>
    <n v="1.7"/>
  </r>
  <r>
    <n v="32"/>
    <d v="2020-02-01T00:00:00"/>
    <x v="0"/>
    <s v="Q1"/>
    <x v="1"/>
    <n v="2"/>
    <n v="1160"/>
    <x v="1"/>
    <x v="2"/>
    <n v="6"/>
    <n v="532.41999999999996"/>
    <n v="0.15"/>
    <n v="452.55699999999996"/>
    <n v="2715.34"/>
    <x v="1"/>
    <n v="6"/>
    <n v="3.2"/>
  </r>
  <r>
    <n v="33"/>
    <d v="2020-02-02T00:00:00"/>
    <x v="0"/>
    <s v="Q1"/>
    <x v="1"/>
    <n v="2"/>
    <n v="1459"/>
    <x v="2"/>
    <x v="3"/>
    <n v="6"/>
    <n v="64.94"/>
    <n v="0.09"/>
    <n v="59.095399999999998"/>
    <n v="354.57"/>
    <x v="0"/>
    <n v="9"/>
    <n v="3.5"/>
  </r>
  <r>
    <n v="34"/>
    <d v="2020-02-03T00:00:00"/>
    <x v="0"/>
    <s v="Q1"/>
    <x v="1"/>
    <n v="2"/>
    <n v="1313"/>
    <x v="3"/>
    <x v="3"/>
    <n v="1"/>
    <n v="274.95999999999998"/>
    <n v="0.27"/>
    <n v="200.7208"/>
    <n v="200.72"/>
    <x v="1"/>
    <n v="9"/>
    <n v="3"/>
  </r>
  <r>
    <n v="35"/>
    <d v="2020-02-04T00:00:00"/>
    <x v="0"/>
    <s v="Q1"/>
    <x v="1"/>
    <n v="2"/>
    <n v="1021"/>
    <x v="2"/>
    <x v="2"/>
    <n v="2"/>
    <n v="511.91"/>
    <n v="0.19"/>
    <n v="414.64710000000002"/>
    <n v="829.29"/>
    <x v="2"/>
    <n v="9"/>
    <n v="1.5"/>
  </r>
  <r>
    <n v="36"/>
    <d v="2020-02-05T00:00:00"/>
    <x v="0"/>
    <s v="Q1"/>
    <x v="1"/>
    <n v="2"/>
    <n v="1252"/>
    <x v="2"/>
    <x v="2"/>
    <n v="4"/>
    <n v="375.27"/>
    <n v="0.02"/>
    <n v="367.76459999999997"/>
    <n v="1471.06"/>
    <x v="2"/>
    <n v="11"/>
    <n v="3.9"/>
  </r>
  <r>
    <n v="37"/>
    <d v="2020-02-06T00:00:00"/>
    <x v="0"/>
    <s v="Q1"/>
    <x v="1"/>
    <n v="2"/>
    <n v="1747"/>
    <x v="1"/>
    <x v="0"/>
    <n v="3"/>
    <n v="186.01"/>
    <n v="0.13"/>
    <n v="161.8287"/>
    <n v="485.49"/>
    <x v="1"/>
    <n v="4"/>
    <n v="4.4000000000000004"/>
  </r>
  <r>
    <n v="38"/>
    <d v="2020-02-07T00:00:00"/>
    <x v="0"/>
    <s v="Q1"/>
    <x v="1"/>
    <n v="2"/>
    <n v="1856"/>
    <x v="2"/>
    <x v="3"/>
    <n v="6"/>
    <n v="261.14"/>
    <n v="0.31"/>
    <n v="180.1866"/>
    <n v="1081.1199999999999"/>
    <x v="1"/>
    <n v="6"/>
    <n v="3.5"/>
  </r>
  <r>
    <n v="39"/>
    <d v="2020-02-08T00:00:00"/>
    <x v="0"/>
    <s v="Q1"/>
    <x v="1"/>
    <n v="2"/>
    <n v="1560"/>
    <x v="2"/>
    <x v="1"/>
    <n v="1"/>
    <n v="428.42"/>
    <n v="0.26"/>
    <n v="317.0308"/>
    <n v="317.02999999999997"/>
    <x v="2"/>
    <n v="10"/>
    <n v="1.7"/>
  </r>
  <r>
    <n v="40"/>
    <d v="2020-02-09T00:00:00"/>
    <x v="0"/>
    <s v="Q1"/>
    <x v="1"/>
    <n v="2"/>
    <n v="1474"/>
    <x v="3"/>
    <x v="3"/>
    <n v="7"/>
    <n v="584.36"/>
    <n v="0.11"/>
    <n v="520.08040000000005"/>
    <n v="3640.56"/>
    <x v="1"/>
    <n v="6"/>
    <n v="1.3"/>
  </r>
  <r>
    <n v="41"/>
    <d v="2020-02-10T00:00:00"/>
    <x v="0"/>
    <s v="Q1"/>
    <x v="1"/>
    <n v="2"/>
    <n v="1058"/>
    <x v="2"/>
    <x v="3"/>
    <n v="4"/>
    <n v="537.49"/>
    <n v="0.33"/>
    <n v="360.11829999999998"/>
    <n v="1440.47"/>
    <x v="1"/>
    <n v="5"/>
    <n v="2.2000000000000002"/>
  </r>
  <r>
    <n v="42"/>
    <d v="2020-02-11T00:00:00"/>
    <x v="0"/>
    <s v="Q1"/>
    <x v="1"/>
    <n v="2"/>
    <n v="1510"/>
    <x v="3"/>
    <x v="2"/>
    <n v="4"/>
    <n v="215.32"/>
    <n v="0.03"/>
    <n v="208.8604"/>
    <n v="835.44"/>
    <x v="1"/>
    <n v="2"/>
    <n v="1.1000000000000001"/>
  </r>
  <r>
    <n v="43"/>
    <d v="2020-02-12T00:00:00"/>
    <x v="0"/>
    <s v="Q1"/>
    <x v="1"/>
    <n v="2"/>
    <n v="1681"/>
    <x v="2"/>
    <x v="0"/>
    <n v="4"/>
    <n v="598.95000000000005"/>
    <n v="0.34"/>
    <n v="395.30700000000002"/>
    <n v="1581.23"/>
    <x v="1"/>
    <n v="7"/>
    <n v="4.4000000000000004"/>
  </r>
  <r>
    <n v="44"/>
    <d v="2020-02-13T00:00:00"/>
    <x v="0"/>
    <s v="Q1"/>
    <x v="1"/>
    <n v="2"/>
    <n v="1475"/>
    <x v="2"/>
    <x v="3"/>
    <n v="1"/>
    <n v="17.05"/>
    <n v="0.09"/>
    <n v="15.515500000000001"/>
    <n v="15.52"/>
    <x v="1"/>
    <n v="1"/>
    <n v="3.8"/>
  </r>
  <r>
    <n v="45"/>
    <d v="2020-02-14T00:00:00"/>
    <x v="0"/>
    <s v="Q1"/>
    <x v="1"/>
    <n v="2"/>
    <n v="1699"/>
    <x v="3"/>
    <x v="1"/>
    <n v="3"/>
    <n v="31.16"/>
    <n v="0"/>
    <n v="31.16"/>
    <n v="93.48"/>
    <x v="0"/>
    <n v="6"/>
    <n v="3.3"/>
  </r>
  <r>
    <n v="46"/>
    <d v="2020-02-15T00:00:00"/>
    <x v="0"/>
    <s v="Q1"/>
    <x v="1"/>
    <n v="2"/>
    <n v="1975"/>
    <x v="2"/>
    <x v="3"/>
    <n v="6"/>
    <n v="496.95"/>
    <n v="0.15"/>
    <n v="422.40750000000003"/>
    <n v="2534.44"/>
    <x v="2"/>
    <n v="5"/>
    <n v="4.5999999999999996"/>
  </r>
  <r>
    <n v="47"/>
    <d v="2020-02-16T00:00:00"/>
    <x v="0"/>
    <s v="Q1"/>
    <x v="1"/>
    <n v="2"/>
    <n v="1782"/>
    <x v="2"/>
    <x v="1"/>
    <n v="4"/>
    <n v="131.69"/>
    <n v="0.13"/>
    <n v="114.5703"/>
    <n v="458.28"/>
    <x v="2"/>
    <n v="5"/>
    <n v="1.4"/>
  </r>
  <r>
    <n v="48"/>
    <d v="2020-02-17T00:00:00"/>
    <x v="0"/>
    <s v="Q1"/>
    <x v="1"/>
    <n v="2"/>
    <n v="1189"/>
    <x v="1"/>
    <x v="2"/>
    <n v="1"/>
    <n v="50.55"/>
    <n v="0.19"/>
    <n v="40.945499999999996"/>
    <n v="40.950000000000003"/>
    <x v="1"/>
    <n v="8"/>
    <n v="3.9"/>
  </r>
  <r>
    <n v="49"/>
    <d v="2020-02-18T00:00:00"/>
    <x v="0"/>
    <s v="Q1"/>
    <x v="1"/>
    <n v="2"/>
    <n v="1957"/>
    <x v="2"/>
    <x v="0"/>
    <n v="7"/>
    <n v="153.72999999999999"/>
    <n v="0.28000000000000003"/>
    <n v="110.68559999999999"/>
    <n v="774.8"/>
    <x v="1"/>
    <n v="9"/>
    <n v="1.6"/>
  </r>
  <r>
    <n v="50"/>
    <d v="2020-02-19T00:00:00"/>
    <x v="0"/>
    <s v="Q1"/>
    <x v="1"/>
    <n v="2"/>
    <n v="1686"/>
    <x v="3"/>
    <x v="3"/>
    <n v="2"/>
    <n v="264.27"/>
    <n v="0.28999999999999998"/>
    <n v="187.6317"/>
    <n v="375.26"/>
    <x v="0"/>
    <n v="7"/>
    <n v="1.2"/>
  </r>
  <r>
    <n v="51"/>
    <d v="2020-02-20T00:00:00"/>
    <x v="0"/>
    <s v="Q1"/>
    <x v="1"/>
    <n v="2"/>
    <n v="1957"/>
    <x v="2"/>
    <x v="0"/>
    <n v="7"/>
    <n v="442.38"/>
    <n v="0.14000000000000001"/>
    <n v="380.4468"/>
    <n v="2663.13"/>
    <x v="2"/>
    <n v="10"/>
    <n v="1.5"/>
  </r>
  <r>
    <n v="52"/>
    <d v="2020-02-21T00:00:00"/>
    <x v="0"/>
    <s v="Q1"/>
    <x v="1"/>
    <n v="2"/>
    <n v="1562"/>
    <x v="3"/>
    <x v="3"/>
    <n v="1"/>
    <n v="380.24"/>
    <n v="0.15"/>
    <n v="323.20400000000001"/>
    <n v="323.2"/>
    <x v="1"/>
    <n v="8"/>
    <n v="4.8"/>
  </r>
  <r>
    <n v="53"/>
    <d v="2020-02-22T00:00:00"/>
    <x v="0"/>
    <s v="Q1"/>
    <x v="1"/>
    <n v="2"/>
    <n v="1875"/>
    <x v="0"/>
    <x v="1"/>
    <n v="1"/>
    <n v="154.01"/>
    <n v="0.05"/>
    <n v="146.30949999999999"/>
    <n v="146.31"/>
    <x v="1"/>
    <n v="2"/>
    <n v="2.8"/>
  </r>
  <r>
    <n v="54"/>
    <d v="2020-02-23T00:00:00"/>
    <x v="0"/>
    <s v="Q1"/>
    <x v="1"/>
    <n v="2"/>
    <n v="1566"/>
    <x v="1"/>
    <x v="0"/>
    <n v="1"/>
    <n v="309.41000000000003"/>
    <n v="0.02"/>
    <n v="303.22180000000003"/>
    <n v="303.22000000000003"/>
    <x v="2"/>
    <n v="2"/>
    <n v="1.2"/>
  </r>
  <r>
    <n v="55"/>
    <d v="2020-02-24T00:00:00"/>
    <x v="0"/>
    <s v="Q1"/>
    <x v="1"/>
    <n v="2"/>
    <n v="1243"/>
    <x v="0"/>
    <x v="3"/>
    <n v="4"/>
    <n v="556.84"/>
    <n v="0.22"/>
    <n v="434.33520000000004"/>
    <n v="1737.34"/>
    <x v="0"/>
    <n v="8"/>
    <n v="3.3"/>
  </r>
  <r>
    <n v="56"/>
    <d v="2020-02-25T00:00:00"/>
    <x v="0"/>
    <s v="Q1"/>
    <x v="1"/>
    <n v="2"/>
    <n v="1831"/>
    <x v="1"/>
    <x v="2"/>
    <n v="1"/>
    <n v="491.78"/>
    <n v="0.02"/>
    <n v="481.94439999999997"/>
    <n v="481.94"/>
    <x v="1"/>
    <n v="6"/>
    <n v="1.8"/>
  </r>
  <r>
    <n v="57"/>
    <d v="2020-02-26T00:00:00"/>
    <x v="0"/>
    <s v="Q1"/>
    <x v="1"/>
    <n v="2"/>
    <n v="1504"/>
    <x v="0"/>
    <x v="1"/>
    <n v="2"/>
    <n v="204.07"/>
    <n v="0.26"/>
    <n v="151.01179999999999"/>
    <n v="302.02"/>
    <x v="2"/>
    <n v="8"/>
    <n v="1"/>
  </r>
  <r>
    <n v="58"/>
    <d v="2020-02-27T00:00:00"/>
    <x v="0"/>
    <s v="Q1"/>
    <x v="1"/>
    <n v="2"/>
    <n v="1130"/>
    <x v="2"/>
    <x v="0"/>
    <n v="4"/>
    <n v="589.62"/>
    <n v="0.19"/>
    <n v="477.59219999999999"/>
    <n v="1910.37"/>
    <x v="2"/>
    <n v="9"/>
    <n v="4"/>
  </r>
  <r>
    <n v="59"/>
    <d v="2020-02-28T00:00:00"/>
    <x v="0"/>
    <s v="Q1"/>
    <x v="1"/>
    <n v="2"/>
    <n v="1484"/>
    <x v="3"/>
    <x v="3"/>
    <n v="7"/>
    <n v="429.54"/>
    <n v="7.0000000000000007E-2"/>
    <n v="399.47220000000004"/>
    <n v="2796.31"/>
    <x v="0"/>
    <n v="9"/>
    <n v="1.6"/>
  </r>
  <r>
    <n v="60"/>
    <d v="2020-02-29T00:00:00"/>
    <x v="0"/>
    <s v="Q1"/>
    <x v="1"/>
    <n v="2"/>
    <n v="1818"/>
    <x v="1"/>
    <x v="0"/>
    <n v="2"/>
    <n v="51.53"/>
    <n v="0.19"/>
    <n v="41.7393"/>
    <n v="83.48"/>
    <x v="0"/>
    <n v="11"/>
    <n v="4.8"/>
  </r>
  <r>
    <n v="61"/>
    <d v="2020-03-01T00:00:00"/>
    <x v="0"/>
    <s v="Q1"/>
    <x v="2"/>
    <n v="3"/>
    <n v="1646"/>
    <x v="1"/>
    <x v="3"/>
    <n v="5"/>
    <n v="35.57"/>
    <n v="0.06"/>
    <n v="33.4358"/>
    <n v="167.18"/>
    <x v="1"/>
    <n v="6"/>
    <n v="3.4"/>
  </r>
  <r>
    <n v="62"/>
    <d v="2020-03-02T00:00:00"/>
    <x v="0"/>
    <s v="Q1"/>
    <x v="2"/>
    <n v="3"/>
    <n v="1020"/>
    <x v="1"/>
    <x v="1"/>
    <n v="7"/>
    <n v="113.52"/>
    <n v="0.15"/>
    <n v="96.49199999999999"/>
    <n v="675.44"/>
    <x v="2"/>
    <n v="8"/>
    <n v="1.3"/>
  </r>
  <r>
    <n v="63"/>
    <d v="2020-03-03T00:00:00"/>
    <x v="0"/>
    <s v="Q1"/>
    <x v="2"/>
    <n v="3"/>
    <n v="1840"/>
    <x v="3"/>
    <x v="2"/>
    <n v="1"/>
    <n v="440.8"/>
    <n v="0.28000000000000003"/>
    <n v="317.37599999999998"/>
    <n v="317.38"/>
    <x v="2"/>
    <n v="2"/>
    <n v="1.9"/>
  </r>
  <r>
    <n v="64"/>
    <d v="2020-03-04T00:00:00"/>
    <x v="0"/>
    <s v="Q1"/>
    <x v="2"/>
    <n v="3"/>
    <n v="1166"/>
    <x v="2"/>
    <x v="1"/>
    <n v="6"/>
    <n v="122.49"/>
    <n v="0.16"/>
    <n v="102.8916"/>
    <n v="617.35"/>
    <x v="2"/>
    <n v="8"/>
    <n v="3.4"/>
  </r>
  <r>
    <n v="65"/>
    <d v="2020-03-05T00:00:00"/>
    <x v="0"/>
    <s v="Q1"/>
    <x v="2"/>
    <n v="3"/>
    <n v="1273"/>
    <x v="2"/>
    <x v="0"/>
    <n v="6"/>
    <n v="314.22000000000003"/>
    <n v="0.05"/>
    <n v="298.50900000000001"/>
    <n v="1791.05"/>
    <x v="0"/>
    <n v="3"/>
    <n v="2.4"/>
  </r>
  <r>
    <n v="66"/>
    <d v="2020-03-06T00:00:00"/>
    <x v="0"/>
    <s v="Q1"/>
    <x v="2"/>
    <n v="3"/>
    <n v="1387"/>
    <x v="3"/>
    <x v="0"/>
    <n v="4"/>
    <n v="69.56"/>
    <n v="0.25"/>
    <n v="52.17"/>
    <n v="208.68"/>
    <x v="0"/>
    <n v="1"/>
    <n v="3.1"/>
  </r>
  <r>
    <n v="67"/>
    <d v="2020-03-07T00:00:00"/>
    <x v="0"/>
    <s v="Q1"/>
    <x v="2"/>
    <n v="3"/>
    <n v="1600"/>
    <x v="3"/>
    <x v="3"/>
    <n v="6"/>
    <n v="553.72"/>
    <n v="7.0000000000000007E-2"/>
    <n v="514.95960000000002"/>
    <n v="3089.76"/>
    <x v="1"/>
    <n v="7"/>
    <n v="4.2"/>
  </r>
  <r>
    <n v="68"/>
    <d v="2020-03-08T00:00:00"/>
    <x v="0"/>
    <s v="Q1"/>
    <x v="2"/>
    <n v="3"/>
    <n v="1315"/>
    <x v="0"/>
    <x v="1"/>
    <n v="7"/>
    <n v="216.22"/>
    <n v="0.26"/>
    <n v="160.00280000000001"/>
    <n v="1120.02"/>
    <x v="1"/>
    <n v="1"/>
    <n v="4.2"/>
  </r>
  <r>
    <n v="69"/>
    <d v="2020-03-09T00:00:00"/>
    <x v="0"/>
    <s v="Q1"/>
    <x v="2"/>
    <n v="3"/>
    <n v="1013"/>
    <x v="3"/>
    <x v="3"/>
    <n v="4"/>
    <n v="546.26"/>
    <n v="0.17"/>
    <n v="453.39580000000001"/>
    <n v="1813.58"/>
    <x v="2"/>
    <n v="11"/>
    <n v="3.8"/>
  </r>
  <r>
    <n v="70"/>
    <d v="2020-03-10T00:00:00"/>
    <x v="0"/>
    <s v="Q1"/>
    <x v="2"/>
    <n v="3"/>
    <n v="1241"/>
    <x v="0"/>
    <x v="1"/>
    <n v="7"/>
    <n v="567.75"/>
    <n v="0.16"/>
    <n v="476.90999999999997"/>
    <n v="3338.37"/>
    <x v="1"/>
    <n v="1"/>
    <n v="4.5"/>
  </r>
  <r>
    <n v="71"/>
    <d v="2020-03-11T00:00:00"/>
    <x v="0"/>
    <s v="Q1"/>
    <x v="2"/>
    <n v="3"/>
    <n v="1776"/>
    <x v="3"/>
    <x v="0"/>
    <n v="1"/>
    <n v="18.59"/>
    <n v="0.3"/>
    <n v="13.013"/>
    <n v="13.01"/>
    <x v="1"/>
    <n v="1"/>
    <n v="1.8"/>
  </r>
  <r>
    <n v="72"/>
    <d v="2020-03-12T00:00:00"/>
    <x v="0"/>
    <s v="Q1"/>
    <x v="2"/>
    <n v="3"/>
    <n v="1345"/>
    <x v="2"/>
    <x v="3"/>
    <n v="3"/>
    <n v="286.52"/>
    <n v="0.25"/>
    <n v="214.89"/>
    <n v="644.66999999999996"/>
    <x v="1"/>
    <n v="4"/>
    <n v="1.7"/>
  </r>
  <r>
    <n v="73"/>
    <d v="2020-03-13T00:00:00"/>
    <x v="0"/>
    <s v="Q1"/>
    <x v="2"/>
    <n v="3"/>
    <n v="1564"/>
    <x v="2"/>
    <x v="3"/>
    <n v="3"/>
    <n v="29.42"/>
    <n v="0.01"/>
    <n v="29.125800000000002"/>
    <n v="87.38"/>
    <x v="0"/>
    <n v="4"/>
    <n v="4.2"/>
  </r>
  <r>
    <n v="74"/>
    <d v="2020-03-14T00:00:00"/>
    <x v="0"/>
    <s v="Q1"/>
    <x v="2"/>
    <n v="3"/>
    <n v="1897"/>
    <x v="3"/>
    <x v="1"/>
    <n v="2"/>
    <n v="546.59"/>
    <n v="0.1"/>
    <n v="491.93100000000004"/>
    <n v="983.86"/>
    <x v="1"/>
    <n v="10"/>
    <n v="2.2999999999999998"/>
  </r>
  <r>
    <n v="75"/>
    <d v="2020-03-15T00:00:00"/>
    <x v="0"/>
    <s v="Q1"/>
    <x v="2"/>
    <n v="3"/>
    <n v="1339"/>
    <x v="1"/>
    <x v="2"/>
    <n v="1"/>
    <n v="318.27"/>
    <n v="0.3"/>
    <n v="222.78899999999999"/>
    <n v="222.79"/>
    <x v="2"/>
    <n v="11"/>
    <n v="3"/>
  </r>
  <r>
    <n v="76"/>
    <d v="2020-03-16T00:00:00"/>
    <x v="0"/>
    <s v="Q1"/>
    <x v="2"/>
    <n v="3"/>
    <n v="1091"/>
    <x v="2"/>
    <x v="1"/>
    <n v="6"/>
    <n v="58.84"/>
    <n v="0.01"/>
    <n v="58.251600000000003"/>
    <n v="349.51"/>
    <x v="1"/>
    <n v="6"/>
    <n v="4"/>
  </r>
  <r>
    <n v="77"/>
    <d v="2020-03-17T00:00:00"/>
    <x v="0"/>
    <s v="Q1"/>
    <x v="2"/>
    <n v="3"/>
    <n v="1366"/>
    <x v="1"/>
    <x v="2"/>
    <n v="1"/>
    <n v="79.510000000000005"/>
    <n v="0.19"/>
    <n v="64.403100000000009"/>
    <n v="64.400000000000006"/>
    <x v="1"/>
    <n v="10"/>
    <n v="2.6"/>
  </r>
  <r>
    <n v="78"/>
    <d v="2020-03-18T00:00:00"/>
    <x v="0"/>
    <s v="Q1"/>
    <x v="2"/>
    <n v="3"/>
    <n v="1955"/>
    <x v="0"/>
    <x v="1"/>
    <n v="5"/>
    <n v="239.35"/>
    <n v="0.25"/>
    <n v="179.51249999999999"/>
    <n v="897.56"/>
    <x v="1"/>
    <n v="3"/>
    <n v="1.5"/>
  </r>
  <r>
    <n v="79"/>
    <d v="2020-03-19T00:00:00"/>
    <x v="0"/>
    <s v="Q1"/>
    <x v="2"/>
    <n v="3"/>
    <n v="1454"/>
    <x v="1"/>
    <x v="0"/>
    <n v="3"/>
    <n v="565.04"/>
    <n v="0.22"/>
    <n v="440.73119999999994"/>
    <n v="1322.19"/>
    <x v="1"/>
    <n v="10"/>
    <n v="3.7"/>
  </r>
  <r>
    <n v="80"/>
    <d v="2020-03-20T00:00:00"/>
    <x v="0"/>
    <s v="Q1"/>
    <x v="2"/>
    <n v="3"/>
    <n v="1427"/>
    <x v="1"/>
    <x v="3"/>
    <n v="6"/>
    <n v="420.35"/>
    <n v="0.27"/>
    <n v="306.85550000000001"/>
    <n v="1841.13"/>
    <x v="0"/>
    <n v="6"/>
    <n v="4.3"/>
  </r>
  <r>
    <n v="81"/>
    <d v="2020-03-21T00:00:00"/>
    <x v="0"/>
    <s v="Q1"/>
    <x v="2"/>
    <n v="3"/>
    <n v="1508"/>
    <x v="1"/>
    <x v="1"/>
    <n v="7"/>
    <n v="522.55999999999995"/>
    <n v="0.25"/>
    <n v="391.91999999999996"/>
    <n v="2743.44"/>
    <x v="0"/>
    <n v="7"/>
    <n v="1.1000000000000001"/>
  </r>
  <r>
    <n v="82"/>
    <d v="2020-03-22T00:00:00"/>
    <x v="0"/>
    <s v="Q1"/>
    <x v="2"/>
    <n v="3"/>
    <n v="1775"/>
    <x v="2"/>
    <x v="0"/>
    <n v="7"/>
    <n v="229.38"/>
    <n v="0.24"/>
    <n v="174.3288"/>
    <n v="1220.3"/>
    <x v="2"/>
    <n v="11"/>
    <n v="3.3"/>
  </r>
  <r>
    <n v="83"/>
    <d v="2020-03-23T00:00:00"/>
    <x v="0"/>
    <s v="Q1"/>
    <x v="2"/>
    <n v="3"/>
    <n v="1942"/>
    <x v="1"/>
    <x v="1"/>
    <n v="3"/>
    <n v="40.28"/>
    <n v="0.28999999999999998"/>
    <n v="28.598800000000004"/>
    <n v="85.8"/>
    <x v="1"/>
    <n v="1"/>
    <n v="2.9"/>
  </r>
  <r>
    <n v="84"/>
    <d v="2020-03-24T00:00:00"/>
    <x v="0"/>
    <s v="Q1"/>
    <x v="2"/>
    <n v="3"/>
    <n v="1034"/>
    <x v="1"/>
    <x v="3"/>
    <n v="1"/>
    <n v="584.98"/>
    <n v="0.23"/>
    <n v="450.43460000000005"/>
    <n v="450.43"/>
    <x v="2"/>
    <n v="6"/>
    <n v="2"/>
  </r>
  <r>
    <n v="85"/>
    <d v="2020-03-25T00:00:00"/>
    <x v="0"/>
    <s v="Q1"/>
    <x v="2"/>
    <n v="3"/>
    <n v="1205"/>
    <x v="2"/>
    <x v="1"/>
    <n v="6"/>
    <n v="25.05"/>
    <n v="0.14000000000000001"/>
    <n v="21.542999999999999"/>
    <n v="129.26"/>
    <x v="1"/>
    <n v="10"/>
    <n v="1.6"/>
  </r>
  <r>
    <n v="86"/>
    <d v="2020-03-26T00:00:00"/>
    <x v="0"/>
    <s v="Q1"/>
    <x v="2"/>
    <n v="3"/>
    <n v="1080"/>
    <x v="3"/>
    <x v="2"/>
    <n v="2"/>
    <n v="569.38"/>
    <n v="0.17"/>
    <n v="472.58539999999999"/>
    <n v="945.17"/>
    <x v="1"/>
    <n v="1"/>
    <n v="1.8"/>
  </r>
  <r>
    <n v="87"/>
    <d v="2020-03-27T00:00:00"/>
    <x v="0"/>
    <s v="Q1"/>
    <x v="2"/>
    <n v="3"/>
    <n v="1931"/>
    <x v="1"/>
    <x v="3"/>
    <n v="7"/>
    <n v="230.68"/>
    <n v="0.25"/>
    <n v="173.01"/>
    <n v="1211.07"/>
    <x v="2"/>
    <n v="7"/>
    <n v="3.9"/>
  </r>
  <r>
    <n v="88"/>
    <d v="2020-03-28T00:00:00"/>
    <x v="0"/>
    <s v="Q1"/>
    <x v="2"/>
    <n v="3"/>
    <n v="1561"/>
    <x v="3"/>
    <x v="2"/>
    <n v="1"/>
    <n v="20.9"/>
    <n v="0.31"/>
    <n v="14.420999999999999"/>
    <n v="14.42"/>
    <x v="2"/>
    <n v="10"/>
    <n v="3.1"/>
  </r>
  <r>
    <n v="89"/>
    <d v="2020-03-29T00:00:00"/>
    <x v="0"/>
    <s v="Q1"/>
    <x v="2"/>
    <n v="3"/>
    <n v="1871"/>
    <x v="0"/>
    <x v="0"/>
    <n v="2"/>
    <n v="418.16"/>
    <n v="0.1"/>
    <n v="376.34400000000005"/>
    <n v="752.69"/>
    <x v="1"/>
    <n v="5"/>
    <n v="4.9000000000000004"/>
  </r>
  <r>
    <n v="90"/>
    <d v="2020-03-30T00:00:00"/>
    <x v="0"/>
    <s v="Q1"/>
    <x v="2"/>
    <n v="3"/>
    <n v="1387"/>
    <x v="2"/>
    <x v="0"/>
    <n v="6"/>
    <n v="588.62"/>
    <n v="0.12"/>
    <n v="517.98559999999998"/>
    <n v="3107.91"/>
    <x v="1"/>
    <n v="10"/>
    <n v="2"/>
  </r>
  <r>
    <n v="91"/>
    <d v="2020-03-31T00:00:00"/>
    <x v="0"/>
    <s v="Q1"/>
    <x v="2"/>
    <n v="3"/>
    <n v="1001"/>
    <x v="3"/>
    <x v="1"/>
    <n v="3"/>
    <n v="579.89"/>
    <n v="0.33"/>
    <n v="388.52629999999999"/>
    <n v="1165.58"/>
    <x v="0"/>
    <n v="4"/>
    <n v="4.8"/>
  </r>
  <r>
    <n v="92"/>
    <d v="2020-04-01T00:00:00"/>
    <x v="0"/>
    <s v="Q2"/>
    <x v="3"/>
    <n v="4"/>
    <n v="1389"/>
    <x v="1"/>
    <x v="2"/>
    <n v="5"/>
    <n v="109.15"/>
    <n v="0.2"/>
    <n v="87.320000000000007"/>
    <n v="436.6"/>
    <x v="1"/>
    <n v="1"/>
    <n v="3.1"/>
  </r>
  <r>
    <n v="93"/>
    <d v="2020-04-02T00:00:00"/>
    <x v="0"/>
    <s v="Q2"/>
    <x v="3"/>
    <n v="4"/>
    <n v="1565"/>
    <x v="0"/>
    <x v="2"/>
    <n v="4"/>
    <n v="121.03"/>
    <n v="0.06"/>
    <n v="113.76820000000001"/>
    <n v="455.07"/>
    <x v="0"/>
    <n v="9"/>
    <n v="1.6"/>
  </r>
  <r>
    <n v="94"/>
    <d v="2020-04-03T00:00:00"/>
    <x v="0"/>
    <s v="Q2"/>
    <x v="3"/>
    <n v="4"/>
    <n v="1105"/>
    <x v="2"/>
    <x v="3"/>
    <n v="3"/>
    <n v="345.84"/>
    <n v="0.23"/>
    <n v="266.29679999999996"/>
    <n v="798.89"/>
    <x v="0"/>
    <n v="7"/>
    <n v="1.6"/>
  </r>
  <r>
    <n v="95"/>
    <d v="2020-04-04T00:00:00"/>
    <x v="0"/>
    <s v="Q2"/>
    <x v="3"/>
    <n v="4"/>
    <n v="1771"/>
    <x v="3"/>
    <x v="2"/>
    <n v="2"/>
    <n v="387.82"/>
    <n v="0.35"/>
    <n v="252.083"/>
    <n v="504.17"/>
    <x v="2"/>
    <n v="2"/>
    <n v="3.4"/>
  </r>
  <r>
    <n v="96"/>
    <d v="2020-04-05T00:00:00"/>
    <x v="0"/>
    <s v="Q2"/>
    <x v="3"/>
    <n v="4"/>
    <n v="1821"/>
    <x v="1"/>
    <x v="2"/>
    <n v="1"/>
    <n v="447.56"/>
    <n v="0.28999999999999998"/>
    <n v="317.76760000000002"/>
    <n v="317.77"/>
    <x v="1"/>
    <n v="4"/>
    <n v="4.3"/>
  </r>
  <r>
    <n v="97"/>
    <d v="2020-04-06T00:00:00"/>
    <x v="0"/>
    <s v="Q2"/>
    <x v="3"/>
    <n v="4"/>
    <n v="1476"/>
    <x v="2"/>
    <x v="3"/>
    <n v="7"/>
    <n v="120.91"/>
    <n v="0.26"/>
    <n v="89.473399999999998"/>
    <n v="626.30999999999995"/>
    <x v="2"/>
    <n v="4"/>
    <n v="4"/>
  </r>
  <r>
    <n v="98"/>
    <d v="2020-04-07T00:00:00"/>
    <x v="0"/>
    <s v="Q2"/>
    <x v="3"/>
    <n v="4"/>
    <n v="1702"/>
    <x v="2"/>
    <x v="3"/>
    <n v="6"/>
    <n v="576.02"/>
    <n v="7.0000000000000007E-2"/>
    <n v="535.69859999999994"/>
    <n v="3214.19"/>
    <x v="1"/>
    <n v="8"/>
    <n v="3.6"/>
  </r>
  <r>
    <n v="99"/>
    <d v="2020-04-08T00:00:00"/>
    <x v="0"/>
    <s v="Q2"/>
    <x v="3"/>
    <n v="4"/>
    <n v="1401"/>
    <x v="3"/>
    <x v="2"/>
    <n v="3"/>
    <n v="388.66"/>
    <n v="0.31"/>
    <n v="268.17540000000002"/>
    <n v="804.53"/>
    <x v="1"/>
    <n v="2"/>
    <n v="1.7"/>
  </r>
  <r>
    <n v="100"/>
    <d v="2020-04-09T00:00:00"/>
    <x v="0"/>
    <s v="Q2"/>
    <x v="3"/>
    <n v="4"/>
    <n v="1729"/>
    <x v="3"/>
    <x v="1"/>
    <n v="7"/>
    <n v="510.52"/>
    <n v="0.18"/>
    <n v="418.62639999999999"/>
    <n v="2930.38"/>
    <x v="2"/>
    <n v="11"/>
    <n v="1.4"/>
  </r>
  <r>
    <n v="101"/>
    <d v="2020-04-10T00:00:00"/>
    <x v="0"/>
    <s v="Q2"/>
    <x v="3"/>
    <n v="4"/>
    <n v="1555"/>
    <x v="2"/>
    <x v="3"/>
    <n v="7"/>
    <n v="330.94"/>
    <n v="0.31"/>
    <n v="228.3486"/>
    <n v="1598.44"/>
    <x v="1"/>
    <n v="5"/>
    <n v="1"/>
  </r>
  <r>
    <n v="102"/>
    <d v="2020-04-11T00:00:00"/>
    <x v="0"/>
    <s v="Q2"/>
    <x v="3"/>
    <n v="4"/>
    <n v="1161"/>
    <x v="1"/>
    <x v="3"/>
    <n v="5"/>
    <n v="257.35000000000002"/>
    <n v="0.12"/>
    <n v="226.46800000000002"/>
    <n v="1132.3399999999999"/>
    <x v="1"/>
    <n v="10"/>
    <n v="1.4"/>
  </r>
  <r>
    <n v="103"/>
    <d v="2020-04-12T00:00:00"/>
    <x v="0"/>
    <s v="Q2"/>
    <x v="3"/>
    <n v="4"/>
    <n v="1201"/>
    <x v="1"/>
    <x v="2"/>
    <n v="6"/>
    <n v="586.65"/>
    <n v="0.02"/>
    <n v="574.91700000000003"/>
    <n v="3449.5"/>
    <x v="2"/>
    <n v="8"/>
    <n v="4.0999999999999996"/>
  </r>
  <r>
    <n v="104"/>
    <d v="2020-04-13T00:00:00"/>
    <x v="0"/>
    <s v="Q2"/>
    <x v="3"/>
    <n v="4"/>
    <n v="1957"/>
    <x v="3"/>
    <x v="2"/>
    <n v="2"/>
    <n v="355.54"/>
    <n v="0.17"/>
    <n v="295.09820000000002"/>
    <n v="590.20000000000005"/>
    <x v="2"/>
    <n v="6"/>
    <n v="4.5999999999999996"/>
  </r>
  <r>
    <n v="105"/>
    <d v="2020-04-14T00:00:00"/>
    <x v="0"/>
    <s v="Q2"/>
    <x v="3"/>
    <n v="4"/>
    <n v="1995"/>
    <x v="2"/>
    <x v="3"/>
    <n v="6"/>
    <n v="522.12"/>
    <n v="0.09"/>
    <n v="475.12920000000003"/>
    <n v="2850.78"/>
    <x v="1"/>
    <n v="4"/>
    <n v="2"/>
  </r>
  <r>
    <n v="106"/>
    <d v="2020-04-15T00:00:00"/>
    <x v="0"/>
    <s v="Q2"/>
    <x v="3"/>
    <n v="4"/>
    <n v="1269"/>
    <x v="0"/>
    <x v="2"/>
    <n v="6"/>
    <n v="572.67999999999995"/>
    <n v="0.25"/>
    <n v="429.51"/>
    <n v="2577.06"/>
    <x v="1"/>
    <n v="5"/>
    <n v="4.2"/>
  </r>
  <r>
    <n v="107"/>
    <d v="2020-04-16T00:00:00"/>
    <x v="0"/>
    <s v="Q2"/>
    <x v="3"/>
    <n v="4"/>
    <n v="1862"/>
    <x v="2"/>
    <x v="3"/>
    <n v="1"/>
    <n v="410.08"/>
    <n v="0.33"/>
    <n v="274.75360000000001"/>
    <n v="274.75"/>
    <x v="1"/>
    <n v="2"/>
    <n v="1.8"/>
  </r>
  <r>
    <n v="108"/>
    <d v="2020-04-17T00:00:00"/>
    <x v="0"/>
    <s v="Q2"/>
    <x v="3"/>
    <n v="4"/>
    <n v="1815"/>
    <x v="1"/>
    <x v="1"/>
    <n v="4"/>
    <n v="336.13"/>
    <n v="0.24"/>
    <n v="255.4588"/>
    <n v="1021.84"/>
    <x v="1"/>
    <n v="5"/>
    <n v="2"/>
  </r>
  <r>
    <n v="109"/>
    <d v="2020-04-18T00:00:00"/>
    <x v="0"/>
    <s v="Q2"/>
    <x v="3"/>
    <n v="4"/>
    <n v="1270"/>
    <x v="2"/>
    <x v="1"/>
    <n v="7"/>
    <n v="17.05"/>
    <n v="0.31"/>
    <n v="11.764500000000002"/>
    <n v="82.35"/>
    <x v="2"/>
    <n v="3"/>
    <n v="1.9"/>
  </r>
  <r>
    <n v="110"/>
    <d v="2020-04-19T00:00:00"/>
    <x v="0"/>
    <s v="Q2"/>
    <x v="3"/>
    <n v="4"/>
    <n v="1455"/>
    <x v="2"/>
    <x v="3"/>
    <n v="2"/>
    <n v="38.409999999999997"/>
    <n v="0.16"/>
    <n v="32.264399999999995"/>
    <n v="64.53"/>
    <x v="2"/>
    <n v="3"/>
    <n v="1.2"/>
  </r>
  <r>
    <n v="111"/>
    <d v="2020-04-20T00:00:00"/>
    <x v="0"/>
    <s v="Q2"/>
    <x v="3"/>
    <n v="4"/>
    <n v="1461"/>
    <x v="1"/>
    <x v="3"/>
    <n v="1"/>
    <n v="132.5"/>
    <n v="0.27"/>
    <n v="96.724999999999994"/>
    <n v="96.72"/>
    <x v="2"/>
    <n v="7"/>
    <n v="1.8"/>
  </r>
  <r>
    <n v="112"/>
    <d v="2020-04-21T00:00:00"/>
    <x v="0"/>
    <s v="Q2"/>
    <x v="3"/>
    <n v="4"/>
    <n v="1726"/>
    <x v="2"/>
    <x v="0"/>
    <n v="7"/>
    <n v="123.81"/>
    <n v="0.3"/>
    <n v="86.667000000000002"/>
    <n v="606.66999999999996"/>
    <x v="1"/>
    <n v="3"/>
    <n v="2.5"/>
  </r>
  <r>
    <n v="113"/>
    <d v="2020-04-22T00:00:00"/>
    <x v="0"/>
    <s v="Q2"/>
    <x v="3"/>
    <n v="4"/>
    <n v="1251"/>
    <x v="3"/>
    <x v="0"/>
    <n v="4"/>
    <n v="164.03"/>
    <n v="0.25"/>
    <n v="123.02250000000001"/>
    <n v="492.09"/>
    <x v="1"/>
    <n v="4"/>
    <n v="2.6"/>
  </r>
  <r>
    <n v="114"/>
    <d v="2020-04-23T00:00:00"/>
    <x v="0"/>
    <s v="Q2"/>
    <x v="3"/>
    <n v="4"/>
    <n v="1701"/>
    <x v="2"/>
    <x v="2"/>
    <n v="1"/>
    <n v="193.39"/>
    <n v="0.18"/>
    <n v="158.57979999999998"/>
    <n v="158.58000000000001"/>
    <x v="1"/>
    <n v="7"/>
    <n v="2.2000000000000002"/>
  </r>
  <r>
    <n v="115"/>
    <d v="2020-04-24T00:00:00"/>
    <x v="0"/>
    <s v="Q2"/>
    <x v="3"/>
    <n v="4"/>
    <n v="1295"/>
    <x v="1"/>
    <x v="2"/>
    <n v="4"/>
    <n v="225.64"/>
    <n v="0.22"/>
    <n v="175.99919999999997"/>
    <n v="704"/>
    <x v="1"/>
    <n v="3"/>
    <n v="3.1"/>
  </r>
  <r>
    <n v="116"/>
    <d v="2020-04-25T00:00:00"/>
    <x v="0"/>
    <s v="Q2"/>
    <x v="3"/>
    <n v="4"/>
    <n v="1724"/>
    <x v="2"/>
    <x v="3"/>
    <n v="4"/>
    <n v="261.01"/>
    <n v="0.25"/>
    <n v="195.75749999999999"/>
    <n v="783.03"/>
    <x v="1"/>
    <n v="10"/>
    <n v="2.5"/>
  </r>
  <r>
    <n v="117"/>
    <d v="2020-04-26T00:00:00"/>
    <x v="0"/>
    <s v="Q2"/>
    <x v="3"/>
    <n v="4"/>
    <n v="1719"/>
    <x v="2"/>
    <x v="3"/>
    <n v="4"/>
    <n v="72.84"/>
    <n v="0.09"/>
    <n v="66.284400000000005"/>
    <n v="265.14"/>
    <x v="1"/>
    <n v="10"/>
    <n v="4.9000000000000004"/>
  </r>
  <r>
    <n v="118"/>
    <d v="2020-04-27T00:00:00"/>
    <x v="0"/>
    <s v="Q2"/>
    <x v="3"/>
    <n v="4"/>
    <n v="1748"/>
    <x v="2"/>
    <x v="0"/>
    <n v="1"/>
    <n v="39.78"/>
    <n v="0.28000000000000003"/>
    <n v="28.6416"/>
    <n v="28.64"/>
    <x v="1"/>
    <n v="2"/>
    <n v="4.2"/>
  </r>
  <r>
    <n v="119"/>
    <d v="2020-04-28T00:00:00"/>
    <x v="0"/>
    <s v="Q2"/>
    <x v="3"/>
    <n v="4"/>
    <n v="1337"/>
    <x v="1"/>
    <x v="0"/>
    <n v="6"/>
    <n v="409.26"/>
    <n v="0.33"/>
    <n v="274.20420000000001"/>
    <n v="1645.23"/>
    <x v="2"/>
    <n v="10"/>
    <n v="4.7"/>
  </r>
  <r>
    <n v="120"/>
    <d v="2020-04-29T00:00:00"/>
    <x v="0"/>
    <s v="Q2"/>
    <x v="3"/>
    <n v="4"/>
    <n v="1878"/>
    <x v="1"/>
    <x v="3"/>
    <n v="4"/>
    <n v="329.34"/>
    <n v="0.16"/>
    <n v="276.6456"/>
    <n v="1106.58"/>
    <x v="2"/>
    <n v="7"/>
    <n v="3.2"/>
  </r>
  <r>
    <n v="121"/>
    <d v="2020-04-30T00:00:00"/>
    <x v="0"/>
    <s v="Q2"/>
    <x v="3"/>
    <n v="4"/>
    <n v="1052"/>
    <x v="1"/>
    <x v="1"/>
    <n v="6"/>
    <n v="274.82"/>
    <n v="0.25"/>
    <n v="206.11500000000001"/>
    <n v="1236.69"/>
    <x v="2"/>
    <n v="5"/>
    <n v="3.7"/>
  </r>
  <r>
    <n v="122"/>
    <d v="2020-05-01T00:00:00"/>
    <x v="0"/>
    <s v="Q2"/>
    <x v="4"/>
    <n v="5"/>
    <n v="1791"/>
    <x v="1"/>
    <x v="1"/>
    <n v="7"/>
    <n v="386.15"/>
    <n v="0.26"/>
    <n v="285.75099999999998"/>
    <n v="2000.26"/>
    <x v="1"/>
    <n v="1"/>
    <n v="1.7"/>
  </r>
  <r>
    <n v="123"/>
    <d v="2020-05-02T00:00:00"/>
    <x v="0"/>
    <s v="Q2"/>
    <x v="4"/>
    <n v="5"/>
    <n v="1921"/>
    <x v="1"/>
    <x v="2"/>
    <n v="7"/>
    <n v="499.19"/>
    <n v="0.23"/>
    <n v="384.37630000000001"/>
    <n v="2690.63"/>
    <x v="0"/>
    <n v="10"/>
    <n v="4"/>
  </r>
  <r>
    <n v="124"/>
    <d v="2020-05-03T00:00:00"/>
    <x v="0"/>
    <s v="Q2"/>
    <x v="4"/>
    <n v="5"/>
    <n v="1216"/>
    <x v="2"/>
    <x v="3"/>
    <n v="2"/>
    <n v="265.2"/>
    <n v="0.19"/>
    <n v="214.81199999999998"/>
    <n v="429.62"/>
    <x v="0"/>
    <n v="8"/>
    <n v="1.9"/>
  </r>
  <r>
    <n v="125"/>
    <d v="2020-05-04T00:00:00"/>
    <x v="0"/>
    <s v="Q2"/>
    <x v="4"/>
    <n v="5"/>
    <n v="1763"/>
    <x v="1"/>
    <x v="3"/>
    <n v="5"/>
    <n v="390.05"/>
    <n v="0.31"/>
    <n v="269.1345"/>
    <n v="1345.67"/>
    <x v="1"/>
    <n v="3"/>
    <n v="1.6"/>
  </r>
  <r>
    <n v="126"/>
    <d v="2020-05-05T00:00:00"/>
    <x v="0"/>
    <s v="Q2"/>
    <x v="4"/>
    <n v="5"/>
    <n v="1187"/>
    <x v="0"/>
    <x v="2"/>
    <n v="6"/>
    <n v="572.84"/>
    <n v="0.16"/>
    <n v="481.18560000000002"/>
    <n v="2887.11"/>
    <x v="2"/>
    <n v="11"/>
    <n v="1.2"/>
  </r>
  <r>
    <n v="127"/>
    <d v="2020-05-06T00:00:00"/>
    <x v="0"/>
    <s v="Q2"/>
    <x v="4"/>
    <n v="5"/>
    <n v="1379"/>
    <x v="1"/>
    <x v="0"/>
    <n v="7"/>
    <n v="506.18"/>
    <n v="0.02"/>
    <n v="496.0564"/>
    <n v="3472.39"/>
    <x v="0"/>
    <n v="7"/>
    <n v="2.9"/>
  </r>
  <r>
    <n v="128"/>
    <d v="2020-05-07T00:00:00"/>
    <x v="0"/>
    <s v="Q2"/>
    <x v="4"/>
    <n v="5"/>
    <n v="1492"/>
    <x v="3"/>
    <x v="0"/>
    <n v="5"/>
    <n v="264.20999999999998"/>
    <n v="0.3"/>
    <n v="184.947"/>
    <n v="924.73"/>
    <x v="2"/>
    <n v="6"/>
    <n v="2.1"/>
  </r>
  <r>
    <n v="129"/>
    <d v="2020-05-08T00:00:00"/>
    <x v="0"/>
    <s v="Q2"/>
    <x v="4"/>
    <n v="5"/>
    <n v="1040"/>
    <x v="2"/>
    <x v="1"/>
    <n v="4"/>
    <n v="392.16"/>
    <n v="0.24"/>
    <n v="298.04160000000002"/>
    <n v="1192.17"/>
    <x v="1"/>
    <n v="10"/>
    <n v="4.9000000000000004"/>
  </r>
  <r>
    <n v="130"/>
    <d v="2020-05-09T00:00:00"/>
    <x v="0"/>
    <s v="Q2"/>
    <x v="4"/>
    <n v="5"/>
    <n v="1156"/>
    <x v="3"/>
    <x v="3"/>
    <n v="5"/>
    <n v="118.59"/>
    <n v="0.3"/>
    <n v="83.013000000000005"/>
    <n v="415.06"/>
    <x v="2"/>
    <n v="6"/>
    <n v="2"/>
  </r>
  <r>
    <n v="131"/>
    <d v="2020-05-10T00:00:00"/>
    <x v="0"/>
    <s v="Q2"/>
    <x v="4"/>
    <n v="5"/>
    <n v="1014"/>
    <x v="3"/>
    <x v="0"/>
    <n v="5"/>
    <n v="342.91"/>
    <n v="0.05"/>
    <n v="325.7645"/>
    <n v="1628.82"/>
    <x v="2"/>
    <n v="8"/>
    <n v="4.5"/>
  </r>
  <r>
    <n v="132"/>
    <d v="2020-05-11T00:00:00"/>
    <x v="0"/>
    <s v="Q2"/>
    <x v="4"/>
    <n v="5"/>
    <n v="1812"/>
    <x v="1"/>
    <x v="1"/>
    <n v="4"/>
    <n v="589.08000000000004"/>
    <n v="0.01"/>
    <n v="583.18920000000003"/>
    <n v="2332.7600000000002"/>
    <x v="1"/>
    <n v="4"/>
    <n v="2.2999999999999998"/>
  </r>
  <r>
    <n v="133"/>
    <d v="2020-05-12T00:00:00"/>
    <x v="0"/>
    <s v="Q2"/>
    <x v="4"/>
    <n v="5"/>
    <n v="1064"/>
    <x v="0"/>
    <x v="1"/>
    <n v="6"/>
    <n v="318.20999999999998"/>
    <n v="0.33"/>
    <n v="213.20069999999998"/>
    <n v="1279.2"/>
    <x v="0"/>
    <n v="4"/>
    <n v="4"/>
  </r>
  <r>
    <n v="134"/>
    <d v="2020-05-13T00:00:00"/>
    <x v="0"/>
    <s v="Q2"/>
    <x v="4"/>
    <n v="5"/>
    <n v="1856"/>
    <x v="2"/>
    <x v="1"/>
    <n v="4"/>
    <n v="557.66999999999996"/>
    <n v="0.05"/>
    <n v="529.78649999999993"/>
    <n v="2119.15"/>
    <x v="2"/>
    <n v="3"/>
    <n v="3.6"/>
  </r>
  <r>
    <n v="135"/>
    <d v="2020-05-14T00:00:00"/>
    <x v="0"/>
    <s v="Q2"/>
    <x v="4"/>
    <n v="5"/>
    <n v="1838"/>
    <x v="2"/>
    <x v="0"/>
    <n v="2"/>
    <n v="253.29"/>
    <n v="0.28000000000000003"/>
    <n v="182.36879999999999"/>
    <n v="364.74"/>
    <x v="1"/>
    <n v="1"/>
    <n v="3.2"/>
  </r>
  <r>
    <n v="136"/>
    <d v="2020-05-15T00:00:00"/>
    <x v="0"/>
    <s v="Q2"/>
    <x v="4"/>
    <n v="5"/>
    <n v="1520"/>
    <x v="3"/>
    <x v="0"/>
    <n v="3"/>
    <n v="599.32000000000005"/>
    <n v="0.28999999999999998"/>
    <n v="425.51720000000006"/>
    <n v="1276.55"/>
    <x v="2"/>
    <n v="10"/>
    <n v="2.7"/>
  </r>
  <r>
    <n v="137"/>
    <d v="2020-05-16T00:00:00"/>
    <x v="0"/>
    <s v="Q2"/>
    <x v="4"/>
    <n v="5"/>
    <n v="1343"/>
    <x v="3"/>
    <x v="3"/>
    <n v="1"/>
    <n v="353.84"/>
    <n v="0.25"/>
    <n v="265.38"/>
    <n v="265.38"/>
    <x v="2"/>
    <n v="3"/>
    <n v="3.7"/>
  </r>
  <r>
    <n v="138"/>
    <d v="2020-05-17T00:00:00"/>
    <x v="0"/>
    <s v="Q2"/>
    <x v="4"/>
    <n v="5"/>
    <n v="1128"/>
    <x v="2"/>
    <x v="3"/>
    <n v="4"/>
    <n v="39.729999999999997"/>
    <n v="0.05"/>
    <n v="37.743499999999997"/>
    <n v="150.97"/>
    <x v="1"/>
    <n v="1"/>
    <n v="2.6"/>
  </r>
  <r>
    <n v="139"/>
    <d v="2020-05-18T00:00:00"/>
    <x v="0"/>
    <s v="Q2"/>
    <x v="4"/>
    <n v="5"/>
    <n v="1647"/>
    <x v="2"/>
    <x v="1"/>
    <n v="4"/>
    <n v="358.25"/>
    <n v="0.23"/>
    <n v="275.85249999999996"/>
    <n v="1103.4100000000001"/>
    <x v="1"/>
    <n v="6"/>
    <n v="3.2"/>
  </r>
  <r>
    <n v="140"/>
    <d v="2020-05-19T00:00:00"/>
    <x v="0"/>
    <s v="Q2"/>
    <x v="4"/>
    <n v="5"/>
    <n v="1471"/>
    <x v="2"/>
    <x v="1"/>
    <n v="5"/>
    <n v="175.63"/>
    <n v="0.31"/>
    <n v="121.18469999999999"/>
    <n v="605.91999999999996"/>
    <x v="0"/>
    <n v="8"/>
    <n v="3.4"/>
  </r>
  <r>
    <n v="141"/>
    <d v="2020-05-20T00:00:00"/>
    <x v="0"/>
    <s v="Q2"/>
    <x v="4"/>
    <n v="5"/>
    <n v="1062"/>
    <x v="2"/>
    <x v="0"/>
    <n v="2"/>
    <n v="34"/>
    <n v="0.15"/>
    <n v="28.9"/>
    <n v="57.8"/>
    <x v="2"/>
    <n v="3"/>
    <n v="2.1"/>
  </r>
  <r>
    <n v="142"/>
    <d v="2020-05-21T00:00:00"/>
    <x v="0"/>
    <s v="Q2"/>
    <x v="4"/>
    <n v="5"/>
    <n v="1138"/>
    <x v="3"/>
    <x v="0"/>
    <n v="7"/>
    <n v="495.2"/>
    <n v="0.14000000000000001"/>
    <n v="425.87199999999996"/>
    <n v="2981.1"/>
    <x v="1"/>
    <n v="4"/>
    <n v="2.4"/>
  </r>
  <r>
    <n v="143"/>
    <d v="2020-05-22T00:00:00"/>
    <x v="0"/>
    <s v="Q2"/>
    <x v="4"/>
    <n v="5"/>
    <n v="1498"/>
    <x v="1"/>
    <x v="3"/>
    <n v="7"/>
    <n v="176.3"/>
    <n v="0.16"/>
    <n v="148.09200000000001"/>
    <n v="1036.6400000000001"/>
    <x v="1"/>
    <n v="5"/>
    <n v="1.1000000000000001"/>
  </r>
  <r>
    <n v="144"/>
    <d v="2020-05-23T00:00:00"/>
    <x v="0"/>
    <s v="Q2"/>
    <x v="4"/>
    <n v="5"/>
    <n v="1592"/>
    <x v="2"/>
    <x v="3"/>
    <n v="5"/>
    <n v="480.98"/>
    <n v="0.03"/>
    <n v="466.55060000000003"/>
    <n v="2332.75"/>
    <x v="2"/>
    <n v="7"/>
    <n v="4.4000000000000004"/>
  </r>
  <r>
    <n v="145"/>
    <d v="2020-05-24T00:00:00"/>
    <x v="0"/>
    <s v="Q2"/>
    <x v="4"/>
    <n v="5"/>
    <n v="1391"/>
    <x v="1"/>
    <x v="2"/>
    <n v="6"/>
    <n v="183.61"/>
    <n v="0.31"/>
    <n v="126.6909"/>
    <n v="760.15"/>
    <x v="2"/>
    <n v="11"/>
    <n v="4"/>
  </r>
  <r>
    <n v="146"/>
    <d v="2020-05-25T00:00:00"/>
    <x v="0"/>
    <s v="Q2"/>
    <x v="4"/>
    <n v="5"/>
    <n v="1674"/>
    <x v="2"/>
    <x v="3"/>
    <n v="4"/>
    <n v="128.68"/>
    <n v="0.3"/>
    <n v="90.076000000000008"/>
    <n v="360.3"/>
    <x v="1"/>
    <n v="6"/>
    <n v="1.7"/>
  </r>
  <r>
    <n v="147"/>
    <d v="2020-05-26T00:00:00"/>
    <x v="0"/>
    <s v="Q2"/>
    <x v="4"/>
    <n v="5"/>
    <n v="1418"/>
    <x v="2"/>
    <x v="0"/>
    <n v="4"/>
    <n v="584.75"/>
    <n v="0.35"/>
    <n v="380.08749999999998"/>
    <n v="1520.35"/>
    <x v="2"/>
    <n v="2"/>
    <n v="2.4"/>
  </r>
  <r>
    <n v="148"/>
    <d v="2020-05-27T00:00:00"/>
    <x v="0"/>
    <s v="Q2"/>
    <x v="4"/>
    <n v="5"/>
    <n v="1288"/>
    <x v="1"/>
    <x v="1"/>
    <n v="5"/>
    <n v="226.56"/>
    <n v="0.2"/>
    <n v="181.24799999999999"/>
    <n v="906.24"/>
    <x v="1"/>
    <n v="7"/>
    <n v="2.7"/>
  </r>
  <r>
    <n v="149"/>
    <d v="2020-05-28T00:00:00"/>
    <x v="0"/>
    <s v="Q2"/>
    <x v="4"/>
    <n v="5"/>
    <n v="1378"/>
    <x v="0"/>
    <x v="2"/>
    <n v="4"/>
    <n v="366.81"/>
    <n v="0.26"/>
    <n v="271.43939999999998"/>
    <n v="1085.76"/>
    <x v="1"/>
    <n v="8"/>
    <n v="2.2999999999999998"/>
  </r>
  <r>
    <n v="150"/>
    <d v="2020-05-29T00:00:00"/>
    <x v="0"/>
    <s v="Q2"/>
    <x v="4"/>
    <n v="5"/>
    <n v="1772"/>
    <x v="3"/>
    <x v="3"/>
    <n v="6"/>
    <n v="371.84"/>
    <n v="7.0000000000000007E-2"/>
    <n v="345.81119999999999"/>
    <n v="2074.87"/>
    <x v="2"/>
    <n v="1"/>
    <n v="4.2"/>
  </r>
  <r>
    <n v="151"/>
    <d v="2020-05-30T00:00:00"/>
    <x v="0"/>
    <s v="Q2"/>
    <x v="4"/>
    <n v="5"/>
    <n v="1489"/>
    <x v="2"/>
    <x v="3"/>
    <n v="3"/>
    <n v="342.88"/>
    <n v="0.23"/>
    <n v="264.01760000000002"/>
    <n v="792.05"/>
    <x v="1"/>
    <n v="6"/>
    <n v="3.9"/>
  </r>
  <r>
    <n v="152"/>
    <d v="2020-05-31T00:00:00"/>
    <x v="0"/>
    <s v="Q2"/>
    <x v="4"/>
    <n v="5"/>
    <n v="1230"/>
    <x v="0"/>
    <x v="0"/>
    <n v="1"/>
    <n v="550.1"/>
    <n v="0.23"/>
    <n v="423.577"/>
    <n v="423.58"/>
    <x v="0"/>
    <n v="11"/>
    <n v="4.0999999999999996"/>
  </r>
  <r>
    <n v="153"/>
    <d v="2020-06-01T00:00:00"/>
    <x v="0"/>
    <s v="Q2"/>
    <x v="5"/>
    <n v="6"/>
    <n v="1040"/>
    <x v="3"/>
    <x v="2"/>
    <n v="1"/>
    <n v="409.55"/>
    <n v="0.32"/>
    <n v="278.49400000000003"/>
    <n v="278.49"/>
    <x v="1"/>
    <n v="9"/>
    <n v="4.5999999999999996"/>
  </r>
  <r>
    <n v="154"/>
    <d v="2020-06-02T00:00:00"/>
    <x v="0"/>
    <s v="Q2"/>
    <x v="5"/>
    <n v="6"/>
    <n v="1027"/>
    <x v="3"/>
    <x v="3"/>
    <n v="1"/>
    <n v="251.18"/>
    <n v="0.28999999999999998"/>
    <n v="178.33780000000002"/>
    <n v="178.34"/>
    <x v="2"/>
    <n v="7"/>
    <n v="3.4"/>
  </r>
  <r>
    <n v="155"/>
    <d v="2020-06-03T00:00:00"/>
    <x v="0"/>
    <s v="Q2"/>
    <x v="5"/>
    <n v="6"/>
    <n v="1134"/>
    <x v="1"/>
    <x v="1"/>
    <n v="3"/>
    <n v="519.49"/>
    <n v="0.33"/>
    <n v="348.05830000000003"/>
    <n v="1044.17"/>
    <x v="1"/>
    <n v="5"/>
    <n v="3.5"/>
  </r>
  <r>
    <n v="156"/>
    <d v="2020-06-04T00:00:00"/>
    <x v="0"/>
    <s v="Q2"/>
    <x v="5"/>
    <n v="6"/>
    <n v="1200"/>
    <x v="1"/>
    <x v="0"/>
    <n v="4"/>
    <n v="120.92"/>
    <n v="0.3"/>
    <n v="84.644000000000005"/>
    <n v="338.58"/>
    <x v="1"/>
    <n v="10"/>
    <n v="3.9"/>
  </r>
  <r>
    <n v="157"/>
    <d v="2020-06-05T00:00:00"/>
    <x v="0"/>
    <s v="Q2"/>
    <x v="5"/>
    <n v="6"/>
    <n v="1839"/>
    <x v="2"/>
    <x v="2"/>
    <n v="5"/>
    <n v="333.38"/>
    <n v="0.3"/>
    <n v="233.36599999999999"/>
    <n v="1166.83"/>
    <x v="2"/>
    <n v="11"/>
    <n v="3.7"/>
  </r>
  <r>
    <n v="158"/>
    <d v="2020-06-06T00:00:00"/>
    <x v="0"/>
    <s v="Q2"/>
    <x v="5"/>
    <n v="6"/>
    <n v="1779"/>
    <x v="2"/>
    <x v="3"/>
    <n v="7"/>
    <n v="571.07000000000005"/>
    <n v="0.02"/>
    <n v="559.6486000000001"/>
    <n v="3917.54"/>
    <x v="2"/>
    <n v="10"/>
    <n v="4.5"/>
  </r>
  <r>
    <n v="159"/>
    <d v="2020-06-07T00:00:00"/>
    <x v="0"/>
    <s v="Q2"/>
    <x v="5"/>
    <n v="6"/>
    <n v="1929"/>
    <x v="2"/>
    <x v="3"/>
    <n v="2"/>
    <n v="380.86"/>
    <n v="0.3"/>
    <n v="266.60200000000003"/>
    <n v="533.20000000000005"/>
    <x v="2"/>
    <n v="9"/>
    <n v="4.0999999999999996"/>
  </r>
  <r>
    <n v="160"/>
    <d v="2020-06-08T00:00:00"/>
    <x v="0"/>
    <s v="Q2"/>
    <x v="5"/>
    <n v="6"/>
    <n v="1032"/>
    <x v="2"/>
    <x v="2"/>
    <n v="4"/>
    <n v="492.93"/>
    <n v="0.21"/>
    <n v="389.41470000000004"/>
    <n v="1557.66"/>
    <x v="2"/>
    <n v="2"/>
    <n v="1.5"/>
  </r>
  <r>
    <n v="161"/>
    <d v="2020-06-09T00:00:00"/>
    <x v="0"/>
    <s v="Q2"/>
    <x v="5"/>
    <n v="6"/>
    <n v="1047"/>
    <x v="1"/>
    <x v="0"/>
    <n v="3"/>
    <n v="397.33"/>
    <n v="0.13"/>
    <n v="345.6771"/>
    <n v="1037.03"/>
    <x v="2"/>
    <n v="7"/>
    <n v="4.7"/>
  </r>
  <r>
    <n v="162"/>
    <d v="2020-06-10T00:00:00"/>
    <x v="0"/>
    <s v="Q2"/>
    <x v="5"/>
    <n v="6"/>
    <n v="1502"/>
    <x v="3"/>
    <x v="2"/>
    <n v="6"/>
    <n v="506.03"/>
    <n v="0.02"/>
    <n v="495.90939999999995"/>
    <n v="2975.46"/>
    <x v="2"/>
    <n v="9"/>
    <n v="3.7"/>
  </r>
  <r>
    <n v="163"/>
    <d v="2020-06-11T00:00:00"/>
    <x v="0"/>
    <s v="Q2"/>
    <x v="5"/>
    <n v="6"/>
    <n v="1406"/>
    <x v="1"/>
    <x v="2"/>
    <n v="3"/>
    <n v="567.53"/>
    <n v="0.24"/>
    <n v="431.32279999999997"/>
    <n v="1293.97"/>
    <x v="2"/>
    <n v="2"/>
    <n v="1.5"/>
  </r>
  <r>
    <n v="164"/>
    <d v="2020-06-12T00:00:00"/>
    <x v="0"/>
    <s v="Q2"/>
    <x v="5"/>
    <n v="6"/>
    <n v="1573"/>
    <x v="2"/>
    <x v="0"/>
    <n v="7"/>
    <n v="174.66"/>
    <n v="0.11"/>
    <n v="155.44739999999999"/>
    <n v="1088.1300000000001"/>
    <x v="2"/>
    <n v="11"/>
    <n v="4.0999999999999996"/>
  </r>
  <r>
    <n v="165"/>
    <d v="2020-06-13T00:00:00"/>
    <x v="0"/>
    <s v="Q2"/>
    <x v="5"/>
    <n v="6"/>
    <n v="1727"/>
    <x v="0"/>
    <x v="3"/>
    <n v="1"/>
    <n v="114.25"/>
    <n v="0.16"/>
    <n v="95.97"/>
    <n v="95.97"/>
    <x v="2"/>
    <n v="10"/>
    <n v="2.4"/>
  </r>
  <r>
    <n v="166"/>
    <d v="2020-06-14T00:00:00"/>
    <x v="0"/>
    <s v="Q2"/>
    <x v="5"/>
    <n v="6"/>
    <n v="1804"/>
    <x v="0"/>
    <x v="1"/>
    <n v="4"/>
    <n v="298.13"/>
    <n v="0.24"/>
    <n v="226.5788"/>
    <n v="906.32"/>
    <x v="0"/>
    <n v="6"/>
    <n v="4.2"/>
  </r>
  <r>
    <n v="167"/>
    <d v="2020-06-15T00:00:00"/>
    <x v="0"/>
    <s v="Q2"/>
    <x v="5"/>
    <n v="6"/>
    <n v="1098"/>
    <x v="3"/>
    <x v="0"/>
    <n v="7"/>
    <n v="425.59"/>
    <n v="0.32"/>
    <n v="289.40120000000002"/>
    <n v="2025.81"/>
    <x v="1"/>
    <n v="9"/>
    <n v="4.8"/>
  </r>
  <r>
    <n v="168"/>
    <d v="2020-06-16T00:00:00"/>
    <x v="0"/>
    <s v="Q2"/>
    <x v="5"/>
    <n v="6"/>
    <n v="1683"/>
    <x v="0"/>
    <x v="1"/>
    <n v="1"/>
    <n v="147.91"/>
    <n v="0.28999999999999998"/>
    <n v="105.01609999999999"/>
    <n v="105.02"/>
    <x v="2"/>
    <n v="3"/>
    <n v="2"/>
  </r>
  <r>
    <n v="169"/>
    <d v="2020-06-17T00:00:00"/>
    <x v="0"/>
    <s v="Q2"/>
    <x v="5"/>
    <n v="6"/>
    <n v="1871"/>
    <x v="1"/>
    <x v="3"/>
    <n v="2"/>
    <n v="17.399999999999999"/>
    <n v="0.16"/>
    <n v="14.616"/>
    <n v="29.23"/>
    <x v="1"/>
    <n v="8"/>
    <n v="4.4000000000000004"/>
  </r>
  <r>
    <n v="170"/>
    <d v="2020-06-18T00:00:00"/>
    <x v="0"/>
    <s v="Q2"/>
    <x v="5"/>
    <n v="6"/>
    <n v="1725"/>
    <x v="0"/>
    <x v="2"/>
    <n v="6"/>
    <n v="215.62"/>
    <n v="0.14000000000000001"/>
    <n v="185.4332"/>
    <n v="1112.5999999999999"/>
    <x v="1"/>
    <n v="5"/>
    <n v="4.0999999999999996"/>
  </r>
  <r>
    <n v="171"/>
    <d v="2020-06-19T00:00:00"/>
    <x v="0"/>
    <s v="Q2"/>
    <x v="5"/>
    <n v="6"/>
    <n v="1986"/>
    <x v="2"/>
    <x v="1"/>
    <n v="1"/>
    <n v="581.78"/>
    <n v="0.08"/>
    <n v="535.23759999999993"/>
    <n v="535.24"/>
    <x v="1"/>
    <n v="7"/>
    <n v="3.7"/>
  </r>
  <r>
    <n v="172"/>
    <d v="2020-06-20T00:00:00"/>
    <x v="0"/>
    <s v="Q2"/>
    <x v="5"/>
    <n v="6"/>
    <n v="1546"/>
    <x v="1"/>
    <x v="3"/>
    <n v="2"/>
    <n v="421.56"/>
    <n v="0.13"/>
    <n v="366.75720000000001"/>
    <n v="733.51"/>
    <x v="0"/>
    <n v="3"/>
    <n v="2.5"/>
  </r>
  <r>
    <n v="173"/>
    <d v="2020-06-21T00:00:00"/>
    <x v="0"/>
    <s v="Q2"/>
    <x v="5"/>
    <n v="6"/>
    <n v="1960"/>
    <x v="2"/>
    <x v="3"/>
    <n v="3"/>
    <n v="249.78"/>
    <n v="0.04"/>
    <n v="239.78880000000001"/>
    <n v="719.37"/>
    <x v="2"/>
    <n v="8"/>
    <n v="1.4"/>
  </r>
  <r>
    <n v="174"/>
    <d v="2020-06-22T00:00:00"/>
    <x v="0"/>
    <s v="Q2"/>
    <x v="5"/>
    <n v="6"/>
    <n v="1738"/>
    <x v="2"/>
    <x v="2"/>
    <n v="1"/>
    <n v="127.66"/>
    <n v="0.34"/>
    <n v="84.255599999999987"/>
    <n v="84.26"/>
    <x v="2"/>
    <n v="2"/>
    <n v="2.9"/>
  </r>
  <r>
    <n v="175"/>
    <d v="2020-06-23T00:00:00"/>
    <x v="0"/>
    <s v="Q2"/>
    <x v="5"/>
    <n v="6"/>
    <n v="1612"/>
    <x v="2"/>
    <x v="2"/>
    <n v="1"/>
    <n v="223.31"/>
    <n v="0.2"/>
    <n v="178.648"/>
    <n v="178.65"/>
    <x v="1"/>
    <n v="8"/>
    <n v="1.4"/>
  </r>
  <r>
    <n v="176"/>
    <d v="2020-06-24T00:00:00"/>
    <x v="0"/>
    <s v="Q2"/>
    <x v="5"/>
    <n v="6"/>
    <n v="1942"/>
    <x v="1"/>
    <x v="3"/>
    <n v="5"/>
    <n v="114.36"/>
    <n v="0.04"/>
    <n v="109.7856"/>
    <n v="548.92999999999995"/>
    <x v="2"/>
    <n v="2"/>
    <n v="3"/>
  </r>
  <r>
    <n v="177"/>
    <d v="2020-06-25T00:00:00"/>
    <x v="0"/>
    <s v="Q2"/>
    <x v="5"/>
    <n v="6"/>
    <n v="1461"/>
    <x v="3"/>
    <x v="3"/>
    <n v="6"/>
    <n v="77.19"/>
    <n v="0.12"/>
    <n v="67.927199999999999"/>
    <n v="407.56"/>
    <x v="0"/>
    <n v="7"/>
    <n v="4.3"/>
  </r>
  <r>
    <n v="178"/>
    <d v="2020-06-26T00:00:00"/>
    <x v="0"/>
    <s v="Q2"/>
    <x v="5"/>
    <n v="6"/>
    <n v="1642"/>
    <x v="1"/>
    <x v="1"/>
    <n v="6"/>
    <n v="545.44000000000005"/>
    <n v="0.19"/>
    <n v="441.80640000000005"/>
    <n v="2650.84"/>
    <x v="1"/>
    <n v="2"/>
    <n v="5"/>
  </r>
  <r>
    <n v="179"/>
    <d v="2020-06-27T00:00:00"/>
    <x v="0"/>
    <s v="Q2"/>
    <x v="5"/>
    <n v="6"/>
    <n v="1768"/>
    <x v="2"/>
    <x v="3"/>
    <n v="7"/>
    <n v="598.63"/>
    <n v="0.19"/>
    <n v="484.89030000000002"/>
    <n v="3394.23"/>
    <x v="1"/>
    <n v="7"/>
    <n v="1.8"/>
  </r>
  <r>
    <n v="180"/>
    <d v="2020-06-28T00:00:00"/>
    <x v="0"/>
    <s v="Q2"/>
    <x v="5"/>
    <n v="6"/>
    <n v="1004"/>
    <x v="3"/>
    <x v="3"/>
    <n v="3"/>
    <n v="111.01"/>
    <n v="0.01"/>
    <n v="109.8999"/>
    <n v="329.7"/>
    <x v="1"/>
    <n v="1"/>
    <n v="1.8"/>
  </r>
  <r>
    <n v="181"/>
    <d v="2020-06-29T00:00:00"/>
    <x v="0"/>
    <s v="Q2"/>
    <x v="5"/>
    <n v="6"/>
    <n v="1217"/>
    <x v="1"/>
    <x v="1"/>
    <n v="5"/>
    <n v="46.9"/>
    <n v="0.33"/>
    <n v="31.422999999999998"/>
    <n v="157.11000000000001"/>
    <x v="2"/>
    <n v="6"/>
    <n v="4.2"/>
  </r>
  <r>
    <n v="182"/>
    <d v="2020-06-30T00:00:00"/>
    <x v="0"/>
    <s v="Q2"/>
    <x v="5"/>
    <n v="6"/>
    <n v="1502"/>
    <x v="1"/>
    <x v="0"/>
    <n v="7"/>
    <n v="207.89"/>
    <n v="0.1"/>
    <n v="187.101"/>
    <n v="1309.71"/>
    <x v="2"/>
    <n v="10"/>
    <n v="2.9"/>
  </r>
  <r>
    <n v="183"/>
    <d v="2020-07-01T00:00:00"/>
    <x v="0"/>
    <s v="Q3"/>
    <x v="6"/>
    <n v="7"/>
    <n v="1766"/>
    <x v="3"/>
    <x v="1"/>
    <n v="2"/>
    <n v="285.07"/>
    <n v="0.01"/>
    <n v="282.21929999999998"/>
    <n v="564.44000000000005"/>
    <x v="2"/>
    <n v="7"/>
    <n v="4.7"/>
  </r>
  <r>
    <n v="184"/>
    <d v="2020-07-02T00:00:00"/>
    <x v="0"/>
    <s v="Q3"/>
    <x v="6"/>
    <n v="7"/>
    <n v="1397"/>
    <x v="2"/>
    <x v="1"/>
    <n v="7"/>
    <n v="134.82"/>
    <n v="0.03"/>
    <n v="130.77539999999999"/>
    <n v="915.43"/>
    <x v="2"/>
    <n v="4"/>
    <n v="4.0999999999999996"/>
  </r>
  <r>
    <n v="185"/>
    <d v="2020-07-03T00:00:00"/>
    <x v="0"/>
    <s v="Q3"/>
    <x v="6"/>
    <n v="7"/>
    <n v="1870"/>
    <x v="2"/>
    <x v="2"/>
    <n v="2"/>
    <n v="191.33"/>
    <n v="0.2"/>
    <n v="153.06400000000002"/>
    <n v="306.13"/>
    <x v="1"/>
    <n v="11"/>
    <n v="3.9"/>
  </r>
  <r>
    <n v="186"/>
    <d v="2020-07-04T00:00:00"/>
    <x v="0"/>
    <s v="Q3"/>
    <x v="6"/>
    <n v="7"/>
    <n v="1794"/>
    <x v="0"/>
    <x v="1"/>
    <n v="3"/>
    <n v="132.51"/>
    <n v="0.05"/>
    <n v="125.88449999999999"/>
    <n v="377.65"/>
    <x v="2"/>
    <n v="11"/>
    <n v="1.4"/>
  </r>
  <r>
    <n v="187"/>
    <d v="2020-07-05T00:00:00"/>
    <x v="0"/>
    <s v="Q3"/>
    <x v="6"/>
    <n v="7"/>
    <n v="1392"/>
    <x v="2"/>
    <x v="3"/>
    <n v="6"/>
    <n v="467.94"/>
    <n v="0.01"/>
    <n v="463.26060000000001"/>
    <n v="2779.56"/>
    <x v="1"/>
    <n v="1"/>
    <n v="1.1000000000000001"/>
  </r>
  <r>
    <n v="188"/>
    <d v="2020-07-06T00:00:00"/>
    <x v="0"/>
    <s v="Q3"/>
    <x v="6"/>
    <n v="7"/>
    <n v="1206"/>
    <x v="1"/>
    <x v="3"/>
    <n v="2"/>
    <n v="431.86"/>
    <n v="0.13"/>
    <n v="375.71820000000002"/>
    <n v="751.44"/>
    <x v="1"/>
    <n v="6"/>
    <n v="2.2999999999999998"/>
  </r>
  <r>
    <n v="189"/>
    <d v="2020-07-07T00:00:00"/>
    <x v="0"/>
    <s v="Q3"/>
    <x v="6"/>
    <n v="7"/>
    <n v="1014"/>
    <x v="0"/>
    <x v="3"/>
    <n v="3"/>
    <n v="386.45"/>
    <n v="0.22"/>
    <n v="301.43099999999998"/>
    <n v="904.29"/>
    <x v="2"/>
    <n v="4"/>
    <n v="1.9"/>
  </r>
  <r>
    <n v="190"/>
    <d v="2020-07-08T00:00:00"/>
    <x v="0"/>
    <s v="Q3"/>
    <x v="6"/>
    <n v="7"/>
    <n v="1857"/>
    <x v="3"/>
    <x v="0"/>
    <n v="7"/>
    <n v="241.52"/>
    <n v="0.04"/>
    <n v="231.85920000000002"/>
    <n v="1623.01"/>
    <x v="0"/>
    <n v="3"/>
    <n v="3.8"/>
  </r>
  <r>
    <n v="191"/>
    <d v="2020-07-09T00:00:00"/>
    <x v="0"/>
    <s v="Q3"/>
    <x v="6"/>
    <n v="7"/>
    <n v="1553"/>
    <x v="2"/>
    <x v="3"/>
    <n v="2"/>
    <n v="546.79"/>
    <n v="0.11"/>
    <n v="486.64309999999995"/>
    <n v="973.29"/>
    <x v="2"/>
    <n v="4"/>
    <n v="2.8"/>
  </r>
  <r>
    <n v="192"/>
    <d v="2020-07-10T00:00:00"/>
    <x v="0"/>
    <s v="Q3"/>
    <x v="6"/>
    <n v="7"/>
    <n v="1891"/>
    <x v="2"/>
    <x v="0"/>
    <n v="4"/>
    <n v="582.17999999999995"/>
    <n v="0.15"/>
    <n v="494.85299999999995"/>
    <n v="1979.41"/>
    <x v="2"/>
    <n v="6"/>
    <n v="3.1"/>
  </r>
  <r>
    <n v="193"/>
    <d v="2020-07-11T00:00:00"/>
    <x v="0"/>
    <s v="Q3"/>
    <x v="6"/>
    <n v="7"/>
    <n v="1460"/>
    <x v="2"/>
    <x v="3"/>
    <n v="1"/>
    <n v="116.58"/>
    <n v="0.06"/>
    <n v="109.5852"/>
    <n v="109.59"/>
    <x v="1"/>
    <n v="5"/>
    <n v="4.3"/>
  </r>
  <r>
    <n v="194"/>
    <d v="2020-07-12T00:00:00"/>
    <x v="0"/>
    <s v="Q3"/>
    <x v="6"/>
    <n v="7"/>
    <n v="1690"/>
    <x v="1"/>
    <x v="1"/>
    <n v="7"/>
    <n v="145.46"/>
    <n v="0.18"/>
    <n v="119.27720000000001"/>
    <n v="834.94"/>
    <x v="1"/>
    <n v="2"/>
    <n v="2.9"/>
  </r>
  <r>
    <n v="195"/>
    <d v="2020-07-13T00:00:00"/>
    <x v="0"/>
    <s v="Q3"/>
    <x v="6"/>
    <n v="7"/>
    <n v="1574"/>
    <x v="1"/>
    <x v="2"/>
    <n v="6"/>
    <n v="322.49"/>
    <n v="0.03"/>
    <n v="312.81530000000004"/>
    <n v="1876.89"/>
    <x v="1"/>
    <n v="2"/>
    <n v="3.2"/>
  </r>
  <r>
    <n v="196"/>
    <d v="2020-07-14T00:00:00"/>
    <x v="0"/>
    <s v="Q3"/>
    <x v="6"/>
    <n v="7"/>
    <n v="1863"/>
    <x v="2"/>
    <x v="3"/>
    <n v="7"/>
    <n v="68.38"/>
    <n v="0.02"/>
    <n v="67.0124"/>
    <n v="469.09"/>
    <x v="0"/>
    <n v="3"/>
    <n v="4.4000000000000004"/>
  </r>
  <r>
    <n v="197"/>
    <d v="2020-07-15T00:00:00"/>
    <x v="0"/>
    <s v="Q3"/>
    <x v="6"/>
    <n v="7"/>
    <n v="1742"/>
    <x v="0"/>
    <x v="0"/>
    <n v="4"/>
    <n v="270.32"/>
    <n v="0.18"/>
    <n v="221.66239999999999"/>
    <n v="886.65"/>
    <x v="0"/>
    <n v="11"/>
    <n v="2.7"/>
  </r>
  <r>
    <n v="198"/>
    <d v="2020-07-16T00:00:00"/>
    <x v="0"/>
    <s v="Q3"/>
    <x v="6"/>
    <n v="7"/>
    <n v="1240"/>
    <x v="1"/>
    <x v="0"/>
    <n v="3"/>
    <n v="355.35"/>
    <n v="0.09"/>
    <n v="323.36850000000004"/>
    <n v="970.11"/>
    <x v="0"/>
    <n v="6"/>
    <n v="1.3"/>
  </r>
  <r>
    <n v="199"/>
    <d v="2020-07-17T00:00:00"/>
    <x v="0"/>
    <s v="Q3"/>
    <x v="6"/>
    <n v="7"/>
    <n v="1563"/>
    <x v="2"/>
    <x v="2"/>
    <n v="3"/>
    <n v="320.41000000000003"/>
    <n v="0.03"/>
    <n v="310.79770000000002"/>
    <n v="932.39"/>
    <x v="1"/>
    <n v="1"/>
    <n v="3.1"/>
  </r>
  <r>
    <n v="200"/>
    <d v="2020-07-18T00:00:00"/>
    <x v="0"/>
    <s v="Q3"/>
    <x v="6"/>
    <n v="7"/>
    <n v="1095"/>
    <x v="1"/>
    <x v="3"/>
    <n v="7"/>
    <n v="208.58"/>
    <n v="0.15"/>
    <n v="177.29300000000001"/>
    <n v="1241.05"/>
    <x v="2"/>
    <n v="11"/>
    <n v="3.3"/>
  </r>
  <r>
    <n v="201"/>
    <d v="2020-07-19T00:00:00"/>
    <x v="0"/>
    <s v="Q3"/>
    <x v="6"/>
    <n v="7"/>
    <n v="1899"/>
    <x v="3"/>
    <x v="1"/>
    <n v="4"/>
    <n v="332.33"/>
    <n v="0.32"/>
    <n v="225.98439999999999"/>
    <n v="903.94"/>
    <x v="2"/>
    <n v="7"/>
    <n v="3"/>
  </r>
  <r>
    <n v="202"/>
    <d v="2020-07-20T00:00:00"/>
    <x v="0"/>
    <s v="Q3"/>
    <x v="6"/>
    <n v="7"/>
    <n v="1733"/>
    <x v="2"/>
    <x v="3"/>
    <n v="7"/>
    <n v="575.9"/>
    <n v="0.25"/>
    <n v="431.92499999999995"/>
    <n v="3023.48"/>
    <x v="2"/>
    <n v="8"/>
    <n v="2"/>
  </r>
  <r>
    <n v="203"/>
    <d v="2020-07-21T00:00:00"/>
    <x v="0"/>
    <s v="Q3"/>
    <x v="6"/>
    <n v="7"/>
    <n v="1484"/>
    <x v="2"/>
    <x v="3"/>
    <n v="1"/>
    <n v="135.52000000000001"/>
    <n v="0.28999999999999998"/>
    <n v="96.219200000000001"/>
    <n v="96.22"/>
    <x v="2"/>
    <n v="7"/>
    <n v="1.9"/>
  </r>
  <r>
    <n v="204"/>
    <d v="2020-07-22T00:00:00"/>
    <x v="0"/>
    <s v="Q3"/>
    <x v="6"/>
    <n v="7"/>
    <n v="1406"/>
    <x v="3"/>
    <x v="2"/>
    <n v="1"/>
    <n v="398.08"/>
    <n v="0.31"/>
    <n v="274.67520000000002"/>
    <n v="274.68"/>
    <x v="2"/>
    <n v="11"/>
    <n v="2.5"/>
  </r>
  <r>
    <n v="205"/>
    <d v="2020-07-23T00:00:00"/>
    <x v="0"/>
    <s v="Q3"/>
    <x v="6"/>
    <n v="7"/>
    <n v="1230"/>
    <x v="1"/>
    <x v="3"/>
    <n v="5"/>
    <n v="40.39"/>
    <n v="0.34"/>
    <n v="26.657399999999999"/>
    <n v="133.29"/>
    <x v="1"/>
    <n v="3"/>
    <n v="1.7"/>
  </r>
  <r>
    <n v="206"/>
    <d v="2020-07-24T00:00:00"/>
    <x v="0"/>
    <s v="Q3"/>
    <x v="6"/>
    <n v="7"/>
    <n v="1748"/>
    <x v="1"/>
    <x v="1"/>
    <n v="2"/>
    <n v="53.85"/>
    <n v="0.27"/>
    <n v="39.310499999999998"/>
    <n v="78.62"/>
    <x v="1"/>
    <n v="6"/>
    <n v="3.7"/>
  </r>
  <r>
    <n v="207"/>
    <d v="2020-07-25T00:00:00"/>
    <x v="0"/>
    <s v="Q3"/>
    <x v="6"/>
    <n v="7"/>
    <n v="1654"/>
    <x v="1"/>
    <x v="0"/>
    <n v="5"/>
    <n v="337.82"/>
    <n v="0.21"/>
    <n v="266.87779999999998"/>
    <n v="1334.39"/>
    <x v="1"/>
    <n v="4"/>
    <n v="3.5"/>
  </r>
  <r>
    <n v="208"/>
    <d v="2020-07-26T00:00:00"/>
    <x v="0"/>
    <s v="Q3"/>
    <x v="6"/>
    <n v="7"/>
    <n v="1170"/>
    <x v="2"/>
    <x v="2"/>
    <n v="1"/>
    <n v="76.39"/>
    <n v="0.13"/>
    <n v="66.459299999999999"/>
    <n v="66.459999999999994"/>
    <x v="1"/>
    <n v="5"/>
    <n v="3.5"/>
  </r>
  <r>
    <n v="209"/>
    <d v="2020-07-27T00:00:00"/>
    <x v="0"/>
    <s v="Q3"/>
    <x v="6"/>
    <n v="7"/>
    <n v="1540"/>
    <x v="2"/>
    <x v="1"/>
    <n v="4"/>
    <n v="28.07"/>
    <n v="0.06"/>
    <n v="26.3858"/>
    <n v="105.54"/>
    <x v="1"/>
    <n v="3"/>
    <n v="1.9"/>
  </r>
  <r>
    <n v="210"/>
    <d v="2020-07-28T00:00:00"/>
    <x v="0"/>
    <s v="Q3"/>
    <x v="6"/>
    <n v="7"/>
    <n v="1035"/>
    <x v="1"/>
    <x v="0"/>
    <n v="2"/>
    <n v="115.34"/>
    <n v="0.24"/>
    <n v="87.6584"/>
    <n v="175.32"/>
    <x v="1"/>
    <n v="5"/>
    <n v="2"/>
  </r>
  <r>
    <n v="211"/>
    <d v="2020-07-29T00:00:00"/>
    <x v="0"/>
    <s v="Q3"/>
    <x v="6"/>
    <n v="7"/>
    <n v="1524"/>
    <x v="2"/>
    <x v="2"/>
    <n v="4"/>
    <n v="345.44"/>
    <n v="0.35"/>
    <n v="224.536"/>
    <n v="898.14"/>
    <x v="1"/>
    <n v="6"/>
    <n v="4.0999999999999996"/>
  </r>
  <r>
    <n v="212"/>
    <d v="2020-07-30T00:00:00"/>
    <x v="0"/>
    <s v="Q3"/>
    <x v="6"/>
    <n v="7"/>
    <n v="1159"/>
    <x v="2"/>
    <x v="2"/>
    <n v="5"/>
    <n v="426.45"/>
    <n v="0.16"/>
    <n v="358.21799999999996"/>
    <n v="1791.09"/>
    <x v="2"/>
    <n v="8"/>
    <n v="3.8"/>
  </r>
  <r>
    <n v="213"/>
    <d v="2020-07-31T00:00:00"/>
    <x v="0"/>
    <s v="Q3"/>
    <x v="6"/>
    <n v="7"/>
    <n v="1838"/>
    <x v="3"/>
    <x v="0"/>
    <n v="3"/>
    <n v="133.44999999999999"/>
    <n v="0.25"/>
    <n v="100.08749999999999"/>
    <n v="300.26"/>
    <x v="0"/>
    <n v="6"/>
    <n v="4.5"/>
  </r>
  <r>
    <n v="214"/>
    <d v="2020-08-01T00:00:00"/>
    <x v="0"/>
    <s v="Q3"/>
    <x v="7"/>
    <n v="8"/>
    <n v="1698"/>
    <x v="0"/>
    <x v="0"/>
    <n v="4"/>
    <n v="405.93"/>
    <n v="0.17"/>
    <n v="336.92189999999999"/>
    <n v="1347.69"/>
    <x v="0"/>
    <n v="9"/>
    <n v="2.6"/>
  </r>
  <r>
    <n v="215"/>
    <d v="2020-08-02T00:00:00"/>
    <x v="0"/>
    <s v="Q3"/>
    <x v="7"/>
    <n v="8"/>
    <n v="1242"/>
    <x v="3"/>
    <x v="1"/>
    <n v="5"/>
    <n v="121.75"/>
    <n v="0.15"/>
    <n v="103.4875"/>
    <n v="517.44000000000005"/>
    <x v="1"/>
    <n v="10"/>
    <n v="3.2"/>
  </r>
  <r>
    <n v="216"/>
    <d v="2020-08-03T00:00:00"/>
    <x v="0"/>
    <s v="Q3"/>
    <x v="7"/>
    <n v="8"/>
    <n v="1085"/>
    <x v="0"/>
    <x v="3"/>
    <n v="5"/>
    <n v="373.87"/>
    <n v="0.14000000000000001"/>
    <n v="321.52819999999997"/>
    <n v="1607.64"/>
    <x v="1"/>
    <n v="10"/>
    <n v="4"/>
  </r>
  <r>
    <n v="217"/>
    <d v="2020-08-04T00:00:00"/>
    <x v="0"/>
    <s v="Q3"/>
    <x v="7"/>
    <n v="8"/>
    <n v="1795"/>
    <x v="2"/>
    <x v="3"/>
    <n v="5"/>
    <n v="256"/>
    <n v="0.18"/>
    <n v="209.92000000000002"/>
    <n v="1049.5999999999999"/>
    <x v="1"/>
    <n v="10"/>
    <n v="4.9000000000000004"/>
  </r>
  <r>
    <n v="218"/>
    <d v="2020-08-05T00:00:00"/>
    <x v="0"/>
    <s v="Q3"/>
    <x v="7"/>
    <n v="8"/>
    <n v="1577"/>
    <x v="0"/>
    <x v="3"/>
    <n v="3"/>
    <n v="397.47"/>
    <n v="0.13"/>
    <n v="345.7989"/>
    <n v="1037.4000000000001"/>
    <x v="0"/>
    <n v="10"/>
    <n v="5"/>
  </r>
  <r>
    <n v="219"/>
    <d v="2020-08-06T00:00:00"/>
    <x v="0"/>
    <s v="Q3"/>
    <x v="7"/>
    <n v="8"/>
    <n v="1681"/>
    <x v="2"/>
    <x v="3"/>
    <n v="3"/>
    <n v="597.11"/>
    <n v="0.26"/>
    <n v="441.8614"/>
    <n v="1325.58"/>
    <x v="2"/>
    <n v="4"/>
    <n v="5"/>
  </r>
  <r>
    <n v="220"/>
    <d v="2020-08-07T00:00:00"/>
    <x v="0"/>
    <s v="Q3"/>
    <x v="7"/>
    <n v="8"/>
    <n v="1556"/>
    <x v="0"/>
    <x v="3"/>
    <n v="7"/>
    <n v="563.62"/>
    <n v="0.31"/>
    <n v="388.89780000000002"/>
    <n v="2722.28"/>
    <x v="1"/>
    <n v="2"/>
    <n v="4.5999999999999996"/>
  </r>
  <r>
    <n v="221"/>
    <d v="2020-08-08T00:00:00"/>
    <x v="0"/>
    <s v="Q3"/>
    <x v="7"/>
    <n v="8"/>
    <n v="1573"/>
    <x v="0"/>
    <x v="1"/>
    <n v="3"/>
    <n v="17.5"/>
    <n v="0.31"/>
    <n v="12.074999999999999"/>
    <n v="36.22"/>
    <x v="0"/>
    <n v="9"/>
    <n v="3.6"/>
  </r>
  <r>
    <n v="222"/>
    <d v="2020-08-09T00:00:00"/>
    <x v="0"/>
    <s v="Q3"/>
    <x v="7"/>
    <n v="8"/>
    <n v="1952"/>
    <x v="3"/>
    <x v="2"/>
    <n v="2"/>
    <n v="532.98"/>
    <n v="0.08"/>
    <n v="490.34160000000003"/>
    <n v="980.68"/>
    <x v="1"/>
    <n v="11"/>
    <n v="1"/>
  </r>
  <r>
    <n v="223"/>
    <d v="2020-08-10T00:00:00"/>
    <x v="0"/>
    <s v="Q3"/>
    <x v="7"/>
    <n v="8"/>
    <n v="1645"/>
    <x v="0"/>
    <x v="1"/>
    <n v="3"/>
    <n v="53.9"/>
    <n v="0.31"/>
    <n v="37.191000000000003"/>
    <n v="111.57"/>
    <x v="0"/>
    <n v="3"/>
    <n v="3.8"/>
  </r>
  <r>
    <n v="224"/>
    <d v="2020-08-11T00:00:00"/>
    <x v="0"/>
    <s v="Q3"/>
    <x v="7"/>
    <n v="8"/>
    <n v="1795"/>
    <x v="1"/>
    <x v="1"/>
    <n v="3"/>
    <n v="572.53"/>
    <n v="0.12"/>
    <n v="503.82639999999998"/>
    <n v="1511.48"/>
    <x v="1"/>
    <n v="11"/>
    <n v="2"/>
  </r>
  <r>
    <n v="225"/>
    <d v="2020-08-12T00:00:00"/>
    <x v="0"/>
    <s v="Q3"/>
    <x v="7"/>
    <n v="8"/>
    <n v="1027"/>
    <x v="2"/>
    <x v="1"/>
    <n v="3"/>
    <n v="179.87"/>
    <n v="0.11"/>
    <n v="160.08430000000001"/>
    <n v="480.25"/>
    <x v="1"/>
    <n v="7"/>
    <n v="1.2"/>
  </r>
  <r>
    <n v="226"/>
    <d v="2020-08-13T00:00:00"/>
    <x v="0"/>
    <s v="Q3"/>
    <x v="7"/>
    <n v="8"/>
    <n v="1619"/>
    <x v="1"/>
    <x v="2"/>
    <n v="4"/>
    <n v="238.49"/>
    <n v="0.25"/>
    <n v="178.86750000000001"/>
    <n v="715.47"/>
    <x v="2"/>
    <n v="4"/>
    <n v="3.8"/>
  </r>
  <r>
    <n v="227"/>
    <d v="2020-08-14T00:00:00"/>
    <x v="0"/>
    <s v="Q3"/>
    <x v="7"/>
    <n v="8"/>
    <n v="1555"/>
    <x v="1"/>
    <x v="1"/>
    <n v="3"/>
    <n v="68.61"/>
    <n v="0.11"/>
    <n v="61.062899999999999"/>
    <n v="183.19"/>
    <x v="0"/>
    <n v="1"/>
    <n v="4"/>
  </r>
  <r>
    <n v="228"/>
    <d v="2020-08-15T00:00:00"/>
    <x v="0"/>
    <s v="Q3"/>
    <x v="7"/>
    <n v="8"/>
    <n v="1339"/>
    <x v="2"/>
    <x v="1"/>
    <n v="2"/>
    <n v="80.680000000000007"/>
    <n v="0.02"/>
    <n v="79.066400000000002"/>
    <n v="158.13"/>
    <x v="0"/>
    <n v="8"/>
    <n v="3.6"/>
  </r>
  <r>
    <n v="229"/>
    <d v="2020-08-16T00:00:00"/>
    <x v="0"/>
    <s v="Q3"/>
    <x v="7"/>
    <n v="8"/>
    <n v="1797"/>
    <x v="1"/>
    <x v="2"/>
    <n v="5"/>
    <n v="440.14"/>
    <n v="0.13"/>
    <n v="382.92179999999996"/>
    <n v="1914.61"/>
    <x v="2"/>
    <n v="4"/>
    <n v="2.5"/>
  </r>
  <r>
    <n v="230"/>
    <d v="2020-08-17T00:00:00"/>
    <x v="0"/>
    <s v="Q3"/>
    <x v="7"/>
    <n v="8"/>
    <n v="1957"/>
    <x v="0"/>
    <x v="1"/>
    <n v="4"/>
    <n v="567.42999999999995"/>
    <n v="0.25"/>
    <n v="425.57249999999999"/>
    <n v="1702.29"/>
    <x v="1"/>
    <n v="11"/>
    <n v="3"/>
  </r>
  <r>
    <n v="231"/>
    <d v="2020-08-18T00:00:00"/>
    <x v="0"/>
    <s v="Q3"/>
    <x v="7"/>
    <n v="8"/>
    <n v="1330"/>
    <x v="2"/>
    <x v="3"/>
    <n v="1"/>
    <n v="372.29"/>
    <n v="0.11"/>
    <n v="331.3381"/>
    <n v="331.34"/>
    <x v="1"/>
    <n v="6"/>
    <n v="4.7"/>
  </r>
  <r>
    <n v="232"/>
    <d v="2020-08-19T00:00:00"/>
    <x v="0"/>
    <s v="Q3"/>
    <x v="7"/>
    <n v="8"/>
    <n v="1639"/>
    <x v="3"/>
    <x v="0"/>
    <n v="3"/>
    <n v="433.77"/>
    <n v="0.22"/>
    <n v="338.34059999999999"/>
    <n v="1015.02"/>
    <x v="0"/>
    <n v="7"/>
    <n v="3.9"/>
  </r>
  <r>
    <n v="233"/>
    <d v="2020-08-20T00:00:00"/>
    <x v="0"/>
    <s v="Q3"/>
    <x v="7"/>
    <n v="8"/>
    <n v="1505"/>
    <x v="0"/>
    <x v="1"/>
    <n v="7"/>
    <n v="460.75"/>
    <n v="0.23"/>
    <n v="354.77749999999997"/>
    <n v="2483.44"/>
    <x v="2"/>
    <n v="8"/>
    <n v="3"/>
  </r>
  <r>
    <n v="234"/>
    <d v="2020-08-21T00:00:00"/>
    <x v="0"/>
    <s v="Q3"/>
    <x v="7"/>
    <n v="8"/>
    <n v="1347"/>
    <x v="0"/>
    <x v="0"/>
    <n v="7"/>
    <n v="168.75"/>
    <n v="0.26"/>
    <n v="124.875"/>
    <n v="874.12"/>
    <x v="2"/>
    <n v="10"/>
    <n v="3.4"/>
  </r>
  <r>
    <n v="235"/>
    <d v="2020-08-22T00:00:00"/>
    <x v="0"/>
    <s v="Q3"/>
    <x v="7"/>
    <n v="8"/>
    <n v="1472"/>
    <x v="0"/>
    <x v="1"/>
    <n v="5"/>
    <n v="41.46"/>
    <n v="0.31"/>
    <n v="28.607399999999998"/>
    <n v="143.04"/>
    <x v="1"/>
    <n v="2"/>
    <n v="4.7"/>
  </r>
  <r>
    <n v="236"/>
    <d v="2020-08-23T00:00:00"/>
    <x v="0"/>
    <s v="Q3"/>
    <x v="7"/>
    <n v="8"/>
    <n v="1230"/>
    <x v="1"/>
    <x v="1"/>
    <n v="5"/>
    <n v="16.100000000000001"/>
    <n v="0.15"/>
    <n v="13.685000000000002"/>
    <n v="68.42"/>
    <x v="2"/>
    <n v="9"/>
    <n v="2.6"/>
  </r>
  <r>
    <n v="237"/>
    <d v="2020-08-24T00:00:00"/>
    <x v="0"/>
    <s v="Q3"/>
    <x v="7"/>
    <n v="8"/>
    <n v="1189"/>
    <x v="0"/>
    <x v="3"/>
    <n v="4"/>
    <n v="220.13"/>
    <n v="0.06"/>
    <n v="206.9222"/>
    <n v="827.69"/>
    <x v="1"/>
    <n v="10"/>
    <n v="1.4"/>
  </r>
  <r>
    <n v="238"/>
    <d v="2020-08-25T00:00:00"/>
    <x v="0"/>
    <s v="Q3"/>
    <x v="7"/>
    <n v="8"/>
    <n v="1224"/>
    <x v="3"/>
    <x v="2"/>
    <n v="7"/>
    <n v="156.26"/>
    <n v="0.11"/>
    <n v="139.07139999999998"/>
    <n v="973.5"/>
    <x v="2"/>
    <n v="3"/>
    <n v="2.2999999999999998"/>
  </r>
  <r>
    <n v="239"/>
    <d v="2020-08-26T00:00:00"/>
    <x v="0"/>
    <s v="Q3"/>
    <x v="7"/>
    <n v="8"/>
    <n v="1384"/>
    <x v="2"/>
    <x v="0"/>
    <n v="1"/>
    <n v="51.46"/>
    <n v="0.15"/>
    <n v="43.741"/>
    <n v="43.74"/>
    <x v="0"/>
    <n v="1"/>
    <n v="2.7"/>
  </r>
  <r>
    <n v="240"/>
    <d v="2020-08-27T00:00:00"/>
    <x v="0"/>
    <s v="Q3"/>
    <x v="7"/>
    <n v="8"/>
    <n v="1376"/>
    <x v="1"/>
    <x v="2"/>
    <n v="6"/>
    <n v="120.02"/>
    <n v="0.25"/>
    <n v="90.015000000000001"/>
    <n v="540.09"/>
    <x v="2"/>
    <n v="2"/>
    <n v="2.1"/>
  </r>
  <r>
    <n v="241"/>
    <d v="2020-08-28T00:00:00"/>
    <x v="0"/>
    <s v="Q3"/>
    <x v="7"/>
    <n v="8"/>
    <n v="1282"/>
    <x v="3"/>
    <x v="3"/>
    <n v="7"/>
    <n v="87.83"/>
    <n v="0"/>
    <n v="87.83"/>
    <n v="614.80999999999995"/>
    <x v="2"/>
    <n v="8"/>
    <n v="3.1"/>
  </r>
  <r>
    <n v="242"/>
    <d v="2020-08-29T00:00:00"/>
    <x v="0"/>
    <s v="Q3"/>
    <x v="7"/>
    <n v="8"/>
    <n v="1957"/>
    <x v="2"/>
    <x v="3"/>
    <n v="7"/>
    <n v="550.20000000000005"/>
    <n v="0.11"/>
    <n v="489.67800000000005"/>
    <n v="3427.75"/>
    <x v="1"/>
    <n v="10"/>
    <n v="2.2000000000000002"/>
  </r>
  <r>
    <n v="243"/>
    <d v="2020-08-30T00:00:00"/>
    <x v="0"/>
    <s v="Q3"/>
    <x v="7"/>
    <n v="8"/>
    <n v="1632"/>
    <x v="1"/>
    <x v="0"/>
    <n v="2"/>
    <n v="97.06"/>
    <n v="0.27"/>
    <n v="70.853800000000007"/>
    <n v="141.71"/>
    <x v="1"/>
    <n v="6"/>
    <n v="1.4"/>
  </r>
  <r>
    <n v="244"/>
    <d v="2020-08-31T00:00:00"/>
    <x v="0"/>
    <s v="Q3"/>
    <x v="7"/>
    <n v="8"/>
    <n v="1627"/>
    <x v="3"/>
    <x v="2"/>
    <n v="6"/>
    <n v="329.52"/>
    <n v="0.23"/>
    <n v="253.73039999999997"/>
    <n v="1522.38"/>
    <x v="0"/>
    <n v="11"/>
    <n v="1.8"/>
  </r>
  <r>
    <n v="245"/>
    <d v="2020-09-01T00:00:00"/>
    <x v="0"/>
    <s v="Q3"/>
    <x v="8"/>
    <n v="9"/>
    <n v="1972"/>
    <x v="2"/>
    <x v="3"/>
    <n v="5"/>
    <n v="361.97"/>
    <n v="0.26"/>
    <n v="267.8578"/>
    <n v="1339.29"/>
    <x v="1"/>
    <n v="1"/>
    <n v="4.7"/>
  </r>
  <r>
    <n v="246"/>
    <d v="2020-09-02T00:00:00"/>
    <x v="0"/>
    <s v="Q3"/>
    <x v="8"/>
    <n v="9"/>
    <n v="1744"/>
    <x v="1"/>
    <x v="1"/>
    <n v="6"/>
    <n v="332.94"/>
    <n v="0.28000000000000003"/>
    <n v="239.71679999999998"/>
    <n v="1438.3"/>
    <x v="0"/>
    <n v="11"/>
    <n v="3.5"/>
  </r>
  <r>
    <n v="247"/>
    <d v="2020-09-03T00:00:00"/>
    <x v="0"/>
    <s v="Q3"/>
    <x v="8"/>
    <n v="9"/>
    <n v="1258"/>
    <x v="3"/>
    <x v="1"/>
    <n v="7"/>
    <n v="72.95"/>
    <n v="0.27"/>
    <n v="53.253500000000003"/>
    <n v="372.77"/>
    <x v="2"/>
    <n v="9"/>
    <n v="2.2999999999999998"/>
  </r>
  <r>
    <n v="248"/>
    <d v="2020-09-04T00:00:00"/>
    <x v="0"/>
    <s v="Q3"/>
    <x v="8"/>
    <n v="9"/>
    <n v="1358"/>
    <x v="1"/>
    <x v="1"/>
    <n v="5"/>
    <n v="201.5"/>
    <n v="0.24"/>
    <n v="153.13999999999999"/>
    <n v="765.7"/>
    <x v="2"/>
    <n v="7"/>
    <n v="2.5"/>
  </r>
  <r>
    <n v="249"/>
    <d v="2020-09-05T00:00:00"/>
    <x v="0"/>
    <s v="Q3"/>
    <x v="8"/>
    <n v="9"/>
    <n v="1709"/>
    <x v="2"/>
    <x v="2"/>
    <n v="6"/>
    <n v="44.99"/>
    <n v="0.15"/>
    <n v="38.241500000000002"/>
    <n v="229.45"/>
    <x v="0"/>
    <n v="10"/>
    <n v="3"/>
  </r>
  <r>
    <n v="250"/>
    <d v="2020-09-06T00:00:00"/>
    <x v="0"/>
    <s v="Q3"/>
    <x v="8"/>
    <n v="9"/>
    <n v="1455"/>
    <x v="2"/>
    <x v="1"/>
    <n v="5"/>
    <n v="246.47"/>
    <n v="0.34"/>
    <n v="162.67019999999999"/>
    <n v="813.35"/>
    <x v="2"/>
    <n v="11"/>
    <n v="3.7"/>
  </r>
  <r>
    <n v="251"/>
    <d v="2020-09-07T00:00:00"/>
    <x v="0"/>
    <s v="Q3"/>
    <x v="8"/>
    <n v="9"/>
    <n v="1410"/>
    <x v="1"/>
    <x v="1"/>
    <n v="5"/>
    <n v="125.33"/>
    <n v="0.2"/>
    <n v="100.264"/>
    <n v="501.32"/>
    <x v="0"/>
    <n v="3"/>
    <n v="3.3"/>
  </r>
  <r>
    <n v="252"/>
    <d v="2020-09-08T00:00:00"/>
    <x v="0"/>
    <s v="Q3"/>
    <x v="8"/>
    <n v="9"/>
    <n v="1648"/>
    <x v="0"/>
    <x v="3"/>
    <n v="4"/>
    <n v="343.56"/>
    <n v="7.0000000000000007E-2"/>
    <n v="319.51080000000002"/>
    <n v="1278.04"/>
    <x v="1"/>
    <n v="7"/>
    <n v="4.7"/>
  </r>
  <r>
    <n v="253"/>
    <d v="2020-09-09T00:00:00"/>
    <x v="0"/>
    <s v="Q3"/>
    <x v="8"/>
    <n v="9"/>
    <n v="1317"/>
    <x v="2"/>
    <x v="3"/>
    <n v="1"/>
    <n v="420.29"/>
    <n v="0.1"/>
    <n v="378.26100000000002"/>
    <n v="378.26"/>
    <x v="2"/>
    <n v="6"/>
    <n v="3.5"/>
  </r>
  <r>
    <n v="254"/>
    <d v="2020-09-10T00:00:00"/>
    <x v="0"/>
    <s v="Q3"/>
    <x v="8"/>
    <n v="9"/>
    <n v="1676"/>
    <x v="1"/>
    <x v="1"/>
    <n v="5"/>
    <n v="326.29000000000002"/>
    <n v="0.24"/>
    <n v="247.98040000000003"/>
    <n v="1239.9000000000001"/>
    <x v="2"/>
    <n v="3"/>
    <n v="4.5999999999999996"/>
  </r>
  <r>
    <n v="255"/>
    <d v="2020-09-11T00:00:00"/>
    <x v="0"/>
    <s v="Q3"/>
    <x v="8"/>
    <n v="9"/>
    <n v="1224"/>
    <x v="2"/>
    <x v="1"/>
    <n v="2"/>
    <n v="269.02999999999997"/>
    <n v="0.32"/>
    <n v="182.94039999999998"/>
    <n v="365.88"/>
    <x v="1"/>
    <n v="8"/>
    <n v="1"/>
  </r>
  <r>
    <n v="256"/>
    <d v="2020-09-12T00:00:00"/>
    <x v="0"/>
    <s v="Q3"/>
    <x v="8"/>
    <n v="9"/>
    <n v="1818"/>
    <x v="2"/>
    <x v="3"/>
    <n v="7"/>
    <n v="241.59"/>
    <n v="0.06"/>
    <n v="227.09460000000001"/>
    <n v="1589.66"/>
    <x v="2"/>
    <n v="1"/>
    <n v="4.5999999999999996"/>
  </r>
  <r>
    <n v="257"/>
    <d v="2020-09-13T00:00:00"/>
    <x v="0"/>
    <s v="Q3"/>
    <x v="8"/>
    <n v="9"/>
    <n v="1233"/>
    <x v="3"/>
    <x v="0"/>
    <n v="7"/>
    <n v="507.39"/>
    <n v="0.03"/>
    <n v="492.16829999999999"/>
    <n v="3445.18"/>
    <x v="2"/>
    <n v="5"/>
    <n v="3.9"/>
  </r>
  <r>
    <n v="258"/>
    <d v="2020-09-14T00:00:00"/>
    <x v="0"/>
    <s v="Q3"/>
    <x v="8"/>
    <n v="9"/>
    <n v="1683"/>
    <x v="3"/>
    <x v="2"/>
    <n v="2"/>
    <n v="143.33000000000001"/>
    <n v="0.31"/>
    <n v="98.897700000000015"/>
    <n v="197.8"/>
    <x v="0"/>
    <n v="8"/>
    <n v="1.7"/>
  </r>
  <r>
    <n v="259"/>
    <d v="2020-09-15T00:00:00"/>
    <x v="0"/>
    <s v="Q3"/>
    <x v="8"/>
    <n v="9"/>
    <n v="1663"/>
    <x v="2"/>
    <x v="2"/>
    <n v="3"/>
    <n v="444.52"/>
    <n v="0.32"/>
    <n v="302.27359999999999"/>
    <n v="906.82"/>
    <x v="1"/>
    <n v="3"/>
    <n v="2.1"/>
  </r>
  <r>
    <n v="260"/>
    <d v="2020-09-16T00:00:00"/>
    <x v="0"/>
    <s v="Q3"/>
    <x v="8"/>
    <n v="9"/>
    <n v="1974"/>
    <x v="1"/>
    <x v="3"/>
    <n v="5"/>
    <n v="458.13"/>
    <n v="0.1"/>
    <n v="412.31700000000001"/>
    <n v="2061.58"/>
    <x v="2"/>
    <n v="11"/>
    <n v="3.2"/>
  </r>
  <r>
    <n v="261"/>
    <d v="2020-09-17T00:00:00"/>
    <x v="0"/>
    <s v="Q3"/>
    <x v="8"/>
    <n v="9"/>
    <n v="1826"/>
    <x v="2"/>
    <x v="2"/>
    <n v="5"/>
    <n v="260.23"/>
    <n v="0.13"/>
    <n v="226.40010000000001"/>
    <n v="1132"/>
    <x v="1"/>
    <n v="10"/>
    <n v="1.5"/>
  </r>
  <r>
    <n v="262"/>
    <d v="2020-09-18T00:00:00"/>
    <x v="0"/>
    <s v="Q3"/>
    <x v="8"/>
    <n v="9"/>
    <n v="1373"/>
    <x v="1"/>
    <x v="3"/>
    <n v="5"/>
    <n v="188.92"/>
    <n v="0.23"/>
    <n v="145.46839999999997"/>
    <n v="727.34"/>
    <x v="2"/>
    <n v="11"/>
    <n v="4.0999999999999996"/>
  </r>
  <r>
    <n v="263"/>
    <d v="2020-09-19T00:00:00"/>
    <x v="0"/>
    <s v="Q3"/>
    <x v="8"/>
    <n v="9"/>
    <n v="1671"/>
    <x v="3"/>
    <x v="3"/>
    <n v="6"/>
    <n v="290.27"/>
    <n v="0.12"/>
    <n v="255.43759999999997"/>
    <n v="1532.63"/>
    <x v="2"/>
    <n v="6"/>
    <n v="4.2"/>
  </r>
  <r>
    <n v="264"/>
    <d v="2020-09-20T00:00:00"/>
    <x v="0"/>
    <s v="Q3"/>
    <x v="8"/>
    <n v="9"/>
    <n v="1607"/>
    <x v="2"/>
    <x v="3"/>
    <n v="5"/>
    <n v="69.53"/>
    <n v="0.31"/>
    <n v="47.975700000000003"/>
    <n v="239.88"/>
    <x v="2"/>
    <n v="10"/>
    <n v="2.2000000000000002"/>
  </r>
  <r>
    <n v="265"/>
    <d v="2020-09-21T00:00:00"/>
    <x v="0"/>
    <s v="Q3"/>
    <x v="8"/>
    <n v="9"/>
    <n v="1471"/>
    <x v="2"/>
    <x v="3"/>
    <n v="5"/>
    <n v="41.87"/>
    <n v="0.04"/>
    <n v="40.1952"/>
    <n v="200.98"/>
    <x v="1"/>
    <n v="11"/>
    <n v="1.3"/>
  </r>
  <r>
    <n v="266"/>
    <d v="2020-09-22T00:00:00"/>
    <x v="0"/>
    <s v="Q3"/>
    <x v="8"/>
    <n v="9"/>
    <n v="1232"/>
    <x v="1"/>
    <x v="0"/>
    <n v="2"/>
    <n v="80.290000000000006"/>
    <n v="0.01"/>
    <n v="79.487100000000012"/>
    <n v="158.97"/>
    <x v="1"/>
    <n v="2"/>
    <n v="5"/>
  </r>
  <r>
    <n v="267"/>
    <d v="2020-09-23T00:00:00"/>
    <x v="0"/>
    <s v="Q3"/>
    <x v="8"/>
    <n v="9"/>
    <n v="1691"/>
    <x v="0"/>
    <x v="1"/>
    <n v="1"/>
    <n v="124.48"/>
    <n v="7.0000000000000007E-2"/>
    <n v="115.7664"/>
    <n v="115.77"/>
    <x v="1"/>
    <n v="9"/>
    <n v="2"/>
  </r>
  <r>
    <n v="268"/>
    <d v="2020-09-24T00:00:00"/>
    <x v="0"/>
    <s v="Q3"/>
    <x v="8"/>
    <n v="9"/>
    <n v="1112"/>
    <x v="0"/>
    <x v="1"/>
    <n v="1"/>
    <n v="309.94"/>
    <n v="0.1"/>
    <n v="278.94600000000003"/>
    <n v="278.95"/>
    <x v="1"/>
    <n v="2"/>
    <n v="1.3"/>
  </r>
  <r>
    <n v="269"/>
    <d v="2020-09-25T00:00:00"/>
    <x v="0"/>
    <s v="Q3"/>
    <x v="8"/>
    <n v="9"/>
    <n v="1829"/>
    <x v="2"/>
    <x v="0"/>
    <n v="3"/>
    <n v="511.74"/>
    <n v="0.04"/>
    <n v="491.2704"/>
    <n v="1473.81"/>
    <x v="2"/>
    <n v="5"/>
    <n v="2.2999999999999998"/>
  </r>
  <r>
    <n v="270"/>
    <d v="2020-09-26T00:00:00"/>
    <x v="0"/>
    <s v="Q3"/>
    <x v="8"/>
    <n v="9"/>
    <n v="1496"/>
    <x v="3"/>
    <x v="2"/>
    <n v="2"/>
    <n v="152.85"/>
    <n v="0.02"/>
    <n v="149.79300000000001"/>
    <n v="299.58999999999997"/>
    <x v="0"/>
    <n v="3"/>
    <n v="4.9000000000000004"/>
  </r>
  <r>
    <n v="271"/>
    <d v="2020-09-27T00:00:00"/>
    <x v="0"/>
    <s v="Q3"/>
    <x v="8"/>
    <n v="9"/>
    <n v="1441"/>
    <x v="1"/>
    <x v="2"/>
    <n v="5"/>
    <n v="562.07000000000005"/>
    <n v="0.26"/>
    <n v="415.93180000000007"/>
    <n v="2079.66"/>
    <x v="1"/>
    <n v="10"/>
    <n v="4.2"/>
  </r>
  <r>
    <n v="272"/>
    <d v="2020-09-28T00:00:00"/>
    <x v="0"/>
    <s v="Q3"/>
    <x v="8"/>
    <n v="9"/>
    <n v="1563"/>
    <x v="1"/>
    <x v="1"/>
    <n v="1"/>
    <n v="573.62"/>
    <n v="0.06"/>
    <n v="539.20280000000002"/>
    <n v="539.20000000000005"/>
    <x v="1"/>
    <n v="9"/>
    <n v="2.9"/>
  </r>
  <r>
    <n v="273"/>
    <d v="2020-09-29T00:00:00"/>
    <x v="0"/>
    <s v="Q3"/>
    <x v="8"/>
    <n v="9"/>
    <n v="1267"/>
    <x v="3"/>
    <x v="2"/>
    <n v="4"/>
    <n v="575.96"/>
    <n v="0.32"/>
    <n v="391.65280000000001"/>
    <n v="1566.61"/>
    <x v="2"/>
    <n v="9"/>
    <n v="2.2000000000000002"/>
  </r>
  <r>
    <n v="274"/>
    <d v="2020-09-30T00:00:00"/>
    <x v="0"/>
    <s v="Q3"/>
    <x v="8"/>
    <n v="9"/>
    <n v="1509"/>
    <x v="0"/>
    <x v="1"/>
    <n v="4"/>
    <n v="504.97"/>
    <n v="0.13"/>
    <n v="439.32390000000004"/>
    <n v="1757.3"/>
    <x v="2"/>
    <n v="7"/>
    <n v="2.7"/>
  </r>
  <r>
    <n v="275"/>
    <d v="2020-10-01T00:00:00"/>
    <x v="0"/>
    <s v="Q4"/>
    <x v="9"/>
    <n v="10"/>
    <n v="1806"/>
    <x v="0"/>
    <x v="1"/>
    <n v="4"/>
    <n v="227.84"/>
    <n v="0.23"/>
    <n v="175.43680000000001"/>
    <n v="701.75"/>
    <x v="1"/>
    <n v="10"/>
    <n v="1.1000000000000001"/>
  </r>
  <r>
    <n v="276"/>
    <d v="2020-10-02T00:00:00"/>
    <x v="0"/>
    <s v="Q4"/>
    <x v="9"/>
    <n v="10"/>
    <n v="1385"/>
    <x v="1"/>
    <x v="0"/>
    <n v="5"/>
    <n v="57.52"/>
    <n v="0.08"/>
    <n v="52.918400000000005"/>
    <n v="264.58999999999997"/>
    <x v="1"/>
    <n v="5"/>
    <n v="3.9"/>
  </r>
  <r>
    <n v="277"/>
    <d v="2020-10-03T00:00:00"/>
    <x v="0"/>
    <s v="Q4"/>
    <x v="9"/>
    <n v="10"/>
    <n v="1386"/>
    <x v="1"/>
    <x v="2"/>
    <n v="5"/>
    <n v="347.76"/>
    <n v="0.08"/>
    <n v="319.93919999999997"/>
    <n v="1599.7"/>
    <x v="1"/>
    <n v="9"/>
    <n v="1.4"/>
  </r>
  <r>
    <n v="278"/>
    <d v="2020-10-04T00:00:00"/>
    <x v="0"/>
    <s v="Q4"/>
    <x v="9"/>
    <n v="10"/>
    <n v="1112"/>
    <x v="3"/>
    <x v="0"/>
    <n v="3"/>
    <n v="341.83"/>
    <n v="0.2"/>
    <n v="273.464"/>
    <n v="820.39"/>
    <x v="1"/>
    <n v="7"/>
    <n v="3.1"/>
  </r>
  <r>
    <n v="279"/>
    <d v="2020-10-05T00:00:00"/>
    <x v="0"/>
    <s v="Q4"/>
    <x v="9"/>
    <n v="10"/>
    <n v="1612"/>
    <x v="2"/>
    <x v="1"/>
    <n v="7"/>
    <n v="512.24"/>
    <n v="0.2"/>
    <n v="409.79200000000003"/>
    <n v="2868.54"/>
    <x v="1"/>
    <n v="2"/>
    <n v="3.3"/>
  </r>
  <r>
    <n v="280"/>
    <d v="2020-10-06T00:00:00"/>
    <x v="0"/>
    <s v="Q4"/>
    <x v="9"/>
    <n v="10"/>
    <n v="1624"/>
    <x v="1"/>
    <x v="1"/>
    <n v="3"/>
    <n v="597.65"/>
    <n v="0.27"/>
    <n v="436.28449999999998"/>
    <n v="1308.8499999999999"/>
    <x v="1"/>
    <n v="10"/>
    <n v="1"/>
  </r>
  <r>
    <n v="281"/>
    <d v="2020-10-07T00:00:00"/>
    <x v="0"/>
    <s v="Q4"/>
    <x v="9"/>
    <n v="10"/>
    <n v="1951"/>
    <x v="1"/>
    <x v="1"/>
    <n v="3"/>
    <n v="312.27"/>
    <n v="0.27"/>
    <n v="227.95709999999997"/>
    <n v="683.87"/>
    <x v="2"/>
    <n v="1"/>
    <n v="4.9000000000000004"/>
  </r>
  <r>
    <n v="282"/>
    <d v="2020-10-08T00:00:00"/>
    <x v="0"/>
    <s v="Q4"/>
    <x v="9"/>
    <n v="10"/>
    <n v="1080"/>
    <x v="3"/>
    <x v="3"/>
    <n v="6"/>
    <n v="216.94"/>
    <n v="0.23"/>
    <n v="167.0438"/>
    <n v="1002.26"/>
    <x v="2"/>
    <n v="10"/>
    <n v="2.2000000000000002"/>
  </r>
  <r>
    <n v="283"/>
    <d v="2020-10-09T00:00:00"/>
    <x v="0"/>
    <s v="Q4"/>
    <x v="9"/>
    <n v="10"/>
    <n v="1698"/>
    <x v="2"/>
    <x v="3"/>
    <n v="4"/>
    <n v="123.75"/>
    <n v="0.16"/>
    <n v="103.95"/>
    <n v="415.8"/>
    <x v="1"/>
    <n v="10"/>
    <n v="1.3"/>
  </r>
  <r>
    <n v="284"/>
    <d v="2020-10-10T00:00:00"/>
    <x v="0"/>
    <s v="Q4"/>
    <x v="9"/>
    <n v="10"/>
    <n v="1112"/>
    <x v="2"/>
    <x v="3"/>
    <n v="5"/>
    <n v="17.809999999999999"/>
    <n v="0.31"/>
    <n v="12.288899999999998"/>
    <n v="61.44"/>
    <x v="2"/>
    <n v="4"/>
    <n v="4.4000000000000004"/>
  </r>
  <r>
    <n v="285"/>
    <d v="2020-10-11T00:00:00"/>
    <x v="0"/>
    <s v="Q4"/>
    <x v="9"/>
    <n v="10"/>
    <n v="1001"/>
    <x v="0"/>
    <x v="0"/>
    <n v="4"/>
    <n v="312.83"/>
    <n v="0.22"/>
    <n v="244.00739999999999"/>
    <n v="976.03"/>
    <x v="2"/>
    <n v="10"/>
    <n v="1.6"/>
  </r>
  <r>
    <n v="286"/>
    <d v="2020-10-12T00:00:00"/>
    <x v="0"/>
    <s v="Q4"/>
    <x v="9"/>
    <n v="10"/>
    <n v="1641"/>
    <x v="2"/>
    <x v="1"/>
    <n v="3"/>
    <n v="339.98"/>
    <n v="0.35"/>
    <n v="220.98700000000002"/>
    <n v="662.96"/>
    <x v="0"/>
    <n v="8"/>
    <n v="1.1000000000000001"/>
  </r>
  <r>
    <n v="287"/>
    <d v="2020-10-13T00:00:00"/>
    <x v="0"/>
    <s v="Q4"/>
    <x v="9"/>
    <n v="10"/>
    <n v="1219"/>
    <x v="1"/>
    <x v="2"/>
    <n v="5"/>
    <n v="497.59"/>
    <n v="0.28999999999999998"/>
    <n v="353.28890000000001"/>
    <n v="1766.44"/>
    <x v="1"/>
    <n v="6"/>
    <n v="3"/>
  </r>
  <r>
    <n v="288"/>
    <d v="2020-10-14T00:00:00"/>
    <x v="0"/>
    <s v="Q4"/>
    <x v="9"/>
    <n v="10"/>
    <n v="1565"/>
    <x v="2"/>
    <x v="0"/>
    <n v="2"/>
    <n v="310.18"/>
    <n v="0.02"/>
    <n v="303.97640000000001"/>
    <n v="607.95000000000005"/>
    <x v="2"/>
    <n v="2"/>
    <n v="1.5"/>
  </r>
  <r>
    <n v="289"/>
    <d v="2020-10-15T00:00:00"/>
    <x v="0"/>
    <s v="Q4"/>
    <x v="9"/>
    <n v="10"/>
    <n v="1854"/>
    <x v="2"/>
    <x v="0"/>
    <n v="1"/>
    <n v="551.13"/>
    <n v="0.11"/>
    <n v="490.50569999999999"/>
    <n v="490.51"/>
    <x v="2"/>
    <n v="5"/>
    <n v="4.9000000000000004"/>
  </r>
  <r>
    <n v="290"/>
    <d v="2020-10-16T00:00:00"/>
    <x v="0"/>
    <s v="Q4"/>
    <x v="9"/>
    <n v="10"/>
    <n v="1996"/>
    <x v="2"/>
    <x v="0"/>
    <n v="1"/>
    <n v="382.43"/>
    <n v="0.2"/>
    <n v="305.94400000000002"/>
    <n v="305.94"/>
    <x v="1"/>
    <n v="9"/>
    <n v="1"/>
  </r>
  <r>
    <n v="291"/>
    <d v="2020-10-17T00:00:00"/>
    <x v="0"/>
    <s v="Q4"/>
    <x v="9"/>
    <n v="10"/>
    <n v="1735"/>
    <x v="2"/>
    <x v="2"/>
    <n v="3"/>
    <n v="506.6"/>
    <n v="0.25"/>
    <n v="379.95000000000005"/>
    <n v="1139.8499999999999"/>
    <x v="0"/>
    <n v="6"/>
    <n v="1.2"/>
  </r>
  <r>
    <n v="292"/>
    <d v="2020-10-18T00:00:00"/>
    <x v="0"/>
    <s v="Q4"/>
    <x v="9"/>
    <n v="10"/>
    <n v="1224"/>
    <x v="0"/>
    <x v="1"/>
    <n v="7"/>
    <n v="101.76"/>
    <n v="0.19"/>
    <n v="82.425600000000003"/>
    <n v="576.98"/>
    <x v="2"/>
    <n v="6"/>
    <n v="4.3"/>
  </r>
  <r>
    <n v="293"/>
    <d v="2020-10-19T00:00:00"/>
    <x v="0"/>
    <s v="Q4"/>
    <x v="9"/>
    <n v="10"/>
    <n v="1384"/>
    <x v="2"/>
    <x v="3"/>
    <n v="4"/>
    <n v="515.37"/>
    <n v="0.28000000000000003"/>
    <n v="371.06639999999999"/>
    <n v="1484.27"/>
    <x v="2"/>
    <n v="7"/>
    <n v="2"/>
  </r>
  <r>
    <n v="294"/>
    <d v="2020-10-20T00:00:00"/>
    <x v="0"/>
    <s v="Q4"/>
    <x v="9"/>
    <n v="10"/>
    <n v="1402"/>
    <x v="0"/>
    <x v="1"/>
    <n v="2"/>
    <n v="409.96"/>
    <n v="0.1"/>
    <n v="368.964"/>
    <n v="737.93"/>
    <x v="1"/>
    <n v="11"/>
    <n v="4.5999999999999996"/>
  </r>
  <r>
    <n v="295"/>
    <d v="2020-10-21T00:00:00"/>
    <x v="0"/>
    <s v="Q4"/>
    <x v="9"/>
    <n v="10"/>
    <n v="1637"/>
    <x v="1"/>
    <x v="1"/>
    <n v="5"/>
    <n v="114.59"/>
    <n v="0.06"/>
    <n v="107.7146"/>
    <n v="538.57000000000005"/>
    <x v="1"/>
    <n v="5"/>
    <n v="2.2000000000000002"/>
  </r>
  <r>
    <n v="296"/>
    <d v="2020-10-22T00:00:00"/>
    <x v="0"/>
    <s v="Q4"/>
    <x v="9"/>
    <n v="10"/>
    <n v="1129"/>
    <x v="1"/>
    <x v="0"/>
    <n v="7"/>
    <n v="126.01"/>
    <n v="0.02"/>
    <n v="123.4898"/>
    <n v="864.43"/>
    <x v="2"/>
    <n v="3"/>
    <n v="1.3"/>
  </r>
  <r>
    <n v="297"/>
    <d v="2020-10-23T00:00:00"/>
    <x v="0"/>
    <s v="Q4"/>
    <x v="9"/>
    <n v="10"/>
    <n v="1052"/>
    <x v="1"/>
    <x v="0"/>
    <n v="4"/>
    <n v="557"/>
    <n v="0.2"/>
    <n v="445.6"/>
    <n v="1782.4"/>
    <x v="1"/>
    <n v="3"/>
    <n v="1"/>
  </r>
  <r>
    <n v="298"/>
    <d v="2020-10-24T00:00:00"/>
    <x v="0"/>
    <s v="Q4"/>
    <x v="9"/>
    <n v="10"/>
    <n v="1683"/>
    <x v="1"/>
    <x v="0"/>
    <n v="3"/>
    <n v="33.85"/>
    <n v="0.24"/>
    <n v="25.725999999999999"/>
    <n v="77.180000000000007"/>
    <x v="2"/>
    <n v="5"/>
    <n v="2.1"/>
  </r>
  <r>
    <n v="299"/>
    <d v="2020-10-25T00:00:00"/>
    <x v="0"/>
    <s v="Q4"/>
    <x v="9"/>
    <n v="10"/>
    <n v="1729"/>
    <x v="3"/>
    <x v="3"/>
    <n v="4"/>
    <n v="285.58"/>
    <n v="0.11"/>
    <n v="254.16619999999998"/>
    <n v="1016.66"/>
    <x v="1"/>
    <n v="4"/>
    <n v="2.9"/>
  </r>
  <r>
    <n v="300"/>
    <d v="2020-10-26T00:00:00"/>
    <x v="0"/>
    <s v="Q4"/>
    <x v="9"/>
    <n v="10"/>
    <n v="1671"/>
    <x v="2"/>
    <x v="3"/>
    <n v="3"/>
    <n v="198.38"/>
    <n v="0.21"/>
    <n v="156.72020000000001"/>
    <n v="470.16"/>
    <x v="2"/>
    <n v="5"/>
    <n v="1"/>
  </r>
  <r>
    <n v="301"/>
    <d v="2020-10-27T00:00:00"/>
    <x v="0"/>
    <s v="Q4"/>
    <x v="9"/>
    <n v="10"/>
    <n v="1709"/>
    <x v="1"/>
    <x v="3"/>
    <n v="6"/>
    <n v="404.07"/>
    <n v="0.02"/>
    <n v="395.98860000000002"/>
    <n v="2375.9299999999998"/>
    <x v="2"/>
    <n v="9"/>
    <n v="3.3"/>
  </r>
  <r>
    <n v="302"/>
    <d v="2020-10-28T00:00:00"/>
    <x v="0"/>
    <s v="Q4"/>
    <x v="9"/>
    <n v="10"/>
    <n v="1415"/>
    <x v="0"/>
    <x v="1"/>
    <n v="1"/>
    <n v="506.18"/>
    <n v="0.03"/>
    <n v="490.99459999999999"/>
    <n v="490.99"/>
    <x v="1"/>
    <n v="5"/>
    <n v="2.2999999999999998"/>
  </r>
  <r>
    <n v="303"/>
    <d v="2020-10-29T00:00:00"/>
    <x v="0"/>
    <s v="Q4"/>
    <x v="9"/>
    <n v="10"/>
    <n v="1246"/>
    <x v="0"/>
    <x v="0"/>
    <n v="7"/>
    <n v="225.82"/>
    <n v="0.25"/>
    <n v="169.36500000000001"/>
    <n v="1185.56"/>
    <x v="2"/>
    <n v="4"/>
    <n v="2.6"/>
  </r>
  <r>
    <n v="304"/>
    <d v="2020-10-30T00:00:00"/>
    <x v="0"/>
    <s v="Q4"/>
    <x v="9"/>
    <n v="10"/>
    <n v="1835"/>
    <x v="0"/>
    <x v="2"/>
    <n v="1"/>
    <n v="264.74"/>
    <n v="0.13"/>
    <n v="230.32380000000001"/>
    <n v="230.32"/>
    <x v="1"/>
    <n v="4"/>
    <n v="2"/>
  </r>
  <r>
    <n v="305"/>
    <d v="2020-10-31T00:00:00"/>
    <x v="0"/>
    <s v="Q4"/>
    <x v="9"/>
    <n v="10"/>
    <n v="1438"/>
    <x v="1"/>
    <x v="1"/>
    <n v="4"/>
    <n v="589.41999999999996"/>
    <n v="0.23"/>
    <n v="453.85339999999997"/>
    <n v="1815.41"/>
    <x v="1"/>
    <n v="1"/>
    <n v="3.1"/>
  </r>
  <r>
    <n v="306"/>
    <d v="2020-11-01T00:00:00"/>
    <x v="0"/>
    <s v="Q4"/>
    <x v="10"/>
    <n v="11"/>
    <n v="1202"/>
    <x v="3"/>
    <x v="3"/>
    <n v="2"/>
    <n v="473.59"/>
    <n v="0.28999999999999998"/>
    <n v="336.24889999999999"/>
    <n v="672.5"/>
    <x v="1"/>
    <n v="10"/>
    <n v="1.9"/>
  </r>
  <r>
    <n v="307"/>
    <d v="2020-11-02T00:00:00"/>
    <x v="0"/>
    <s v="Q4"/>
    <x v="10"/>
    <n v="11"/>
    <n v="1183"/>
    <x v="1"/>
    <x v="2"/>
    <n v="5"/>
    <n v="539.86"/>
    <n v="0.3"/>
    <n v="377.90200000000004"/>
    <n v="1889.51"/>
    <x v="1"/>
    <n v="4"/>
    <n v="1.5"/>
  </r>
  <r>
    <n v="308"/>
    <d v="2020-11-03T00:00:00"/>
    <x v="0"/>
    <s v="Q4"/>
    <x v="10"/>
    <n v="11"/>
    <n v="1122"/>
    <x v="1"/>
    <x v="2"/>
    <n v="3"/>
    <n v="271.68"/>
    <n v="0.06"/>
    <n v="255.3792"/>
    <n v="766.14"/>
    <x v="1"/>
    <n v="4"/>
    <n v="4.5999999999999996"/>
  </r>
  <r>
    <n v="309"/>
    <d v="2020-11-04T00:00:00"/>
    <x v="0"/>
    <s v="Q4"/>
    <x v="10"/>
    <n v="11"/>
    <n v="1400"/>
    <x v="2"/>
    <x v="0"/>
    <n v="5"/>
    <n v="151.93"/>
    <n v="0.17"/>
    <n v="126.1019"/>
    <n v="630.51"/>
    <x v="0"/>
    <n v="9"/>
    <n v="2.6"/>
  </r>
  <r>
    <n v="310"/>
    <d v="2020-11-05T00:00:00"/>
    <x v="0"/>
    <s v="Q4"/>
    <x v="10"/>
    <n v="11"/>
    <n v="1766"/>
    <x v="1"/>
    <x v="2"/>
    <n v="1"/>
    <n v="255.94"/>
    <n v="0.26"/>
    <n v="189.3956"/>
    <n v="189.4"/>
    <x v="1"/>
    <n v="11"/>
    <n v="1.3"/>
  </r>
  <r>
    <n v="311"/>
    <d v="2020-11-06T00:00:00"/>
    <x v="0"/>
    <s v="Q4"/>
    <x v="10"/>
    <n v="11"/>
    <n v="1293"/>
    <x v="2"/>
    <x v="3"/>
    <n v="2"/>
    <n v="433.91"/>
    <n v="0.27"/>
    <n v="316.7543"/>
    <n v="633.51"/>
    <x v="1"/>
    <n v="4"/>
    <n v="1.9"/>
  </r>
  <r>
    <n v="312"/>
    <d v="2020-11-07T00:00:00"/>
    <x v="0"/>
    <s v="Q4"/>
    <x v="10"/>
    <n v="11"/>
    <n v="1279"/>
    <x v="2"/>
    <x v="0"/>
    <n v="2"/>
    <n v="79.02"/>
    <n v="0.27"/>
    <n v="57.684599999999996"/>
    <n v="115.37"/>
    <x v="1"/>
    <n v="7"/>
    <n v="2.2000000000000002"/>
  </r>
  <r>
    <n v="313"/>
    <d v="2020-11-08T00:00:00"/>
    <x v="0"/>
    <s v="Q4"/>
    <x v="10"/>
    <n v="11"/>
    <n v="1836"/>
    <x v="0"/>
    <x v="2"/>
    <n v="5"/>
    <n v="173.22"/>
    <n v="0.08"/>
    <n v="159.36240000000001"/>
    <n v="796.81"/>
    <x v="1"/>
    <n v="1"/>
    <n v="4.0999999999999996"/>
  </r>
  <r>
    <n v="314"/>
    <d v="2020-11-09T00:00:00"/>
    <x v="0"/>
    <s v="Q4"/>
    <x v="10"/>
    <n v="11"/>
    <n v="1883"/>
    <x v="2"/>
    <x v="0"/>
    <n v="1"/>
    <n v="42.28"/>
    <n v="7.0000000000000007E-2"/>
    <n v="39.320399999999999"/>
    <n v="39.32"/>
    <x v="2"/>
    <n v="7"/>
    <n v="1.1000000000000001"/>
  </r>
  <r>
    <n v="315"/>
    <d v="2020-11-10T00:00:00"/>
    <x v="0"/>
    <s v="Q4"/>
    <x v="10"/>
    <n v="11"/>
    <n v="1609"/>
    <x v="2"/>
    <x v="2"/>
    <n v="5"/>
    <n v="267.92"/>
    <n v="0.21"/>
    <n v="211.6568"/>
    <n v="1058.28"/>
    <x v="1"/>
    <n v="2"/>
    <n v="2.9"/>
  </r>
  <r>
    <n v="316"/>
    <d v="2020-11-11T00:00:00"/>
    <x v="0"/>
    <s v="Q4"/>
    <x v="10"/>
    <n v="11"/>
    <n v="1197"/>
    <x v="2"/>
    <x v="1"/>
    <n v="4"/>
    <n v="499.06"/>
    <n v="0.26"/>
    <n v="369.30439999999999"/>
    <n v="1477.22"/>
    <x v="2"/>
    <n v="11"/>
    <n v="2.6"/>
  </r>
  <r>
    <n v="317"/>
    <d v="2020-11-12T00:00:00"/>
    <x v="0"/>
    <s v="Q4"/>
    <x v="10"/>
    <n v="11"/>
    <n v="1981"/>
    <x v="0"/>
    <x v="1"/>
    <n v="2"/>
    <n v="29.43"/>
    <n v="0.11"/>
    <n v="26.192699999999999"/>
    <n v="52.39"/>
    <x v="1"/>
    <n v="8"/>
    <n v="4.9000000000000004"/>
  </r>
  <r>
    <n v="318"/>
    <d v="2020-11-13T00:00:00"/>
    <x v="0"/>
    <s v="Q4"/>
    <x v="10"/>
    <n v="11"/>
    <n v="1906"/>
    <x v="1"/>
    <x v="3"/>
    <n v="2"/>
    <n v="410.06"/>
    <n v="0.04"/>
    <n v="393.6576"/>
    <n v="787.32"/>
    <x v="0"/>
    <n v="1"/>
    <n v="1.7"/>
  </r>
  <r>
    <n v="319"/>
    <d v="2020-11-14T00:00:00"/>
    <x v="0"/>
    <s v="Q4"/>
    <x v="10"/>
    <n v="11"/>
    <n v="1510"/>
    <x v="1"/>
    <x v="1"/>
    <n v="4"/>
    <n v="560.51"/>
    <n v="0.25"/>
    <n v="420.38249999999999"/>
    <n v="1681.53"/>
    <x v="1"/>
    <n v="10"/>
    <n v="3.5"/>
  </r>
  <r>
    <n v="320"/>
    <d v="2020-11-15T00:00:00"/>
    <x v="0"/>
    <s v="Q4"/>
    <x v="10"/>
    <n v="11"/>
    <n v="1751"/>
    <x v="3"/>
    <x v="1"/>
    <n v="1"/>
    <n v="153.6"/>
    <n v="0.1"/>
    <n v="138.24"/>
    <n v="138.24"/>
    <x v="2"/>
    <n v="3"/>
    <n v="1.8"/>
  </r>
  <r>
    <n v="321"/>
    <d v="2020-11-16T00:00:00"/>
    <x v="0"/>
    <s v="Q4"/>
    <x v="10"/>
    <n v="11"/>
    <n v="1143"/>
    <x v="3"/>
    <x v="1"/>
    <n v="2"/>
    <n v="420.78"/>
    <n v="0.06"/>
    <n v="395.53319999999997"/>
    <n v="791.07"/>
    <x v="2"/>
    <n v="8"/>
    <n v="3.2"/>
  </r>
  <r>
    <n v="322"/>
    <d v="2020-11-17T00:00:00"/>
    <x v="0"/>
    <s v="Q4"/>
    <x v="10"/>
    <n v="11"/>
    <n v="1608"/>
    <x v="2"/>
    <x v="2"/>
    <n v="7"/>
    <n v="585.42999999999995"/>
    <n v="0.05"/>
    <n v="556.1585"/>
    <n v="3893.11"/>
    <x v="1"/>
    <n v="10"/>
    <n v="3.2"/>
  </r>
  <r>
    <n v="323"/>
    <d v="2020-11-18T00:00:00"/>
    <x v="0"/>
    <s v="Q4"/>
    <x v="10"/>
    <n v="11"/>
    <n v="1200"/>
    <x v="3"/>
    <x v="2"/>
    <n v="6"/>
    <n v="577.92999999999995"/>
    <n v="0.11"/>
    <n v="514.35769999999991"/>
    <n v="3086.15"/>
    <x v="2"/>
    <n v="8"/>
    <n v="1.3"/>
  </r>
  <r>
    <n v="324"/>
    <d v="2020-11-19T00:00:00"/>
    <x v="0"/>
    <s v="Q4"/>
    <x v="10"/>
    <n v="11"/>
    <n v="1123"/>
    <x v="3"/>
    <x v="0"/>
    <n v="6"/>
    <n v="152.43"/>
    <n v="0.21"/>
    <n v="120.41970000000001"/>
    <n v="722.52"/>
    <x v="2"/>
    <n v="11"/>
    <n v="2.8"/>
  </r>
  <r>
    <n v="325"/>
    <d v="2020-11-20T00:00:00"/>
    <x v="0"/>
    <s v="Q4"/>
    <x v="10"/>
    <n v="11"/>
    <n v="1186"/>
    <x v="3"/>
    <x v="2"/>
    <n v="6"/>
    <n v="73.69"/>
    <n v="0.13"/>
    <n v="64.110299999999995"/>
    <n v="384.66"/>
    <x v="1"/>
    <n v="5"/>
    <n v="2.8"/>
  </r>
  <r>
    <n v="326"/>
    <d v="2020-11-21T00:00:00"/>
    <x v="0"/>
    <s v="Q4"/>
    <x v="10"/>
    <n v="11"/>
    <n v="1325"/>
    <x v="2"/>
    <x v="1"/>
    <n v="3"/>
    <n v="101.75"/>
    <n v="0.01"/>
    <n v="100.7325"/>
    <n v="302.2"/>
    <x v="2"/>
    <n v="5"/>
    <n v="2.2999999999999998"/>
  </r>
  <r>
    <n v="327"/>
    <d v="2020-11-22T00:00:00"/>
    <x v="0"/>
    <s v="Q4"/>
    <x v="10"/>
    <n v="11"/>
    <n v="1463"/>
    <x v="0"/>
    <x v="2"/>
    <n v="7"/>
    <n v="425.69"/>
    <n v="0.03"/>
    <n v="412.91930000000002"/>
    <n v="2890.44"/>
    <x v="0"/>
    <n v="8"/>
    <n v="2.1"/>
  </r>
  <r>
    <n v="328"/>
    <d v="2020-11-23T00:00:00"/>
    <x v="0"/>
    <s v="Q4"/>
    <x v="10"/>
    <n v="11"/>
    <n v="1348"/>
    <x v="1"/>
    <x v="3"/>
    <n v="3"/>
    <n v="439.57"/>
    <n v="0.1"/>
    <n v="395.613"/>
    <n v="1186.8399999999999"/>
    <x v="2"/>
    <n v="10"/>
    <n v="1.9"/>
  </r>
  <r>
    <n v="329"/>
    <d v="2020-11-24T00:00:00"/>
    <x v="0"/>
    <s v="Q4"/>
    <x v="10"/>
    <n v="11"/>
    <n v="1770"/>
    <x v="2"/>
    <x v="0"/>
    <n v="1"/>
    <n v="409.43"/>
    <n v="0.23"/>
    <n v="315.2611"/>
    <n v="315.26"/>
    <x v="0"/>
    <n v="5"/>
    <n v="1"/>
  </r>
  <r>
    <n v="330"/>
    <d v="2020-11-25T00:00:00"/>
    <x v="0"/>
    <s v="Q4"/>
    <x v="10"/>
    <n v="11"/>
    <n v="1659"/>
    <x v="1"/>
    <x v="0"/>
    <n v="4"/>
    <n v="211.61"/>
    <n v="0.03"/>
    <n v="205.26170000000002"/>
    <n v="821.05"/>
    <x v="1"/>
    <n v="9"/>
    <n v="1"/>
  </r>
  <r>
    <n v="331"/>
    <d v="2020-11-26T00:00:00"/>
    <x v="0"/>
    <s v="Q4"/>
    <x v="10"/>
    <n v="11"/>
    <n v="1763"/>
    <x v="2"/>
    <x v="2"/>
    <n v="5"/>
    <n v="114.32"/>
    <n v="0.2"/>
    <n v="91.455999999999989"/>
    <n v="457.28"/>
    <x v="2"/>
    <n v="1"/>
    <n v="3.4"/>
  </r>
  <r>
    <n v="332"/>
    <d v="2020-11-27T00:00:00"/>
    <x v="0"/>
    <s v="Q4"/>
    <x v="10"/>
    <n v="11"/>
    <n v="1954"/>
    <x v="2"/>
    <x v="1"/>
    <n v="7"/>
    <n v="354.75"/>
    <n v="0.04"/>
    <n v="340.56"/>
    <n v="2383.92"/>
    <x v="0"/>
    <n v="5"/>
    <n v="2.2000000000000002"/>
  </r>
  <r>
    <n v="333"/>
    <d v="2020-11-28T00:00:00"/>
    <x v="0"/>
    <s v="Q4"/>
    <x v="10"/>
    <n v="11"/>
    <n v="1931"/>
    <x v="3"/>
    <x v="0"/>
    <n v="1"/>
    <n v="297.95"/>
    <n v="7.0000000000000007E-2"/>
    <n v="277.09350000000001"/>
    <n v="277.08999999999997"/>
    <x v="1"/>
    <n v="3"/>
    <n v="1.7"/>
  </r>
  <r>
    <n v="334"/>
    <d v="2020-11-29T00:00:00"/>
    <x v="0"/>
    <s v="Q4"/>
    <x v="10"/>
    <n v="11"/>
    <n v="1402"/>
    <x v="2"/>
    <x v="3"/>
    <n v="5"/>
    <n v="441.37"/>
    <n v="0.06"/>
    <n v="414.88780000000003"/>
    <n v="2074.44"/>
    <x v="0"/>
    <n v="3"/>
    <n v="3.7"/>
  </r>
  <r>
    <n v="335"/>
    <d v="2020-11-30T00:00:00"/>
    <x v="0"/>
    <s v="Q4"/>
    <x v="10"/>
    <n v="11"/>
    <n v="1345"/>
    <x v="1"/>
    <x v="3"/>
    <n v="1"/>
    <n v="273.2"/>
    <n v="0.02"/>
    <n v="267.73599999999999"/>
    <n v="267.74"/>
    <x v="1"/>
    <n v="2"/>
    <n v="3.1"/>
  </r>
  <r>
    <n v="336"/>
    <d v="2020-12-01T00:00:00"/>
    <x v="0"/>
    <s v="Q4"/>
    <x v="11"/>
    <n v="12"/>
    <n v="1962"/>
    <x v="1"/>
    <x v="0"/>
    <n v="3"/>
    <n v="213.1"/>
    <n v="0.23"/>
    <n v="164.08699999999999"/>
    <n v="492.26"/>
    <x v="0"/>
    <n v="3"/>
    <n v="4.7"/>
  </r>
  <r>
    <n v="337"/>
    <d v="2020-12-02T00:00:00"/>
    <x v="0"/>
    <s v="Q4"/>
    <x v="11"/>
    <n v="12"/>
    <n v="1510"/>
    <x v="2"/>
    <x v="1"/>
    <n v="6"/>
    <n v="186.68"/>
    <n v="0.16"/>
    <n v="156.81120000000001"/>
    <n v="940.87"/>
    <x v="1"/>
    <n v="7"/>
    <n v="4.3"/>
  </r>
  <r>
    <n v="338"/>
    <d v="2020-12-03T00:00:00"/>
    <x v="0"/>
    <s v="Q4"/>
    <x v="11"/>
    <n v="12"/>
    <n v="1146"/>
    <x v="0"/>
    <x v="1"/>
    <n v="4"/>
    <n v="138.71"/>
    <n v="0.28999999999999998"/>
    <n v="98.484100000000012"/>
    <n v="393.94"/>
    <x v="1"/>
    <n v="8"/>
    <n v="3.9"/>
  </r>
  <r>
    <n v="339"/>
    <d v="2020-12-04T00:00:00"/>
    <x v="0"/>
    <s v="Q4"/>
    <x v="11"/>
    <n v="12"/>
    <n v="1147"/>
    <x v="2"/>
    <x v="2"/>
    <n v="3"/>
    <n v="170.46"/>
    <n v="0.03"/>
    <n v="165.34620000000001"/>
    <n v="496.04"/>
    <x v="0"/>
    <n v="8"/>
    <n v="1.5"/>
  </r>
  <r>
    <n v="340"/>
    <d v="2020-12-05T00:00:00"/>
    <x v="0"/>
    <s v="Q4"/>
    <x v="11"/>
    <n v="12"/>
    <n v="1863"/>
    <x v="2"/>
    <x v="2"/>
    <n v="4"/>
    <n v="70.48"/>
    <n v="0.05"/>
    <n v="66.956000000000003"/>
    <n v="267.82"/>
    <x v="1"/>
    <n v="11"/>
    <n v="3.7"/>
  </r>
  <r>
    <n v="341"/>
    <d v="2020-12-06T00:00:00"/>
    <x v="0"/>
    <s v="Q4"/>
    <x v="11"/>
    <n v="12"/>
    <n v="1710"/>
    <x v="2"/>
    <x v="0"/>
    <n v="7"/>
    <n v="217.91"/>
    <n v="0.11"/>
    <n v="193.93989999999999"/>
    <n v="1357.58"/>
    <x v="1"/>
    <n v="8"/>
    <n v="3.8"/>
  </r>
  <r>
    <n v="342"/>
    <d v="2020-12-07T00:00:00"/>
    <x v="0"/>
    <s v="Q4"/>
    <x v="11"/>
    <n v="12"/>
    <n v="1819"/>
    <x v="2"/>
    <x v="2"/>
    <n v="5"/>
    <n v="36.39"/>
    <n v="0.27"/>
    <n v="26.564700000000002"/>
    <n v="132.82"/>
    <x v="1"/>
    <n v="1"/>
    <n v="4.0999999999999996"/>
  </r>
  <r>
    <n v="343"/>
    <d v="2020-12-08T00:00:00"/>
    <x v="0"/>
    <s v="Q4"/>
    <x v="11"/>
    <n v="12"/>
    <n v="1488"/>
    <x v="2"/>
    <x v="2"/>
    <n v="1"/>
    <n v="124.05"/>
    <n v="0.11"/>
    <n v="110.4045"/>
    <n v="110.4"/>
    <x v="2"/>
    <n v="11"/>
    <n v="2.1"/>
  </r>
  <r>
    <n v="344"/>
    <d v="2020-12-09T00:00:00"/>
    <x v="0"/>
    <s v="Q4"/>
    <x v="11"/>
    <n v="12"/>
    <n v="1928"/>
    <x v="3"/>
    <x v="2"/>
    <n v="2"/>
    <n v="451.86"/>
    <n v="0.14000000000000001"/>
    <n v="388.59960000000001"/>
    <n v="777.2"/>
    <x v="0"/>
    <n v="7"/>
    <n v="3.6"/>
  </r>
  <r>
    <n v="345"/>
    <d v="2020-12-10T00:00:00"/>
    <x v="0"/>
    <s v="Q4"/>
    <x v="11"/>
    <n v="12"/>
    <n v="1935"/>
    <x v="0"/>
    <x v="3"/>
    <n v="2"/>
    <n v="205.4"/>
    <n v="0.11"/>
    <n v="182.80600000000001"/>
    <n v="365.61"/>
    <x v="1"/>
    <n v="2"/>
    <n v="3.5"/>
  </r>
  <r>
    <n v="346"/>
    <d v="2020-12-11T00:00:00"/>
    <x v="0"/>
    <s v="Q4"/>
    <x v="11"/>
    <n v="12"/>
    <n v="1639"/>
    <x v="2"/>
    <x v="2"/>
    <n v="4"/>
    <n v="405.92"/>
    <n v="0.03"/>
    <n v="393.74240000000003"/>
    <n v="1574.97"/>
    <x v="2"/>
    <n v="11"/>
    <n v="2.5"/>
  </r>
  <r>
    <n v="347"/>
    <d v="2020-12-12T00:00:00"/>
    <x v="0"/>
    <s v="Q4"/>
    <x v="11"/>
    <n v="12"/>
    <n v="1550"/>
    <x v="3"/>
    <x v="0"/>
    <n v="6"/>
    <n v="434.38"/>
    <n v="0.33"/>
    <n v="291.03459999999995"/>
    <n v="1746.21"/>
    <x v="1"/>
    <n v="10"/>
    <n v="3.7"/>
  </r>
  <r>
    <n v="348"/>
    <d v="2020-12-13T00:00:00"/>
    <x v="0"/>
    <s v="Q4"/>
    <x v="11"/>
    <n v="12"/>
    <n v="1337"/>
    <x v="3"/>
    <x v="1"/>
    <n v="6"/>
    <n v="354.99"/>
    <n v="0.19"/>
    <n v="287.5419"/>
    <n v="1725.25"/>
    <x v="2"/>
    <n v="4"/>
    <n v="1.3"/>
  </r>
  <r>
    <n v="349"/>
    <d v="2020-12-14T00:00:00"/>
    <x v="0"/>
    <s v="Q4"/>
    <x v="11"/>
    <n v="12"/>
    <n v="1871"/>
    <x v="3"/>
    <x v="2"/>
    <n v="4"/>
    <n v="575.84"/>
    <n v="0.28000000000000003"/>
    <n v="414.60480000000001"/>
    <n v="1658.42"/>
    <x v="1"/>
    <n v="5"/>
    <n v="3.6"/>
  </r>
  <r>
    <n v="350"/>
    <d v="2020-12-15T00:00:00"/>
    <x v="0"/>
    <s v="Q4"/>
    <x v="11"/>
    <n v="12"/>
    <n v="1640"/>
    <x v="1"/>
    <x v="1"/>
    <n v="3"/>
    <n v="27.54"/>
    <n v="0.23"/>
    <n v="21.2058"/>
    <n v="63.62"/>
    <x v="1"/>
    <n v="1"/>
    <n v="3.4"/>
  </r>
  <r>
    <n v="351"/>
    <d v="2020-12-16T00:00:00"/>
    <x v="0"/>
    <s v="Q4"/>
    <x v="11"/>
    <n v="12"/>
    <n v="1778"/>
    <x v="2"/>
    <x v="2"/>
    <n v="2"/>
    <n v="447.11"/>
    <n v="0.18"/>
    <n v="366.6302"/>
    <n v="733.26"/>
    <x v="1"/>
    <n v="4"/>
    <n v="1.8"/>
  </r>
  <r>
    <n v="352"/>
    <d v="2020-12-17T00:00:00"/>
    <x v="0"/>
    <s v="Q4"/>
    <x v="11"/>
    <n v="12"/>
    <n v="1987"/>
    <x v="2"/>
    <x v="0"/>
    <n v="3"/>
    <n v="575.89"/>
    <n v="0.03"/>
    <n v="558.61329999999998"/>
    <n v="1675.84"/>
    <x v="2"/>
    <n v="4"/>
    <n v="4.3"/>
  </r>
  <r>
    <n v="353"/>
    <d v="2020-12-18T00:00:00"/>
    <x v="0"/>
    <s v="Q4"/>
    <x v="11"/>
    <n v="12"/>
    <n v="1952"/>
    <x v="3"/>
    <x v="3"/>
    <n v="5"/>
    <n v="519.42999999999995"/>
    <n v="0.22"/>
    <n v="405.15539999999999"/>
    <n v="2025.78"/>
    <x v="0"/>
    <n v="9"/>
    <n v="4.5"/>
  </r>
  <r>
    <n v="354"/>
    <d v="2020-12-19T00:00:00"/>
    <x v="0"/>
    <s v="Q4"/>
    <x v="11"/>
    <n v="12"/>
    <n v="1472"/>
    <x v="3"/>
    <x v="0"/>
    <n v="2"/>
    <n v="113.22"/>
    <n v="0.05"/>
    <n v="107.559"/>
    <n v="215.12"/>
    <x v="2"/>
    <n v="9"/>
    <n v="1.8"/>
  </r>
  <r>
    <n v="355"/>
    <d v="2020-12-20T00:00:00"/>
    <x v="0"/>
    <s v="Q4"/>
    <x v="11"/>
    <n v="12"/>
    <n v="1945"/>
    <x v="2"/>
    <x v="3"/>
    <n v="5"/>
    <n v="206.19"/>
    <n v="0.15"/>
    <n v="175.26150000000001"/>
    <n v="876.31"/>
    <x v="1"/>
    <n v="11"/>
    <n v="1.3"/>
  </r>
  <r>
    <n v="356"/>
    <d v="2020-12-21T00:00:00"/>
    <x v="0"/>
    <s v="Q4"/>
    <x v="11"/>
    <n v="12"/>
    <n v="1150"/>
    <x v="1"/>
    <x v="2"/>
    <n v="1"/>
    <n v="115.88"/>
    <n v="0.22"/>
    <n v="90.386399999999995"/>
    <n v="90.39"/>
    <x v="2"/>
    <n v="10"/>
    <n v="3.4"/>
  </r>
  <r>
    <n v="357"/>
    <d v="2020-12-22T00:00:00"/>
    <x v="0"/>
    <s v="Q4"/>
    <x v="11"/>
    <n v="12"/>
    <n v="1414"/>
    <x v="0"/>
    <x v="2"/>
    <n v="3"/>
    <n v="366.77"/>
    <n v="0.27"/>
    <n v="267.74209999999999"/>
    <n v="803.23"/>
    <x v="2"/>
    <n v="1"/>
    <n v="2.9"/>
  </r>
  <r>
    <n v="358"/>
    <d v="2020-12-23T00:00:00"/>
    <x v="0"/>
    <s v="Q4"/>
    <x v="11"/>
    <n v="12"/>
    <n v="1989"/>
    <x v="3"/>
    <x v="3"/>
    <n v="4"/>
    <n v="431.63"/>
    <n v="0.24"/>
    <n v="328.03879999999998"/>
    <n v="1312.16"/>
    <x v="1"/>
    <n v="8"/>
    <n v="2.7"/>
  </r>
  <r>
    <n v="359"/>
    <d v="2020-12-24T00:00:00"/>
    <x v="0"/>
    <s v="Q4"/>
    <x v="11"/>
    <n v="12"/>
    <n v="1297"/>
    <x v="0"/>
    <x v="0"/>
    <n v="2"/>
    <n v="200.49"/>
    <n v="0.24"/>
    <n v="152.3724"/>
    <n v="304.74"/>
    <x v="1"/>
    <n v="4"/>
    <n v="4"/>
  </r>
  <r>
    <n v="360"/>
    <d v="2020-12-25T00:00:00"/>
    <x v="0"/>
    <s v="Q4"/>
    <x v="11"/>
    <n v="12"/>
    <n v="1610"/>
    <x v="3"/>
    <x v="0"/>
    <n v="3"/>
    <n v="330.61"/>
    <n v="0.05"/>
    <n v="314.0795"/>
    <n v="942.24"/>
    <x v="1"/>
    <n v="4"/>
    <n v="4.9000000000000004"/>
  </r>
  <r>
    <n v="361"/>
    <d v="2020-12-26T00:00:00"/>
    <x v="0"/>
    <s v="Q4"/>
    <x v="11"/>
    <n v="12"/>
    <n v="1262"/>
    <x v="1"/>
    <x v="3"/>
    <n v="4"/>
    <n v="419.19"/>
    <n v="0.12"/>
    <n v="368.88720000000001"/>
    <n v="1475.55"/>
    <x v="2"/>
    <n v="5"/>
    <n v="2.9"/>
  </r>
  <r>
    <n v="362"/>
    <d v="2020-12-27T00:00:00"/>
    <x v="0"/>
    <s v="Q4"/>
    <x v="11"/>
    <n v="12"/>
    <n v="1763"/>
    <x v="1"/>
    <x v="2"/>
    <n v="1"/>
    <n v="261.48"/>
    <n v="0.02"/>
    <n v="256.25040000000001"/>
    <n v="256.25"/>
    <x v="2"/>
    <n v="2"/>
    <n v="1"/>
  </r>
  <r>
    <n v="363"/>
    <d v="2020-12-28T00:00:00"/>
    <x v="0"/>
    <s v="Q4"/>
    <x v="11"/>
    <n v="12"/>
    <n v="1143"/>
    <x v="3"/>
    <x v="3"/>
    <n v="2"/>
    <n v="514.6"/>
    <n v="0.25"/>
    <n v="385.95000000000005"/>
    <n v="771.9"/>
    <x v="2"/>
    <n v="1"/>
    <n v="3.4"/>
  </r>
  <r>
    <n v="364"/>
    <d v="2020-12-29T00:00:00"/>
    <x v="0"/>
    <s v="Q4"/>
    <x v="11"/>
    <n v="12"/>
    <n v="1345"/>
    <x v="2"/>
    <x v="2"/>
    <n v="5"/>
    <n v="466.36"/>
    <n v="0.33"/>
    <n v="312.46119999999996"/>
    <n v="1562.31"/>
    <x v="1"/>
    <n v="5"/>
    <n v="3.6"/>
  </r>
  <r>
    <n v="365"/>
    <d v="2020-12-30T00:00:00"/>
    <x v="0"/>
    <s v="Q4"/>
    <x v="11"/>
    <n v="12"/>
    <n v="1623"/>
    <x v="1"/>
    <x v="3"/>
    <n v="1"/>
    <n v="52.83"/>
    <n v="0.09"/>
    <n v="48.075299999999999"/>
    <n v="48.08"/>
    <x v="1"/>
    <n v="7"/>
    <n v="4.3"/>
  </r>
  <r>
    <n v="366"/>
    <d v="2020-12-31T00:00:00"/>
    <x v="0"/>
    <s v="Q4"/>
    <x v="11"/>
    <n v="12"/>
    <n v="1571"/>
    <x v="3"/>
    <x v="2"/>
    <n v="6"/>
    <n v="378.36"/>
    <n v="0.03"/>
    <n v="367.00920000000002"/>
    <n v="2202.06"/>
    <x v="0"/>
    <n v="10"/>
    <n v="1.8"/>
  </r>
  <r>
    <n v="367"/>
    <d v="2021-01-01T00:00:00"/>
    <x v="1"/>
    <s v="Q1"/>
    <x v="0"/>
    <n v="1"/>
    <n v="1880"/>
    <x v="2"/>
    <x v="3"/>
    <n v="4"/>
    <n v="152.66999999999999"/>
    <n v="0.17"/>
    <n v="126.71609999999998"/>
    <n v="506.86"/>
    <x v="1"/>
    <n v="9"/>
    <n v="3.1"/>
  </r>
  <r>
    <n v="368"/>
    <d v="2021-01-02T00:00:00"/>
    <x v="1"/>
    <s v="Q1"/>
    <x v="0"/>
    <n v="1"/>
    <n v="1001"/>
    <x v="3"/>
    <x v="1"/>
    <n v="2"/>
    <n v="341.15"/>
    <n v="0.3"/>
    <n v="238.80500000000001"/>
    <n v="477.61"/>
    <x v="0"/>
    <n v="2"/>
    <n v="2.8"/>
  </r>
  <r>
    <n v="369"/>
    <d v="2021-01-03T00:00:00"/>
    <x v="1"/>
    <s v="Q1"/>
    <x v="0"/>
    <n v="1"/>
    <n v="1896"/>
    <x v="1"/>
    <x v="2"/>
    <n v="2"/>
    <n v="574.78"/>
    <n v="0.19"/>
    <n v="465.5718"/>
    <n v="931.14"/>
    <x v="2"/>
    <n v="8"/>
    <n v="3.7"/>
  </r>
  <r>
    <n v="370"/>
    <d v="2021-01-04T00:00:00"/>
    <x v="1"/>
    <s v="Q1"/>
    <x v="0"/>
    <n v="1"/>
    <n v="1303"/>
    <x v="0"/>
    <x v="0"/>
    <n v="7"/>
    <n v="529.25"/>
    <n v="0.02"/>
    <n v="518.66499999999996"/>
    <n v="3630.66"/>
    <x v="1"/>
    <n v="7"/>
    <n v="1.3"/>
  </r>
  <r>
    <n v="371"/>
    <d v="2021-01-05T00:00:00"/>
    <x v="1"/>
    <s v="Q1"/>
    <x v="0"/>
    <n v="1"/>
    <n v="1253"/>
    <x v="2"/>
    <x v="3"/>
    <n v="7"/>
    <n v="251.64"/>
    <n v="0.34"/>
    <n v="166.08239999999998"/>
    <n v="1162.58"/>
    <x v="2"/>
    <n v="2"/>
    <n v="4.5"/>
  </r>
  <r>
    <n v="372"/>
    <d v="2021-01-06T00:00:00"/>
    <x v="1"/>
    <s v="Q1"/>
    <x v="0"/>
    <n v="1"/>
    <n v="1651"/>
    <x v="2"/>
    <x v="0"/>
    <n v="1"/>
    <n v="185.54"/>
    <n v="0.28999999999999998"/>
    <n v="131.73339999999999"/>
    <n v="131.72999999999999"/>
    <x v="0"/>
    <n v="5"/>
    <n v="3"/>
  </r>
  <r>
    <n v="373"/>
    <d v="2021-01-07T00:00:00"/>
    <x v="1"/>
    <s v="Q1"/>
    <x v="0"/>
    <n v="1"/>
    <n v="1452"/>
    <x v="1"/>
    <x v="3"/>
    <n v="2"/>
    <n v="152.13"/>
    <n v="0.05"/>
    <n v="144.52349999999998"/>
    <n v="289.05"/>
    <x v="1"/>
    <n v="7"/>
    <n v="4.5"/>
  </r>
  <r>
    <n v="374"/>
    <d v="2021-01-08T00:00:00"/>
    <x v="1"/>
    <s v="Q1"/>
    <x v="0"/>
    <n v="1"/>
    <n v="1036"/>
    <x v="2"/>
    <x v="0"/>
    <n v="4"/>
    <n v="326.52"/>
    <n v="0.32"/>
    <n v="222.03359999999998"/>
    <n v="888.13"/>
    <x v="0"/>
    <n v="3"/>
    <n v="2.4"/>
  </r>
  <r>
    <n v="375"/>
    <d v="2021-01-09T00:00:00"/>
    <x v="1"/>
    <s v="Q1"/>
    <x v="0"/>
    <n v="1"/>
    <n v="1159"/>
    <x v="3"/>
    <x v="0"/>
    <n v="1"/>
    <n v="81.84"/>
    <n v="0.16"/>
    <n v="68.745599999999996"/>
    <n v="68.75"/>
    <x v="1"/>
    <n v="2"/>
    <n v="3.6"/>
  </r>
  <r>
    <n v="376"/>
    <d v="2021-01-10T00:00:00"/>
    <x v="1"/>
    <s v="Q1"/>
    <x v="0"/>
    <n v="1"/>
    <n v="1008"/>
    <x v="3"/>
    <x v="3"/>
    <n v="5"/>
    <n v="336.33"/>
    <n v="0.13"/>
    <n v="292.6071"/>
    <n v="1463.04"/>
    <x v="2"/>
    <n v="6"/>
    <n v="4.8"/>
  </r>
  <r>
    <n v="377"/>
    <d v="2021-01-11T00:00:00"/>
    <x v="1"/>
    <s v="Q1"/>
    <x v="0"/>
    <n v="1"/>
    <n v="1232"/>
    <x v="2"/>
    <x v="3"/>
    <n v="1"/>
    <n v="15.78"/>
    <n v="0.16"/>
    <n v="13.255199999999999"/>
    <n v="13.26"/>
    <x v="0"/>
    <n v="10"/>
    <n v="4.8"/>
  </r>
  <r>
    <n v="378"/>
    <d v="2021-01-12T00:00:00"/>
    <x v="1"/>
    <s v="Q1"/>
    <x v="0"/>
    <n v="1"/>
    <n v="1098"/>
    <x v="1"/>
    <x v="0"/>
    <n v="1"/>
    <n v="204.45"/>
    <n v="0.28999999999999998"/>
    <n v="145.15949999999998"/>
    <n v="145.16"/>
    <x v="0"/>
    <n v="6"/>
    <n v="4.8"/>
  </r>
  <r>
    <n v="379"/>
    <d v="2021-01-13T00:00:00"/>
    <x v="1"/>
    <s v="Q1"/>
    <x v="0"/>
    <n v="1"/>
    <n v="1658"/>
    <x v="1"/>
    <x v="0"/>
    <n v="5"/>
    <n v="143.66"/>
    <n v="0.23"/>
    <n v="110.6182"/>
    <n v="553.09"/>
    <x v="2"/>
    <n v="11"/>
    <n v="1.2"/>
  </r>
  <r>
    <n v="380"/>
    <d v="2021-01-14T00:00:00"/>
    <x v="1"/>
    <s v="Q1"/>
    <x v="0"/>
    <n v="1"/>
    <n v="1815"/>
    <x v="1"/>
    <x v="0"/>
    <n v="6"/>
    <n v="583.16"/>
    <n v="0.02"/>
    <n v="571.49680000000001"/>
    <n v="3428.98"/>
    <x v="2"/>
    <n v="4"/>
    <n v="2.6"/>
  </r>
  <r>
    <n v="381"/>
    <d v="2021-01-15T00:00:00"/>
    <x v="1"/>
    <s v="Q1"/>
    <x v="0"/>
    <n v="1"/>
    <n v="1207"/>
    <x v="0"/>
    <x v="2"/>
    <n v="7"/>
    <n v="440.44"/>
    <n v="0.34"/>
    <n v="290.69039999999995"/>
    <n v="2034.83"/>
    <x v="1"/>
    <n v="1"/>
    <n v="1.2"/>
  </r>
  <r>
    <n v="382"/>
    <d v="2021-01-16T00:00:00"/>
    <x v="1"/>
    <s v="Q1"/>
    <x v="0"/>
    <n v="1"/>
    <n v="1130"/>
    <x v="3"/>
    <x v="2"/>
    <n v="4"/>
    <n v="219.55"/>
    <n v="0.05"/>
    <n v="208.57250000000002"/>
    <n v="834.29"/>
    <x v="1"/>
    <n v="5"/>
    <n v="2.2000000000000002"/>
  </r>
  <r>
    <n v="383"/>
    <d v="2021-01-17T00:00:00"/>
    <x v="1"/>
    <s v="Q1"/>
    <x v="0"/>
    <n v="1"/>
    <n v="1403"/>
    <x v="3"/>
    <x v="1"/>
    <n v="6"/>
    <n v="69.31"/>
    <n v="0.26"/>
    <n v="51.289400000000001"/>
    <n v="307.74"/>
    <x v="1"/>
    <n v="1"/>
    <n v="1.7"/>
  </r>
  <r>
    <n v="384"/>
    <d v="2021-01-18T00:00:00"/>
    <x v="1"/>
    <s v="Q1"/>
    <x v="0"/>
    <n v="1"/>
    <n v="1151"/>
    <x v="3"/>
    <x v="2"/>
    <n v="6"/>
    <n v="317.33"/>
    <n v="0.22"/>
    <n v="247.51739999999998"/>
    <n v="1485.1"/>
    <x v="1"/>
    <n v="11"/>
    <n v="3.5"/>
  </r>
  <r>
    <n v="385"/>
    <d v="2021-01-19T00:00:00"/>
    <x v="1"/>
    <s v="Q1"/>
    <x v="0"/>
    <n v="1"/>
    <n v="1053"/>
    <x v="1"/>
    <x v="2"/>
    <n v="6"/>
    <n v="139.87"/>
    <n v="7.0000000000000007E-2"/>
    <n v="130.07910000000001"/>
    <n v="780.47"/>
    <x v="1"/>
    <n v="11"/>
    <n v="4.0999999999999996"/>
  </r>
  <r>
    <n v="386"/>
    <d v="2021-01-20T00:00:00"/>
    <x v="1"/>
    <s v="Q1"/>
    <x v="0"/>
    <n v="1"/>
    <n v="1119"/>
    <x v="0"/>
    <x v="3"/>
    <n v="7"/>
    <n v="328.81"/>
    <n v="0.06"/>
    <n v="309.08140000000003"/>
    <n v="2163.5700000000002"/>
    <x v="1"/>
    <n v="8"/>
    <n v="3.1"/>
  </r>
  <r>
    <n v="387"/>
    <d v="2021-01-21T00:00:00"/>
    <x v="1"/>
    <s v="Q1"/>
    <x v="0"/>
    <n v="1"/>
    <n v="1672"/>
    <x v="3"/>
    <x v="1"/>
    <n v="3"/>
    <n v="503.69"/>
    <n v="0.3"/>
    <n v="352.58299999999997"/>
    <n v="1057.75"/>
    <x v="0"/>
    <n v="2"/>
    <n v="4.2"/>
  </r>
  <r>
    <n v="388"/>
    <d v="2021-01-22T00:00:00"/>
    <x v="1"/>
    <s v="Q1"/>
    <x v="0"/>
    <n v="1"/>
    <n v="1919"/>
    <x v="3"/>
    <x v="1"/>
    <n v="7"/>
    <n v="375.24"/>
    <n v="0.15"/>
    <n v="318.95400000000001"/>
    <n v="2232.6799999999998"/>
    <x v="2"/>
    <n v="9"/>
    <n v="1.1000000000000001"/>
  </r>
  <r>
    <n v="389"/>
    <d v="2021-01-23T00:00:00"/>
    <x v="1"/>
    <s v="Q1"/>
    <x v="0"/>
    <n v="1"/>
    <n v="1627"/>
    <x v="0"/>
    <x v="2"/>
    <n v="6"/>
    <n v="385.77"/>
    <n v="0.23"/>
    <n v="297.04289999999997"/>
    <n v="1782.26"/>
    <x v="1"/>
    <n v="9"/>
    <n v="4.3"/>
  </r>
  <r>
    <n v="390"/>
    <d v="2021-01-24T00:00:00"/>
    <x v="1"/>
    <s v="Q1"/>
    <x v="0"/>
    <n v="1"/>
    <n v="1586"/>
    <x v="2"/>
    <x v="3"/>
    <n v="3"/>
    <n v="331.5"/>
    <n v="0.18"/>
    <n v="271.83"/>
    <n v="815.49"/>
    <x v="0"/>
    <n v="3"/>
    <n v="1.7"/>
  </r>
  <r>
    <n v="391"/>
    <d v="2021-01-25T00:00:00"/>
    <x v="1"/>
    <s v="Q1"/>
    <x v="0"/>
    <n v="1"/>
    <n v="1624"/>
    <x v="3"/>
    <x v="3"/>
    <n v="5"/>
    <n v="557.45000000000005"/>
    <n v="0.25"/>
    <n v="418.08750000000003"/>
    <n v="2090.44"/>
    <x v="1"/>
    <n v="6"/>
    <n v="2.8"/>
  </r>
  <r>
    <n v="392"/>
    <d v="2021-01-26T00:00:00"/>
    <x v="1"/>
    <s v="Q1"/>
    <x v="0"/>
    <n v="1"/>
    <n v="1967"/>
    <x v="2"/>
    <x v="1"/>
    <n v="7"/>
    <n v="560.16"/>
    <n v="0.17"/>
    <n v="464.93279999999999"/>
    <n v="3254.53"/>
    <x v="2"/>
    <n v="9"/>
    <n v="2.8"/>
  </r>
  <r>
    <n v="393"/>
    <d v="2021-01-27T00:00:00"/>
    <x v="1"/>
    <s v="Q1"/>
    <x v="0"/>
    <n v="1"/>
    <n v="1419"/>
    <x v="2"/>
    <x v="3"/>
    <n v="4"/>
    <n v="314.94"/>
    <n v="0.1"/>
    <n v="283.44600000000003"/>
    <n v="1133.78"/>
    <x v="2"/>
    <n v="7"/>
    <n v="4.5"/>
  </r>
  <r>
    <n v="394"/>
    <d v="2021-01-28T00:00:00"/>
    <x v="1"/>
    <s v="Q1"/>
    <x v="0"/>
    <n v="1"/>
    <n v="1421"/>
    <x v="2"/>
    <x v="0"/>
    <n v="6"/>
    <n v="193.87"/>
    <n v="0.13"/>
    <n v="168.6669"/>
    <n v="1012"/>
    <x v="1"/>
    <n v="4"/>
    <n v="4.9000000000000004"/>
  </r>
  <r>
    <n v="395"/>
    <d v="2021-01-29T00:00:00"/>
    <x v="1"/>
    <s v="Q1"/>
    <x v="0"/>
    <n v="1"/>
    <n v="1103"/>
    <x v="0"/>
    <x v="2"/>
    <n v="2"/>
    <n v="283.86"/>
    <n v="0.3"/>
    <n v="198.702"/>
    <n v="397.4"/>
    <x v="2"/>
    <n v="3"/>
    <n v="2"/>
  </r>
  <r>
    <n v="396"/>
    <d v="2021-01-30T00:00:00"/>
    <x v="1"/>
    <s v="Q1"/>
    <x v="0"/>
    <n v="1"/>
    <n v="1851"/>
    <x v="0"/>
    <x v="0"/>
    <n v="5"/>
    <n v="124.14"/>
    <n v="0.16"/>
    <n v="104.27760000000001"/>
    <n v="521.39"/>
    <x v="1"/>
    <n v="2"/>
    <n v="1.3"/>
  </r>
  <r>
    <n v="397"/>
    <d v="2021-01-31T00:00:00"/>
    <x v="1"/>
    <s v="Q1"/>
    <x v="0"/>
    <n v="1"/>
    <n v="1253"/>
    <x v="3"/>
    <x v="1"/>
    <n v="3"/>
    <n v="387.26"/>
    <n v="7.0000000000000007E-2"/>
    <n v="360.15179999999998"/>
    <n v="1080.46"/>
    <x v="1"/>
    <n v="10"/>
    <n v="3.6"/>
  </r>
  <r>
    <n v="398"/>
    <d v="2021-02-01T00:00:00"/>
    <x v="1"/>
    <s v="Q1"/>
    <x v="1"/>
    <n v="2"/>
    <n v="1226"/>
    <x v="3"/>
    <x v="1"/>
    <n v="7"/>
    <n v="307.55"/>
    <n v="0.33"/>
    <n v="206.05850000000001"/>
    <n v="1442.41"/>
    <x v="1"/>
    <n v="10"/>
    <n v="3"/>
  </r>
  <r>
    <n v="399"/>
    <d v="2021-02-02T00:00:00"/>
    <x v="1"/>
    <s v="Q1"/>
    <x v="1"/>
    <n v="2"/>
    <n v="1111"/>
    <x v="1"/>
    <x v="3"/>
    <n v="4"/>
    <n v="75.430000000000007"/>
    <n v="0.28000000000000003"/>
    <n v="54.309600000000003"/>
    <n v="217.24"/>
    <x v="0"/>
    <n v="1"/>
    <n v="3.3"/>
  </r>
  <r>
    <n v="400"/>
    <d v="2021-02-03T00:00:00"/>
    <x v="1"/>
    <s v="Q1"/>
    <x v="1"/>
    <n v="2"/>
    <n v="1509"/>
    <x v="0"/>
    <x v="3"/>
    <n v="1"/>
    <n v="130.62"/>
    <n v="0.02"/>
    <n v="128.0076"/>
    <n v="128.01"/>
    <x v="2"/>
    <n v="11"/>
    <n v="1.2"/>
  </r>
  <r>
    <n v="401"/>
    <d v="2021-02-04T00:00:00"/>
    <x v="1"/>
    <s v="Q1"/>
    <x v="1"/>
    <n v="2"/>
    <n v="1472"/>
    <x v="1"/>
    <x v="1"/>
    <n v="4"/>
    <n v="295.58"/>
    <n v="0.35"/>
    <n v="192.12700000000001"/>
    <n v="768.51"/>
    <x v="2"/>
    <n v="10"/>
    <n v="4.0999999999999996"/>
  </r>
  <r>
    <n v="402"/>
    <d v="2021-02-05T00:00:00"/>
    <x v="1"/>
    <s v="Q1"/>
    <x v="1"/>
    <n v="2"/>
    <n v="1098"/>
    <x v="1"/>
    <x v="1"/>
    <n v="4"/>
    <n v="534.24"/>
    <n v="0.24"/>
    <n v="406.0224"/>
    <n v="1624.09"/>
    <x v="2"/>
    <n v="11"/>
    <n v="1.9"/>
  </r>
  <r>
    <n v="403"/>
    <d v="2021-02-06T00:00:00"/>
    <x v="1"/>
    <s v="Q1"/>
    <x v="1"/>
    <n v="2"/>
    <n v="1152"/>
    <x v="2"/>
    <x v="0"/>
    <n v="6"/>
    <n v="346.34"/>
    <n v="0.06"/>
    <n v="325.55959999999999"/>
    <n v="1953.36"/>
    <x v="1"/>
    <n v="1"/>
    <n v="2.2999999999999998"/>
  </r>
  <r>
    <n v="404"/>
    <d v="2021-02-07T00:00:00"/>
    <x v="1"/>
    <s v="Q1"/>
    <x v="1"/>
    <n v="2"/>
    <n v="1860"/>
    <x v="3"/>
    <x v="0"/>
    <n v="6"/>
    <n v="413.7"/>
    <n v="0.08"/>
    <n v="380.60399999999998"/>
    <n v="2283.62"/>
    <x v="2"/>
    <n v="4"/>
    <n v="1.9"/>
  </r>
  <r>
    <n v="405"/>
    <d v="2021-02-08T00:00:00"/>
    <x v="1"/>
    <s v="Q1"/>
    <x v="1"/>
    <n v="2"/>
    <n v="1913"/>
    <x v="3"/>
    <x v="3"/>
    <n v="7"/>
    <n v="213.33"/>
    <n v="0.24"/>
    <n v="162.13080000000002"/>
    <n v="1134.92"/>
    <x v="1"/>
    <n v="4"/>
    <n v="4.8"/>
  </r>
  <r>
    <n v="406"/>
    <d v="2021-02-09T00:00:00"/>
    <x v="1"/>
    <s v="Q1"/>
    <x v="1"/>
    <n v="2"/>
    <n v="1895"/>
    <x v="1"/>
    <x v="0"/>
    <n v="7"/>
    <n v="349.28"/>
    <n v="0.27"/>
    <n v="254.97439999999997"/>
    <n v="1784.82"/>
    <x v="1"/>
    <n v="9"/>
    <n v="1.7"/>
  </r>
  <r>
    <n v="407"/>
    <d v="2021-02-10T00:00:00"/>
    <x v="1"/>
    <s v="Q1"/>
    <x v="1"/>
    <n v="2"/>
    <n v="1877"/>
    <x v="2"/>
    <x v="3"/>
    <n v="3"/>
    <n v="276.72000000000003"/>
    <n v="0.08"/>
    <n v="254.58240000000004"/>
    <n v="763.75"/>
    <x v="2"/>
    <n v="10"/>
    <n v="3.9"/>
  </r>
  <r>
    <n v="408"/>
    <d v="2021-02-11T00:00:00"/>
    <x v="1"/>
    <s v="Q1"/>
    <x v="1"/>
    <n v="2"/>
    <n v="1337"/>
    <x v="3"/>
    <x v="3"/>
    <n v="7"/>
    <n v="400.59"/>
    <n v="0.09"/>
    <n v="364.5369"/>
    <n v="2551.7600000000002"/>
    <x v="1"/>
    <n v="1"/>
    <n v="2"/>
  </r>
  <r>
    <n v="409"/>
    <d v="2021-02-12T00:00:00"/>
    <x v="1"/>
    <s v="Q1"/>
    <x v="1"/>
    <n v="2"/>
    <n v="1705"/>
    <x v="2"/>
    <x v="2"/>
    <n v="3"/>
    <n v="44.59"/>
    <n v="0.11"/>
    <n v="39.685100000000006"/>
    <n v="119.06"/>
    <x v="1"/>
    <n v="11"/>
    <n v="2.7"/>
  </r>
  <r>
    <n v="410"/>
    <d v="2021-02-13T00:00:00"/>
    <x v="1"/>
    <s v="Q1"/>
    <x v="1"/>
    <n v="2"/>
    <n v="1821"/>
    <x v="3"/>
    <x v="3"/>
    <n v="6"/>
    <n v="303.58"/>
    <n v="0.21"/>
    <n v="239.82819999999998"/>
    <n v="1438.97"/>
    <x v="0"/>
    <n v="4"/>
    <n v="5"/>
  </r>
  <r>
    <n v="411"/>
    <d v="2021-02-14T00:00:00"/>
    <x v="1"/>
    <s v="Q1"/>
    <x v="1"/>
    <n v="2"/>
    <n v="1162"/>
    <x v="0"/>
    <x v="0"/>
    <n v="6"/>
    <n v="188.16"/>
    <n v="0.06"/>
    <n v="176.87039999999999"/>
    <n v="1061.22"/>
    <x v="2"/>
    <n v="3"/>
    <n v="1.4"/>
  </r>
  <r>
    <n v="412"/>
    <d v="2021-02-15T00:00:00"/>
    <x v="1"/>
    <s v="Q1"/>
    <x v="1"/>
    <n v="2"/>
    <n v="1719"/>
    <x v="1"/>
    <x v="1"/>
    <n v="2"/>
    <n v="205.82"/>
    <n v="0.04"/>
    <n v="197.5872"/>
    <n v="395.17"/>
    <x v="2"/>
    <n v="9"/>
    <n v="4.5"/>
  </r>
  <r>
    <n v="413"/>
    <d v="2021-02-16T00:00:00"/>
    <x v="1"/>
    <s v="Q1"/>
    <x v="1"/>
    <n v="2"/>
    <n v="1956"/>
    <x v="2"/>
    <x v="1"/>
    <n v="2"/>
    <n v="577.14"/>
    <n v="0.24"/>
    <n v="438.62639999999999"/>
    <n v="877.25"/>
    <x v="1"/>
    <n v="5"/>
    <n v="4.8"/>
  </r>
  <r>
    <n v="414"/>
    <d v="2021-02-17T00:00:00"/>
    <x v="1"/>
    <s v="Q1"/>
    <x v="1"/>
    <n v="2"/>
    <n v="1680"/>
    <x v="3"/>
    <x v="0"/>
    <n v="5"/>
    <n v="121.88"/>
    <n v="0.27"/>
    <n v="88.972399999999993"/>
    <n v="444.86"/>
    <x v="1"/>
    <n v="9"/>
    <n v="3.8"/>
  </r>
  <r>
    <n v="415"/>
    <d v="2021-02-18T00:00:00"/>
    <x v="1"/>
    <s v="Q1"/>
    <x v="1"/>
    <n v="2"/>
    <n v="1995"/>
    <x v="3"/>
    <x v="1"/>
    <n v="6"/>
    <n v="197.08"/>
    <n v="0.18"/>
    <n v="161.60560000000001"/>
    <n v="969.63"/>
    <x v="2"/>
    <n v="10"/>
    <n v="1"/>
  </r>
  <r>
    <n v="416"/>
    <d v="2021-02-19T00:00:00"/>
    <x v="1"/>
    <s v="Q1"/>
    <x v="1"/>
    <n v="2"/>
    <n v="1160"/>
    <x v="1"/>
    <x v="3"/>
    <n v="1"/>
    <n v="313.29000000000002"/>
    <n v="0.13"/>
    <n v="272.56229999999999"/>
    <n v="272.56"/>
    <x v="2"/>
    <n v="6"/>
    <n v="4.3"/>
  </r>
  <r>
    <n v="417"/>
    <d v="2021-02-20T00:00:00"/>
    <x v="1"/>
    <s v="Q1"/>
    <x v="1"/>
    <n v="2"/>
    <n v="1579"/>
    <x v="0"/>
    <x v="1"/>
    <n v="2"/>
    <n v="519.87"/>
    <n v="0.15"/>
    <n v="441.8895"/>
    <n v="883.78"/>
    <x v="2"/>
    <n v="11"/>
    <n v="4.5"/>
  </r>
  <r>
    <n v="418"/>
    <d v="2021-02-21T00:00:00"/>
    <x v="1"/>
    <s v="Q1"/>
    <x v="1"/>
    <n v="2"/>
    <n v="1800"/>
    <x v="2"/>
    <x v="0"/>
    <n v="3"/>
    <n v="258.75"/>
    <n v="0.14000000000000001"/>
    <n v="222.52500000000001"/>
    <n v="667.58"/>
    <x v="0"/>
    <n v="9"/>
    <n v="4.9000000000000004"/>
  </r>
  <r>
    <n v="419"/>
    <d v="2021-02-22T00:00:00"/>
    <x v="1"/>
    <s v="Q1"/>
    <x v="1"/>
    <n v="2"/>
    <n v="1397"/>
    <x v="1"/>
    <x v="1"/>
    <n v="4"/>
    <n v="450.16"/>
    <n v="0.34"/>
    <n v="297.10559999999998"/>
    <n v="1188.42"/>
    <x v="0"/>
    <n v="1"/>
    <n v="4.4000000000000004"/>
  </r>
  <r>
    <n v="420"/>
    <d v="2021-02-23T00:00:00"/>
    <x v="1"/>
    <s v="Q1"/>
    <x v="1"/>
    <n v="2"/>
    <n v="1276"/>
    <x v="3"/>
    <x v="3"/>
    <n v="7"/>
    <n v="515.98"/>
    <n v="0.27"/>
    <n v="376.66539999999998"/>
    <n v="2636.66"/>
    <x v="1"/>
    <n v="4"/>
    <n v="2.8"/>
  </r>
  <r>
    <n v="421"/>
    <d v="2021-02-24T00:00:00"/>
    <x v="1"/>
    <s v="Q1"/>
    <x v="1"/>
    <n v="2"/>
    <n v="1815"/>
    <x v="0"/>
    <x v="3"/>
    <n v="7"/>
    <n v="196.36"/>
    <n v="7.0000000000000007E-2"/>
    <n v="182.6148"/>
    <n v="1278.3"/>
    <x v="0"/>
    <n v="4"/>
    <n v="3.8"/>
  </r>
  <r>
    <n v="422"/>
    <d v="2021-02-25T00:00:00"/>
    <x v="1"/>
    <s v="Q1"/>
    <x v="1"/>
    <n v="2"/>
    <n v="1915"/>
    <x v="2"/>
    <x v="0"/>
    <n v="5"/>
    <n v="244.76"/>
    <n v="0.13"/>
    <n v="212.94119999999998"/>
    <n v="1064.71"/>
    <x v="2"/>
    <n v="10"/>
    <n v="2.9"/>
  </r>
  <r>
    <n v="423"/>
    <d v="2021-02-26T00:00:00"/>
    <x v="1"/>
    <s v="Q1"/>
    <x v="1"/>
    <n v="2"/>
    <n v="1503"/>
    <x v="3"/>
    <x v="0"/>
    <n v="2"/>
    <n v="223.59"/>
    <n v="0.19"/>
    <n v="181.1079"/>
    <n v="362.22"/>
    <x v="2"/>
    <n v="10"/>
    <n v="2.4"/>
  </r>
  <r>
    <n v="424"/>
    <d v="2021-02-27T00:00:00"/>
    <x v="1"/>
    <s v="Q1"/>
    <x v="1"/>
    <n v="2"/>
    <n v="1895"/>
    <x v="1"/>
    <x v="0"/>
    <n v="4"/>
    <n v="502.22"/>
    <n v="0.21"/>
    <n v="396.75380000000001"/>
    <n v="1587.02"/>
    <x v="1"/>
    <n v="6"/>
    <n v="3.5"/>
  </r>
  <r>
    <n v="425"/>
    <d v="2021-02-28T00:00:00"/>
    <x v="1"/>
    <s v="Q1"/>
    <x v="1"/>
    <n v="2"/>
    <n v="1391"/>
    <x v="1"/>
    <x v="2"/>
    <n v="4"/>
    <n v="40.94"/>
    <n v="0.16"/>
    <n v="34.389600000000002"/>
    <n v="137.56"/>
    <x v="2"/>
    <n v="10"/>
    <n v="4.0999999999999996"/>
  </r>
  <r>
    <n v="426"/>
    <d v="2021-03-01T00:00:00"/>
    <x v="1"/>
    <s v="Q1"/>
    <x v="2"/>
    <n v="3"/>
    <n v="1134"/>
    <x v="2"/>
    <x v="2"/>
    <n v="2"/>
    <n v="195.43"/>
    <n v="0.28000000000000003"/>
    <n v="140.70959999999999"/>
    <n v="281.42"/>
    <x v="0"/>
    <n v="1"/>
    <n v="3.5"/>
  </r>
  <r>
    <n v="427"/>
    <d v="2021-03-02T00:00:00"/>
    <x v="1"/>
    <s v="Q1"/>
    <x v="2"/>
    <n v="3"/>
    <n v="1194"/>
    <x v="0"/>
    <x v="3"/>
    <n v="1"/>
    <n v="412.45"/>
    <n v="0.27"/>
    <n v="301.08849999999995"/>
    <n v="301.08999999999997"/>
    <x v="2"/>
    <n v="10"/>
    <n v="4.3"/>
  </r>
  <r>
    <n v="428"/>
    <d v="2021-03-03T00:00:00"/>
    <x v="1"/>
    <s v="Q1"/>
    <x v="2"/>
    <n v="3"/>
    <n v="1400"/>
    <x v="2"/>
    <x v="2"/>
    <n v="1"/>
    <n v="345.78"/>
    <n v="0.18"/>
    <n v="283.53959999999995"/>
    <n v="283.54000000000002"/>
    <x v="2"/>
    <n v="5"/>
    <n v="1.7"/>
  </r>
  <r>
    <n v="429"/>
    <d v="2021-03-04T00:00:00"/>
    <x v="1"/>
    <s v="Q1"/>
    <x v="2"/>
    <n v="3"/>
    <n v="1639"/>
    <x v="2"/>
    <x v="2"/>
    <n v="5"/>
    <n v="270.23"/>
    <n v="0.3"/>
    <n v="189.161"/>
    <n v="945.8"/>
    <x v="1"/>
    <n v="3"/>
    <n v="2.5"/>
  </r>
  <r>
    <n v="430"/>
    <d v="2021-03-05T00:00:00"/>
    <x v="1"/>
    <s v="Q1"/>
    <x v="2"/>
    <n v="3"/>
    <n v="1032"/>
    <x v="2"/>
    <x v="1"/>
    <n v="1"/>
    <n v="330.87"/>
    <n v="0.26"/>
    <n v="244.84379999999999"/>
    <n v="244.84"/>
    <x v="1"/>
    <n v="1"/>
    <n v="2.2999999999999998"/>
  </r>
  <r>
    <n v="431"/>
    <d v="2021-03-06T00:00:00"/>
    <x v="1"/>
    <s v="Q1"/>
    <x v="2"/>
    <n v="3"/>
    <n v="1687"/>
    <x v="0"/>
    <x v="2"/>
    <n v="5"/>
    <n v="130.59"/>
    <n v="0.27"/>
    <n v="95.330700000000007"/>
    <n v="476.65"/>
    <x v="1"/>
    <n v="6"/>
    <n v="1.8"/>
  </r>
  <r>
    <n v="432"/>
    <d v="2021-03-07T00:00:00"/>
    <x v="1"/>
    <s v="Q1"/>
    <x v="2"/>
    <n v="3"/>
    <n v="1459"/>
    <x v="3"/>
    <x v="1"/>
    <n v="3"/>
    <n v="266.97000000000003"/>
    <n v="0.33"/>
    <n v="178.86990000000003"/>
    <n v="536.61"/>
    <x v="1"/>
    <n v="3"/>
    <n v="2.8"/>
  </r>
  <r>
    <n v="433"/>
    <d v="2021-03-08T00:00:00"/>
    <x v="1"/>
    <s v="Q1"/>
    <x v="2"/>
    <n v="3"/>
    <n v="1954"/>
    <x v="3"/>
    <x v="0"/>
    <n v="2"/>
    <n v="308.5"/>
    <n v="0.09"/>
    <n v="280.73500000000001"/>
    <n v="561.47"/>
    <x v="2"/>
    <n v="4"/>
    <n v="4.8"/>
  </r>
  <r>
    <n v="434"/>
    <d v="2021-03-09T00:00:00"/>
    <x v="1"/>
    <s v="Q1"/>
    <x v="2"/>
    <n v="3"/>
    <n v="1882"/>
    <x v="2"/>
    <x v="1"/>
    <n v="4"/>
    <n v="542.20000000000005"/>
    <n v="0.09"/>
    <n v="493.40200000000004"/>
    <n v="1973.61"/>
    <x v="1"/>
    <n v="9"/>
    <n v="3.2"/>
  </r>
  <r>
    <n v="435"/>
    <d v="2021-03-10T00:00:00"/>
    <x v="1"/>
    <s v="Q1"/>
    <x v="2"/>
    <n v="3"/>
    <n v="1469"/>
    <x v="1"/>
    <x v="1"/>
    <n v="5"/>
    <n v="167.59"/>
    <n v="0.31"/>
    <n v="115.6371"/>
    <n v="578.19000000000005"/>
    <x v="2"/>
    <n v="2"/>
    <n v="2.1"/>
  </r>
  <r>
    <n v="436"/>
    <d v="2021-03-11T00:00:00"/>
    <x v="1"/>
    <s v="Q1"/>
    <x v="2"/>
    <n v="3"/>
    <n v="1374"/>
    <x v="1"/>
    <x v="0"/>
    <n v="7"/>
    <n v="522.67999999999995"/>
    <n v="0.27"/>
    <n v="381.55639999999994"/>
    <n v="2670.89"/>
    <x v="1"/>
    <n v="1"/>
    <n v="2.4"/>
  </r>
  <r>
    <n v="437"/>
    <d v="2021-03-12T00:00:00"/>
    <x v="1"/>
    <s v="Q1"/>
    <x v="2"/>
    <n v="3"/>
    <n v="1021"/>
    <x v="3"/>
    <x v="0"/>
    <n v="1"/>
    <n v="391.88"/>
    <n v="0.32"/>
    <n v="266.47839999999997"/>
    <n v="266.48"/>
    <x v="1"/>
    <n v="10"/>
    <n v="3.5"/>
  </r>
  <r>
    <n v="438"/>
    <d v="2021-03-13T00:00:00"/>
    <x v="1"/>
    <s v="Q1"/>
    <x v="2"/>
    <n v="3"/>
    <n v="1749"/>
    <x v="0"/>
    <x v="3"/>
    <n v="7"/>
    <n v="26.9"/>
    <n v="0.02"/>
    <n v="26.361999999999998"/>
    <n v="184.53"/>
    <x v="1"/>
    <n v="6"/>
    <n v="2.4"/>
  </r>
  <r>
    <n v="439"/>
    <d v="2021-03-14T00:00:00"/>
    <x v="1"/>
    <s v="Q1"/>
    <x v="2"/>
    <n v="3"/>
    <n v="1669"/>
    <x v="2"/>
    <x v="3"/>
    <n v="5"/>
    <n v="438.91"/>
    <n v="0.22"/>
    <n v="342.34980000000002"/>
    <n v="1711.75"/>
    <x v="0"/>
    <n v="1"/>
    <n v="3.2"/>
  </r>
  <r>
    <n v="440"/>
    <d v="2021-03-15T00:00:00"/>
    <x v="1"/>
    <s v="Q1"/>
    <x v="2"/>
    <n v="3"/>
    <n v="1037"/>
    <x v="3"/>
    <x v="3"/>
    <n v="6"/>
    <n v="35.799999999999997"/>
    <n v="0.05"/>
    <n v="34.01"/>
    <n v="204.06"/>
    <x v="1"/>
    <n v="1"/>
    <n v="2.1"/>
  </r>
  <r>
    <n v="441"/>
    <d v="2021-03-16T00:00:00"/>
    <x v="1"/>
    <s v="Q1"/>
    <x v="2"/>
    <n v="3"/>
    <n v="1229"/>
    <x v="2"/>
    <x v="3"/>
    <n v="5"/>
    <n v="598.47"/>
    <n v="0.18"/>
    <n v="490.74540000000002"/>
    <n v="2453.73"/>
    <x v="1"/>
    <n v="7"/>
    <n v="2.4"/>
  </r>
  <r>
    <n v="442"/>
    <d v="2021-03-17T00:00:00"/>
    <x v="1"/>
    <s v="Q1"/>
    <x v="2"/>
    <n v="3"/>
    <n v="1364"/>
    <x v="1"/>
    <x v="1"/>
    <n v="1"/>
    <n v="525.49"/>
    <n v="0.05"/>
    <n v="499.21550000000002"/>
    <n v="499.22"/>
    <x v="0"/>
    <n v="2"/>
    <n v="3.8"/>
  </r>
  <r>
    <n v="443"/>
    <d v="2021-03-18T00:00:00"/>
    <x v="1"/>
    <s v="Q1"/>
    <x v="2"/>
    <n v="3"/>
    <n v="1562"/>
    <x v="2"/>
    <x v="1"/>
    <n v="6"/>
    <n v="188.95"/>
    <n v="0.04"/>
    <n v="181.392"/>
    <n v="1088.3499999999999"/>
    <x v="0"/>
    <n v="4"/>
    <n v="3.3"/>
  </r>
  <r>
    <n v="444"/>
    <d v="2021-03-19T00:00:00"/>
    <x v="1"/>
    <s v="Q1"/>
    <x v="2"/>
    <n v="3"/>
    <n v="1437"/>
    <x v="2"/>
    <x v="3"/>
    <n v="6"/>
    <n v="165.59"/>
    <n v="0"/>
    <n v="165.59"/>
    <n v="993.54"/>
    <x v="2"/>
    <n v="4"/>
    <n v="1.4"/>
  </r>
  <r>
    <n v="445"/>
    <d v="2021-03-20T00:00:00"/>
    <x v="1"/>
    <s v="Q1"/>
    <x v="2"/>
    <n v="3"/>
    <n v="1775"/>
    <x v="1"/>
    <x v="2"/>
    <n v="1"/>
    <n v="238.14"/>
    <n v="0.22"/>
    <n v="185.74919999999997"/>
    <n v="185.75"/>
    <x v="1"/>
    <n v="2"/>
    <n v="4.9000000000000004"/>
  </r>
  <r>
    <n v="446"/>
    <d v="2021-03-21T00:00:00"/>
    <x v="1"/>
    <s v="Q1"/>
    <x v="2"/>
    <n v="3"/>
    <n v="1282"/>
    <x v="1"/>
    <x v="3"/>
    <n v="6"/>
    <n v="223.36"/>
    <n v="0.13"/>
    <n v="194.32320000000001"/>
    <n v="1165.94"/>
    <x v="1"/>
    <n v="6"/>
    <n v="1.2"/>
  </r>
  <r>
    <n v="447"/>
    <d v="2021-03-22T00:00:00"/>
    <x v="1"/>
    <s v="Q1"/>
    <x v="2"/>
    <n v="3"/>
    <n v="1026"/>
    <x v="2"/>
    <x v="2"/>
    <n v="2"/>
    <n v="232.82"/>
    <n v="0.04"/>
    <n v="223.50719999999998"/>
    <n v="447.01"/>
    <x v="0"/>
    <n v="10"/>
    <n v="1.3"/>
  </r>
  <r>
    <n v="448"/>
    <d v="2021-03-23T00:00:00"/>
    <x v="1"/>
    <s v="Q1"/>
    <x v="2"/>
    <n v="3"/>
    <n v="1225"/>
    <x v="3"/>
    <x v="0"/>
    <n v="4"/>
    <n v="201.19"/>
    <n v="0.11"/>
    <n v="179.0591"/>
    <n v="716.24"/>
    <x v="0"/>
    <n v="2"/>
    <n v="3.8"/>
  </r>
  <r>
    <n v="449"/>
    <d v="2021-03-24T00:00:00"/>
    <x v="1"/>
    <s v="Q1"/>
    <x v="2"/>
    <n v="3"/>
    <n v="1276"/>
    <x v="1"/>
    <x v="1"/>
    <n v="7"/>
    <n v="378.36"/>
    <n v="0.06"/>
    <n v="355.65840000000003"/>
    <n v="2489.61"/>
    <x v="2"/>
    <n v="8"/>
    <n v="3.8"/>
  </r>
  <r>
    <n v="450"/>
    <d v="2021-03-25T00:00:00"/>
    <x v="1"/>
    <s v="Q1"/>
    <x v="2"/>
    <n v="3"/>
    <n v="1797"/>
    <x v="2"/>
    <x v="1"/>
    <n v="2"/>
    <n v="111.09"/>
    <n v="0.33"/>
    <n v="74.430300000000003"/>
    <n v="148.86000000000001"/>
    <x v="1"/>
    <n v="4"/>
    <n v="1.1000000000000001"/>
  </r>
  <r>
    <n v="451"/>
    <d v="2021-03-26T00:00:00"/>
    <x v="1"/>
    <s v="Q1"/>
    <x v="2"/>
    <n v="3"/>
    <n v="1608"/>
    <x v="3"/>
    <x v="2"/>
    <n v="2"/>
    <n v="509.9"/>
    <n v="0.11"/>
    <n v="453.81099999999998"/>
    <n v="907.62"/>
    <x v="1"/>
    <n v="1"/>
    <n v="3.6"/>
  </r>
  <r>
    <n v="452"/>
    <d v="2021-03-27T00:00:00"/>
    <x v="1"/>
    <s v="Q1"/>
    <x v="2"/>
    <n v="3"/>
    <n v="1283"/>
    <x v="2"/>
    <x v="3"/>
    <n v="1"/>
    <n v="490.26"/>
    <n v="0.12"/>
    <n v="431.42880000000002"/>
    <n v="431.43"/>
    <x v="1"/>
    <n v="7"/>
    <n v="1.1000000000000001"/>
  </r>
  <r>
    <n v="453"/>
    <d v="2021-03-28T00:00:00"/>
    <x v="1"/>
    <s v="Q1"/>
    <x v="2"/>
    <n v="3"/>
    <n v="1878"/>
    <x v="1"/>
    <x v="1"/>
    <n v="1"/>
    <n v="293.74"/>
    <n v="0.28999999999999998"/>
    <n v="208.55540000000002"/>
    <n v="208.56"/>
    <x v="2"/>
    <n v="6"/>
    <n v="4.8"/>
  </r>
  <r>
    <n v="454"/>
    <d v="2021-03-29T00:00:00"/>
    <x v="1"/>
    <s v="Q1"/>
    <x v="2"/>
    <n v="3"/>
    <n v="1959"/>
    <x v="3"/>
    <x v="2"/>
    <n v="7"/>
    <n v="513.85"/>
    <n v="0.23"/>
    <n v="395.66450000000003"/>
    <n v="2769.65"/>
    <x v="1"/>
    <n v="6"/>
    <n v="3.8"/>
  </r>
  <r>
    <n v="455"/>
    <d v="2021-03-30T00:00:00"/>
    <x v="1"/>
    <s v="Q1"/>
    <x v="2"/>
    <n v="3"/>
    <n v="1480"/>
    <x v="2"/>
    <x v="0"/>
    <n v="4"/>
    <n v="159.58000000000001"/>
    <n v="0.25"/>
    <n v="119.685"/>
    <n v="478.74"/>
    <x v="0"/>
    <n v="11"/>
    <n v="1.7"/>
  </r>
  <r>
    <n v="456"/>
    <d v="2021-03-31T00:00:00"/>
    <x v="1"/>
    <s v="Q1"/>
    <x v="2"/>
    <n v="3"/>
    <n v="1452"/>
    <x v="2"/>
    <x v="0"/>
    <n v="5"/>
    <n v="25.28"/>
    <n v="0.22"/>
    <n v="19.718400000000003"/>
    <n v="98.59"/>
    <x v="1"/>
    <n v="3"/>
    <n v="1.6"/>
  </r>
  <r>
    <n v="457"/>
    <d v="2021-04-01T00:00:00"/>
    <x v="1"/>
    <s v="Q2"/>
    <x v="3"/>
    <n v="4"/>
    <n v="1828"/>
    <x v="1"/>
    <x v="1"/>
    <n v="2"/>
    <n v="377.24"/>
    <n v="0.33"/>
    <n v="252.7508"/>
    <n v="505.5"/>
    <x v="2"/>
    <n v="10"/>
    <n v="3.3"/>
  </r>
  <r>
    <n v="458"/>
    <d v="2021-04-02T00:00:00"/>
    <x v="1"/>
    <s v="Q2"/>
    <x v="3"/>
    <n v="4"/>
    <n v="1815"/>
    <x v="0"/>
    <x v="3"/>
    <n v="6"/>
    <n v="282.88"/>
    <n v="7.0000000000000007E-2"/>
    <n v="263.07839999999999"/>
    <n v="1578.47"/>
    <x v="1"/>
    <n v="7"/>
    <n v="3.5"/>
  </r>
  <r>
    <n v="459"/>
    <d v="2021-04-03T00:00:00"/>
    <x v="1"/>
    <s v="Q2"/>
    <x v="3"/>
    <n v="4"/>
    <n v="1658"/>
    <x v="1"/>
    <x v="2"/>
    <n v="4"/>
    <n v="346.79"/>
    <n v="0.35"/>
    <n v="225.41350000000003"/>
    <n v="901.65"/>
    <x v="2"/>
    <n v="6"/>
    <n v="4.3"/>
  </r>
  <r>
    <n v="460"/>
    <d v="2021-04-04T00:00:00"/>
    <x v="1"/>
    <s v="Q2"/>
    <x v="3"/>
    <n v="4"/>
    <n v="1515"/>
    <x v="3"/>
    <x v="1"/>
    <n v="2"/>
    <n v="541.11"/>
    <n v="0.28999999999999998"/>
    <n v="384.18810000000002"/>
    <n v="768.38"/>
    <x v="1"/>
    <n v="10"/>
    <n v="4.5999999999999996"/>
  </r>
  <r>
    <n v="461"/>
    <d v="2021-04-05T00:00:00"/>
    <x v="1"/>
    <s v="Q2"/>
    <x v="3"/>
    <n v="4"/>
    <n v="1546"/>
    <x v="1"/>
    <x v="0"/>
    <n v="5"/>
    <n v="582.41"/>
    <n v="0.21"/>
    <n v="460.10389999999995"/>
    <n v="2300.52"/>
    <x v="2"/>
    <n v="10"/>
    <n v="2.6"/>
  </r>
  <r>
    <n v="462"/>
    <d v="2021-04-06T00:00:00"/>
    <x v="1"/>
    <s v="Q2"/>
    <x v="3"/>
    <n v="4"/>
    <n v="1191"/>
    <x v="2"/>
    <x v="3"/>
    <n v="6"/>
    <n v="386.16"/>
    <n v="0.23"/>
    <n v="297.34320000000002"/>
    <n v="1784.06"/>
    <x v="2"/>
    <n v="9"/>
    <n v="4.4000000000000004"/>
  </r>
  <r>
    <n v="463"/>
    <d v="2021-04-07T00:00:00"/>
    <x v="1"/>
    <s v="Q2"/>
    <x v="3"/>
    <n v="4"/>
    <n v="1048"/>
    <x v="1"/>
    <x v="2"/>
    <n v="2"/>
    <n v="461.97"/>
    <n v="0.23"/>
    <n v="355.71690000000001"/>
    <n v="711.43"/>
    <x v="1"/>
    <n v="3"/>
    <n v="3.2"/>
  </r>
  <r>
    <n v="464"/>
    <d v="2021-04-08T00:00:00"/>
    <x v="1"/>
    <s v="Q2"/>
    <x v="3"/>
    <n v="4"/>
    <n v="1511"/>
    <x v="3"/>
    <x v="1"/>
    <n v="3"/>
    <n v="64.03"/>
    <n v="0.02"/>
    <n v="62.749400000000001"/>
    <n v="188.25"/>
    <x v="0"/>
    <n v="3"/>
    <n v="2.9"/>
  </r>
  <r>
    <n v="465"/>
    <d v="2021-04-09T00:00:00"/>
    <x v="1"/>
    <s v="Q2"/>
    <x v="3"/>
    <n v="4"/>
    <n v="1016"/>
    <x v="2"/>
    <x v="2"/>
    <n v="7"/>
    <n v="109.02"/>
    <n v="0.08"/>
    <n v="100.2984"/>
    <n v="702.09"/>
    <x v="2"/>
    <n v="4"/>
    <n v="3.8"/>
  </r>
  <r>
    <n v="466"/>
    <d v="2021-04-10T00:00:00"/>
    <x v="1"/>
    <s v="Q2"/>
    <x v="3"/>
    <n v="4"/>
    <n v="1171"/>
    <x v="2"/>
    <x v="3"/>
    <n v="4"/>
    <n v="443.92"/>
    <n v="0.34"/>
    <n v="292.98720000000003"/>
    <n v="1171.95"/>
    <x v="0"/>
    <n v="3"/>
    <n v="1.4"/>
  </r>
  <r>
    <n v="467"/>
    <d v="2021-04-11T00:00:00"/>
    <x v="1"/>
    <s v="Q2"/>
    <x v="3"/>
    <n v="4"/>
    <n v="1219"/>
    <x v="2"/>
    <x v="3"/>
    <n v="7"/>
    <n v="267.35000000000002"/>
    <n v="0.19"/>
    <n v="216.55350000000001"/>
    <n v="1515.87"/>
    <x v="0"/>
    <n v="4"/>
    <n v="2.1"/>
  </r>
  <r>
    <n v="468"/>
    <d v="2021-04-12T00:00:00"/>
    <x v="1"/>
    <s v="Q2"/>
    <x v="3"/>
    <n v="4"/>
    <n v="1157"/>
    <x v="1"/>
    <x v="0"/>
    <n v="1"/>
    <n v="275.89"/>
    <n v="0.13"/>
    <n v="240.02429999999998"/>
    <n v="240.02"/>
    <x v="0"/>
    <n v="6"/>
    <n v="4.3"/>
  </r>
  <r>
    <n v="469"/>
    <d v="2021-04-13T00:00:00"/>
    <x v="1"/>
    <s v="Q2"/>
    <x v="3"/>
    <n v="4"/>
    <n v="1476"/>
    <x v="0"/>
    <x v="3"/>
    <n v="2"/>
    <n v="195.54"/>
    <n v="0.27"/>
    <n v="142.74419999999998"/>
    <n v="285.49"/>
    <x v="1"/>
    <n v="1"/>
    <n v="3"/>
  </r>
  <r>
    <n v="470"/>
    <d v="2021-04-14T00:00:00"/>
    <x v="1"/>
    <s v="Q2"/>
    <x v="3"/>
    <n v="4"/>
    <n v="1045"/>
    <x v="2"/>
    <x v="1"/>
    <n v="6"/>
    <n v="370.3"/>
    <n v="0.18"/>
    <n v="303.64600000000002"/>
    <n v="1821.88"/>
    <x v="1"/>
    <n v="2"/>
    <n v="4.5999999999999996"/>
  </r>
  <r>
    <n v="471"/>
    <d v="2021-04-15T00:00:00"/>
    <x v="1"/>
    <s v="Q2"/>
    <x v="3"/>
    <n v="4"/>
    <n v="1372"/>
    <x v="1"/>
    <x v="2"/>
    <n v="6"/>
    <n v="123.32"/>
    <n v="0"/>
    <n v="123.32"/>
    <n v="739.92"/>
    <x v="0"/>
    <n v="10"/>
    <n v="1.4"/>
  </r>
  <r>
    <n v="472"/>
    <d v="2021-04-16T00:00:00"/>
    <x v="1"/>
    <s v="Q2"/>
    <x v="3"/>
    <n v="4"/>
    <n v="1517"/>
    <x v="2"/>
    <x v="3"/>
    <n v="4"/>
    <n v="381.75"/>
    <n v="0.26"/>
    <n v="282.495"/>
    <n v="1129.98"/>
    <x v="2"/>
    <n v="6"/>
    <n v="2.2999999999999998"/>
  </r>
  <r>
    <n v="473"/>
    <d v="2021-04-17T00:00:00"/>
    <x v="1"/>
    <s v="Q2"/>
    <x v="3"/>
    <n v="4"/>
    <n v="1098"/>
    <x v="0"/>
    <x v="3"/>
    <n v="4"/>
    <n v="116.67"/>
    <n v="0.26"/>
    <n v="86.335800000000006"/>
    <n v="345.34"/>
    <x v="1"/>
    <n v="6"/>
    <n v="2.4"/>
  </r>
  <r>
    <n v="474"/>
    <d v="2021-04-18T00:00:00"/>
    <x v="1"/>
    <s v="Q2"/>
    <x v="3"/>
    <n v="4"/>
    <n v="1891"/>
    <x v="2"/>
    <x v="1"/>
    <n v="7"/>
    <n v="52.34"/>
    <n v="0.06"/>
    <n v="49.199600000000004"/>
    <n v="344.4"/>
    <x v="2"/>
    <n v="1"/>
    <n v="2.7"/>
  </r>
  <r>
    <n v="475"/>
    <d v="2021-04-19T00:00:00"/>
    <x v="1"/>
    <s v="Q2"/>
    <x v="3"/>
    <n v="4"/>
    <n v="1744"/>
    <x v="1"/>
    <x v="2"/>
    <n v="6"/>
    <n v="208.26"/>
    <n v="0.33"/>
    <n v="139.5342"/>
    <n v="837.21"/>
    <x v="1"/>
    <n v="6"/>
    <n v="4.9000000000000004"/>
  </r>
  <r>
    <n v="476"/>
    <d v="2021-04-20T00:00:00"/>
    <x v="1"/>
    <s v="Q2"/>
    <x v="3"/>
    <n v="4"/>
    <n v="1036"/>
    <x v="3"/>
    <x v="2"/>
    <n v="6"/>
    <n v="150.22"/>
    <n v="0.08"/>
    <n v="138.20240000000001"/>
    <n v="829.21"/>
    <x v="2"/>
    <n v="11"/>
    <n v="2.2000000000000002"/>
  </r>
  <r>
    <n v="477"/>
    <d v="2021-04-21T00:00:00"/>
    <x v="1"/>
    <s v="Q2"/>
    <x v="3"/>
    <n v="4"/>
    <n v="1279"/>
    <x v="3"/>
    <x v="0"/>
    <n v="6"/>
    <n v="535.05999999999995"/>
    <n v="0.16"/>
    <n v="449.45039999999995"/>
    <n v="2696.7"/>
    <x v="0"/>
    <n v="9"/>
    <n v="3.1"/>
  </r>
  <r>
    <n v="478"/>
    <d v="2021-04-22T00:00:00"/>
    <x v="1"/>
    <s v="Q2"/>
    <x v="3"/>
    <n v="4"/>
    <n v="1348"/>
    <x v="1"/>
    <x v="0"/>
    <n v="2"/>
    <n v="47.15"/>
    <n v="0.04"/>
    <n v="45.263999999999996"/>
    <n v="90.53"/>
    <x v="2"/>
    <n v="8"/>
    <n v="3.1"/>
  </r>
  <r>
    <n v="479"/>
    <d v="2021-04-23T00:00:00"/>
    <x v="1"/>
    <s v="Q2"/>
    <x v="3"/>
    <n v="4"/>
    <n v="1496"/>
    <x v="2"/>
    <x v="2"/>
    <n v="6"/>
    <n v="118.32"/>
    <n v="0.21"/>
    <n v="93.472799999999992"/>
    <n v="560.84"/>
    <x v="1"/>
    <n v="10"/>
    <n v="4.0999999999999996"/>
  </r>
  <r>
    <n v="480"/>
    <d v="2021-04-24T00:00:00"/>
    <x v="1"/>
    <s v="Q2"/>
    <x v="3"/>
    <n v="4"/>
    <n v="1301"/>
    <x v="1"/>
    <x v="1"/>
    <n v="1"/>
    <n v="336"/>
    <n v="0.13"/>
    <n v="292.32"/>
    <n v="292.32"/>
    <x v="1"/>
    <n v="5"/>
    <n v="3.1"/>
  </r>
  <r>
    <n v="481"/>
    <d v="2021-04-25T00:00:00"/>
    <x v="1"/>
    <s v="Q2"/>
    <x v="3"/>
    <n v="4"/>
    <n v="1180"/>
    <x v="2"/>
    <x v="1"/>
    <n v="6"/>
    <n v="296.42"/>
    <n v="0.12"/>
    <n v="260.84960000000001"/>
    <n v="1565.1"/>
    <x v="1"/>
    <n v="4"/>
    <n v="3.4"/>
  </r>
  <r>
    <n v="482"/>
    <d v="2021-04-26T00:00:00"/>
    <x v="1"/>
    <s v="Q2"/>
    <x v="3"/>
    <n v="4"/>
    <n v="1606"/>
    <x v="2"/>
    <x v="0"/>
    <n v="1"/>
    <n v="41.82"/>
    <n v="0.28999999999999998"/>
    <n v="29.6922"/>
    <n v="29.69"/>
    <x v="2"/>
    <n v="6"/>
    <n v="4"/>
  </r>
  <r>
    <n v="483"/>
    <d v="2021-04-27T00:00:00"/>
    <x v="1"/>
    <s v="Q2"/>
    <x v="3"/>
    <n v="4"/>
    <n v="1098"/>
    <x v="1"/>
    <x v="3"/>
    <n v="2"/>
    <n v="19.239999999999998"/>
    <n v="0"/>
    <n v="19.239999999999998"/>
    <n v="38.479999999999997"/>
    <x v="1"/>
    <n v="11"/>
    <n v="1.4"/>
  </r>
  <r>
    <n v="484"/>
    <d v="2021-04-28T00:00:00"/>
    <x v="1"/>
    <s v="Q2"/>
    <x v="3"/>
    <n v="4"/>
    <n v="1699"/>
    <x v="2"/>
    <x v="1"/>
    <n v="4"/>
    <n v="593.02"/>
    <n v="0.28000000000000003"/>
    <n v="426.97439999999995"/>
    <n v="1707.9"/>
    <x v="2"/>
    <n v="5"/>
    <n v="4.9000000000000004"/>
  </r>
  <r>
    <n v="485"/>
    <d v="2021-04-29T00:00:00"/>
    <x v="1"/>
    <s v="Q2"/>
    <x v="3"/>
    <n v="4"/>
    <n v="1992"/>
    <x v="2"/>
    <x v="3"/>
    <n v="1"/>
    <n v="400.42"/>
    <n v="0.2"/>
    <n v="320.33600000000001"/>
    <n v="320.33999999999997"/>
    <x v="2"/>
    <n v="6"/>
    <n v="4.4000000000000004"/>
  </r>
  <r>
    <n v="486"/>
    <d v="2021-04-30T00:00:00"/>
    <x v="1"/>
    <s v="Q2"/>
    <x v="3"/>
    <n v="4"/>
    <n v="1115"/>
    <x v="3"/>
    <x v="1"/>
    <n v="2"/>
    <n v="228.76"/>
    <n v="0.35"/>
    <n v="148.69400000000002"/>
    <n v="297.39"/>
    <x v="2"/>
    <n v="10"/>
    <n v="2.6"/>
  </r>
  <r>
    <n v="487"/>
    <d v="2021-05-01T00:00:00"/>
    <x v="1"/>
    <s v="Q2"/>
    <x v="4"/>
    <n v="5"/>
    <n v="1190"/>
    <x v="0"/>
    <x v="2"/>
    <n v="6"/>
    <n v="290.2"/>
    <n v="0.21"/>
    <n v="229.25799999999998"/>
    <n v="1375.55"/>
    <x v="0"/>
    <n v="11"/>
    <n v="3.9"/>
  </r>
  <r>
    <n v="488"/>
    <d v="2021-05-02T00:00:00"/>
    <x v="1"/>
    <s v="Q2"/>
    <x v="4"/>
    <n v="5"/>
    <n v="1252"/>
    <x v="1"/>
    <x v="0"/>
    <n v="2"/>
    <n v="170.93"/>
    <n v="0.02"/>
    <n v="167.51140000000001"/>
    <n v="335.02"/>
    <x v="2"/>
    <n v="3"/>
    <n v="4"/>
  </r>
  <r>
    <n v="489"/>
    <d v="2021-05-03T00:00:00"/>
    <x v="1"/>
    <s v="Q2"/>
    <x v="4"/>
    <n v="5"/>
    <n v="1980"/>
    <x v="2"/>
    <x v="3"/>
    <n v="6"/>
    <n v="216.75"/>
    <n v="0.02"/>
    <n v="212.41499999999999"/>
    <n v="1274.49"/>
    <x v="1"/>
    <n v="7"/>
    <n v="4.4000000000000004"/>
  </r>
  <r>
    <n v="490"/>
    <d v="2021-05-04T00:00:00"/>
    <x v="1"/>
    <s v="Q2"/>
    <x v="4"/>
    <n v="5"/>
    <n v="1927"/>
    <x v="2"/>
    <x v="3"/>
    <n v="7"/>
    <n v="394.69"/>
    <n v="0.31"/>
    <n v="272.33609999999999"/>
    <n v="1906.35"/>
    <x v="2"/>
    <n v="8"/>
    <n v="1.8"/>
  </r>
  <r>
    <n v="491"/>
    <d v="2021-05-05T00:00:00"/>
    <x v="1"/>
    <s v="Q2"/>
    <x v="4"/>
    <n v="5"/>
    <n v="1982"/>
    <x v="0"/>
    <x v="2"/>
    <n v="2"/>
    <n v="531.44000000000005"/>
    <n v="0.28999999999999998"/>
    <n v="377.32240000000002"/>
    <n v="754.64"/>
    <x v="2"/>
    <n v="5"/>
    <n v="3.8"/>
  </r>
  <r>
    <n v="492"/>
    <d v="2021-05-06T00:00:00"/>
    <x v="1"/>
    <s v="Q2"/>
    <x v="4"/>
    <n v="5"/>
    <n v="1160"/>
    <x v="2"/>
    <x v="1"/>
    <n v="4"/>
    <n v="122.72"/>
    <n v="0.12"/>
    <n v="107.9936"/>
    <n v="431.97"/>
    <x v="1"/>
    <n v="5"/>
    <n v="1.1000000000000001"/>
  </r>
  <r>
    <n v="493"/>
    <d v="2021-05-07T00:00:00"/>
    <x v="1"/>
    <s v="Q2"/>
    <x v="4"/>
    <n v="5"/>
    <n v="1255"/>
    <x v="2"/>
    <x v="3"/>
    <n v="1"/>
    <n v="506.61"/>
    <n v="0.22"/>
    <n v="395.1558"/>
    <n v="395.16"/>
    <x v="2"/>
    <n v="4"/>
    <n v="1.5"/>
  </r>
  <r>
    <n v="494"/>
    <d v="2021-05-08T00:00:00"/>
    <x v="1"/>
    <s v="Q2"/>
    <x v="4"/>
    <n v="5"/>
    <n v="1322"/>
    <x v="1"/>
    <x v="1"/>
    <n v="7"/>
    <n v="86.11"/>
    <n v="0.17"/>
    <n v="71.471299999999999"/>
    <n v="500.3"/>
    <x v="1"/>
    <n v="10"/>
    <n v="4.0999999999999996"/>
  </r>
  <r>
    <n v="495"/>
    <d v="2021-05-09T00:00:00"/>
    <x v="1"/>
    <s v="Q2"/>
    <x v="4"/>
    <n v="5"/>
    <n v="1127"/>
    <x v="1"/>
    <x v="2"/>
    <n v="4"/>
    <n v="140.77000000000001"/>
    <n v="0.34"/>
    <n v="92.908199999999994"/>
    <n v="371.63"/>
    <x v="1"/>
    <n v="5"/>
    <n v="4.3"/>
  </r>
  <r>
    <n v="496"/>
    <d v="2021-05-10T00:00:00"/>
    <x v="1"/>
    <s v="Q2"/>
    <x v="4"/>
    <n v="5"/>
    <n v="1017"/>
    <x v="1"/>
    <x v="0"/>
    <n v="3"/>
    <n v="36.75"/>
    <n v="0.33"/>
    <n v="24.622499999999999"/>
    <n v="73.87"/>
    <x v="0"/>
    <n v="10"/>
    <n v="3.4"/>
  </r>
  <r>
    <n v="497"/>
    <d v="2021-05-11T00:00:00"/>
    <x v="1"/>
    <s v="Q2"/>
    <x v="4"/>
    <n v="5"/>
    <n v="1792"/>
    <x v="2"/>
    <x v="3"/>
    <n v="6"/>
    <n v="97.37"/>
    <n v="0.34"/>
    <n v="64.264200000000002"/>
    <n v="385.59"/>
    <x v="0"/>
    <n v="11"/>
    <n v="3.3"/>
  </r>
  <r>
    <n v="498"/>
    <d v="2021-05-12T00:00:00"/>
    <x v="1"/>
    <s v="Q2"/>
    <x v="4"/>
    <n v="5"/>
    <n v="1734"/>
    <x v="2"/>
    <x v="1"/>
    <n v="1"/>
    <n v="551.62"/>
    <n v="0.3"/>
    <n v="386.13400000000001"/>
    <n v="386.13"/>
    <x v="2"/>
    <n v="8"/>
    <n v="4"/>
  </r>
  <r>
    <n v="499"/>
    <d v="2021-05-13T00:00:00"/>
    <x v="1"/>
    <s v="Q2"/>
    <x v="4"/>
    <n v="5"/>
    <n v="1565"/>
    <x v="0"/>
    <x v="3"/>
    <n v="4"/>
    <n v="283.77"/>
    <n v="0.32"/>
    <n v="192.96359999999999"/>
    <n v="771.85"/>
    <x v="2"/>
    <n v="5"/>
    <n v="4.5999999999999996"/>
  </r>
  <r>
    <n v="500"/>
    <d v="2021-05-14T00:00:00"/>
    <x v="1"/>
    <s v="Q2"/>
    <x v="4"/>
    <n v="5"/>
    <n v="1569"/>
    <x v="2"/>
    <x v="1"/>
    <n v="1"/>
    <n v="60.43"/>
    <n v="0.08"/>
    <n v="55.595599999999997"/>
    <n v="55.6"/>
    <x v="0"/>
    <n v="9"/>
    <n v="2.7"/>
  </r>
  <r>
    <n v="501"/>
    <d v="2021-05-15T00:00:00"/>
    <x v="1"/>
    <s v="Q2"/>
    <x v="4"/>
    <n v="5"/>
    <n v="1322"/>
    <x v="3"/>
    <x v="1"/>
    <n v="3"/>
    <n v="576.44000000000005"/>
    <n v="0.28999999999999998"/>
    <n v="409.27240000000006"/>
    <n v="1227.82"/>
    <x v="0"/>
    <n v="1"/>
    <n v="1.5"/>
  </r>
  <r>
    <n v="502"/>
    <d v="2021-05-16T00:00:00"/>
    <x v="1"/>
    <s v="Q2"/>
    <x v="4"/>
    <n v="5"/>
    <n v="1871"/>
    <x v="3"/>
    <x v="1"/>
    <n v="5"/>
    <n v="529.21"/>
    <n v="0.25"/>
    <n v="396.90750000000003"/>
    <n v="1984.54"/>
    <x v="2"/>
    <n v="7"/>
    <n v="4.4000000000000004"/>
  </r>
  <r>
    <n v="503"/>
    <d v="2021-05-17T00:00:00"/>
    <x v="1"/>
    <s v="Q2"/>
    <x v="4"/>
    <n v="5"/>
    <n v="1685"/>
    <x v="1"/>
    <x v="2"/>
    <n v="6"/>
    <n v="456.49"/>
    <n v="0.34"/>
    <n v="301.28340000000003"/>
    <n v="1807.7"/>
    <x v="2"/>
    <n v="5"/>
    <n v="2.4"/>
  </r>
  <r>
    <n v="504"/>
    <d v="2021-05-18T00:00:00"/>
    <x v="1"/>
    <s v="Q2"/>
    <x v="4"/>
    <n v="5"/>
    <n v="1791"/>
    <x v="2"/>
    <x v="0"/>
    <n v="6"/>
    <n v="561.08000000000004"/>
    <n v="0.2"/>
    <n v="448.86400000000003"/>
    <n v="2693.18"/>
    <x v="1"/>
    <n v="4"/>
    <n v="1.5"/>
  </r>
  <r>
    <n v="505"/>
    <d v="2021-05-19T00:00:00"/>
    <x v="1"/>
    <s v="Q2"/>
    <x v="4"/>
    <n v="5"/>
    <n v="1625"/>
    <x v="2"/>
    <x v="3"/>
    <n v="2"/>
    <n v="143.78"/>
    <n v="0.03"/>
    <n v="139.4666"/>
    <n v="278.93"/>
    <x v="1"/>
    <n v="3"/>
    <n v="3.5"/>
  </r>
  <r>
    <n v="506"/>
    <d v="2021-05-20T00:00:00"/>
    <x v="1"/>
    <s v="Q2"/>
    <x v="4"/>
    <n v="5"/>
    <n v="1287"/>
    <x v="1"/>
    <x v="0"/>
    <n v="6"/>
    <n v="504.28"/>
    <n v="0.21"/>
    <n v="398.38119999999998"/>
    <n v="2390.29"/>
    <x v="1"/>
    <n v="10"/>
    <n v="3.3"/>
  </r>
  <r>
    <n v="507"/>
    <d v="2021-05-21T00:00:00"/>
    <x v="1"/>
    <s v="Q2"/>
    <x v="4"/>
    <n v="5"/>
    <n v="1942"/>
    <x v="0"/>
    <x v="1"/>
    <n v="6"/>
    <n v="418.64"/>
    <n v="0.24"/>
    <n v="318.16640000000001"/>
    <n v="1909"/>
    <x v="2"/>
    <n v="7"/>
    <n v="2.9"/>
  </r>
  <r>
    <n v="508"/>
    <d v="2021-05-22T00:00:00"/>
    <x v="1"/>
    <s v="Q2"/>
    <x v="4"/>
    <n v="5"/>
    <n v="1853"/>
    <x v="0"/>
    <x v="1"/>
    <n v="4"/>
    <n v="523.80999999999995"/>
    <n v="0.08"/>
    <n v="481.90519999999992"/>
    <n v="1927.62"/>
    <x v="0"/>
    <n v="2"/>
    <n v="4.4000000000000004"/>
  </r>
  <r>
    <n v="509"/>
    <d v="2021-05-23T00:00:00"/>
    <x v="1"/>
    <s v="Q2"/>
    <x v="4"/>
    <n v="5"/>
    <n v="1662"/>
    <x v="2"/>
    <x v="0"/>
    <n v="7"/>
    <n v="481.19"/>
    <n v="0.14000000000000001"/>
    <n v="413.82339999999999"/>
    <n v="2896.76"/>
    <x v="0"/>
    <n v="5"/>
    <n v="2.1"/>
  </r>
  <r>
    <n v="510"/>
    <d v="2021-05-24T00:00:00"/>
    <x v="1"/>
    <s v="Q2"/>
    <x v="4"/>
    <n v="5"/>
    <n v="1961"/>
    <x v="2"/>
    <x v="0"/>
    <n v="6"/>
    <n v="217.7"/>
    <n v="0.21"/>
    <n v="171.983"/>
    <n v="1031.9000000000001"/>
    <x v="1"/>
    <n v="2"/>
    <n v="1.1000000000000001"/>
  </r>
  <r>
    <n v="511"/>
    <d v="2021-05-25T00:00:00"/>
    <x v="1"/>
    <s v="Q2"/>
    <x v="4"/>
    <n v="5"/>
    <n v="1638"/>
    <x v="0"/>
    <x v="3"/>
    <n v="6"/>
    <n v="468.02"/>
    <n v="0.13"/>
    <n v="407.17739999999998"/>
    <n v="2443.06"/>
    <x v="2"/>
    <n v="7"/>
    <n v="2.2999999999999998"/>
  </r>
  <r>
    <n v="512"/>
    <d v="2021-05-26T00:00:00"/>
    <x v="1"/>
    <s v="Q2"/>
    <x v="4"/>
    <n v="5"/>
    <n v="1154"/>
    <x v="3"/>
    <x v="1"/>
    <n v="3"/>
    <n v="168.54"/>
    <n v="0.13"/>
    <n v="146.62979999999999"/>
    <n v="439.89"/>
    <x v="1"/>
    <n v="6"/>
    <n v="1"/>
  </r>
  <r>
    <n v="513"/>
    <d v="2021-05-27T00:00:00"/>
    <x v="1"/>
    <s v="Q2"/>
    <x v="4"/>
    <n v="5"/>
    <n v="1489"/>
    <x v="0"/>
    <x v="0"/>
    <n v="7"/>
    <n v="207.23"/>
    <n v="0.05"/>
    <n v="196.86849999999998"/>
    <n v="1378.08"/>
    <x v="1"/>
    <n v="10"/>
    <n v="3.2"/>
  </r>
  <r>
    <n v="514"/>
    <d v="2021-05-28T00:00:00"/>
    <x v="1"/>
    <s v="Q2"/>
    <x v="4"/>
    <n v="5"/>
    <n v="1385"/>
    <x v="2"/>
    <x v="2"/>
    <n v="3"/>
    <n v="78.12"/>
    <n v="0.33"/>
    <n v="52.340400000000002"/>
    <n v="157.02000000000001"/>
    <x v="0"/>
    <n v="7"/>
    <n v="2.5"/>
  </r>
  <r>
    <n v="515"/>
    <d v="2021-05-29T00:00:00"/>
    <x v="1"/>
    <s v="Q2"/>
    <x v="4"/>
    <n v="5"/>
    <n v="1985"/>
    <x v="1"/>
    <x v="1"/>
    <n v="1"/>
    <n v="562.02"/>
    <n v="0.26"/>
    <n v="415.89479999999998"/>
    <n v="415.89"/>
    <x v="2"/>
    <n v="9"/>
    <n v="4.3"/>
  </r>
  <r>
    <n v="516"/>
    <d v="2021-05-30T00:00:00"/>
    <x v="1"/>
    <s v="Q2"/>
    <x v="4"/>
    <n v="5"/>
    <n v="1784"/>
    <x v="3"/>
    <x v="1"/>
    <n v="1"/>
    <n v="185.24"/>
    <n v="0"/>
    <n v="185.24"/>
    <n v="185.24"/>
    <x v="2"/>
    <n v="2"/>
    <n v="4.2"/>
  </r>
  <r>
    <n v="517"/>
    <d v="2021-05-31T00:00:00"/>
    <x v="1"/>
    <s v="Q2"/>
    <x v="4"/>
    <n v="5"/>
    <n v="1103"/>
    <x v="3"/>
    <x v="3"/>
    <n v="6"/>
    <n v="319.56"/>
    <n v="0.27"/>
    <n v="233.27879999999999"/>
    <n v="1399.67"/>
    <x v="1"/>
    <n v="9"/>
    <n v="2.7"/>
  </r>
  <r>
    <n v="518"/>
    <d v="2021-06-01T00:00:00"/>
    <x v="1"/>
    <s v="Q2"/>
    <x v="5"/>
    <n v="6"/>
    <n v="1928"/>
    <x v="1"/>
    <x v="2"/>
    <n v="6"/>
    <n v="243.93"/>
    <n v="0.26"/>
    <n v="180.50819999999999"/>
    <n v="1083.05"/>
    <x v="1"/>
    <n v="7"/>
    <n v="1.9"/>
  </r>
  <r>
    <n v="519"/>
    <d v="2021-06-02T00:00:00"/>
    <x v="1"/>
    <s v="Q2"/>
    <x v="5"/>
    <n v="6"/>
    <n v="1392"/>
    <x v="2"/>
    <x v="3"/>
    <n v="2"/>
    <n v="576.55999999999995"/>
    <n v="0"/>
    <n v="576.55999999999995"/>
    <n v="1153.1199999999999"/>
    <x v="2"/>
    <n v="2"/>
    <n v="2.7"/>
  </r>
  <r>
    <n v="520"/>
    <d v="2021-06-03T00:00:00"/>
    <x v="1"/>
    <s v="Q2"/>
    <x v="5"/>
    <n v="6"/>
    <n v="1810"/>
    <x v="1"/>
    <x v="2"/>
    <n v="1"/>
    <n v="211"/>
    <n v="0.13"/>
    <n v="183.57"/>
    <n v="183.57"/>
    <x v="1"/>
    <n v="10"/>
    <n v="3.6"/>
  </r>
  <r>
    <n v="521"/>
    <d v="2021-06-04T00:00:00"/>
    <x v="1"/>
    <s v="Q2"/>
    <x v="5"/>
    <n v="6"/>
    <n v="1245"/>
    <x v="2"/>
    <x v="3"/>
    <n v="4"/>
    <n v="470.45"/>
    <n v="0.21"/>
    <n v="371.65549999999996"/>
    <n v="1486.62"/>
    <x v="1"/>
    <n v="2"/>
    <n v="1.8"/>
  </r>
  <r>
    <n v="522"/>
    <d v="2021-06-05T00:00:00"/>
    <x v="1"/>
    <s v="Q2"/>
    <x v="5"/>
    <n v="6"/>
    <n v="1175"/>
    <x v="1"/>
    <x v="2"/>
    <n v="6"/>
    <n v="515.41999999999996"/>
    <n v="0.16"/>
    <n v="432.95279999999997"/>
    <n v="2597.7199999999998"/>
    <x v="1"/>
    <n v="4"/>
    <n v="4.0999999999999996"/>
  </r>
  <r>
    <n v="523"/>
    <d v="2021-06-06T00:00:00"/>
    <x v="1"/>
    <s v="Q2"/>
    <x v="5"/>
    <n v="6"/>
    <n v="1038"/>
    <x v="0"/>
    <x v="2"/>
    <n v="4"/>
    <n v="269.83"/>
    <n v="0.27"/>
    <n v="196.97589999999997"/>
    <n v="787.9"/>
    <x v="2"/>
    <n v="2"/>
    <n v="2.2999999999999998"/>
  </r>
  <r>
    <n v="524"/>
    <d v="2021-06-07T00:00:00"/>
    <x v="1"/>
    <s v="Q2"/>
    <x v="5"/>
    <n v="6"/>
    <n v="1476"/>
    <x v="1"/>
    <x v="2"/>
    <n v="6"/>
    <n v="236.23"/>
    <n v="0.15"/>
    <n v="200.7955"/>
    <n v="1204.77"/>
    <x v="0"/>
    <n v="1"/>
    <n v="4.7"/>
  </r>
  <r>
    <n v="525"/>
    <d v="2021-06-08T00:00:00"/>
    <x v="1"/>
    <s v="Q2"/>
    <x v="5"/>
    <n v="6"/>
    <n v="1681"/>
    <x v="3"/>
    <x v="0"/>
    <n v="4"/>
    <n v="452.43"/>
    <n v="0.05"/>
    <n v="429.80849999999998"/>
    <n v="1719.23"/>
    <x v="0"/>
    <n v="6"/>
    <n v="3"/>
  </r>
  <r>
    <n v="526"/>
    <d v="2021-06-09T00:00:00"/>
    <x v="1"/>
    <s v="Q2"/>
    <x v="5"/>
    <n v="6"/>
    <n v="1758"/>
    <x v="2"/>
    <x v="1"/>
    <n v="5"/>
    <n v="549.04"/>
    <n v="0.34"/>
    <n v="362.3664"/>
    <n v="1811.83"/>
    <x v="0"/>
    <n v="10"/>
    <n v="4.4000000000000004"/>
  </r>
  <r>
    <n v="527"/>
    <d v="2021-06-10T00:00:00"/>
    <x v="1"/>
    <s v="Q2"/>
    <x v="5"/>
    <n v="6"/>
    <n v="1537"/>
    <x v="3"/>
    <x v="2"/>
    <n v="4"/>
    <n v="456.64"/>
    <n v="0.08"/>
    <n v="420.10879999999997"/>
    <n v="1680.44"/>
    <x v="0"/>
    <n v="11"/>
    <n v="3.5"/>
  </r>
  <r>
    <n v="528"/>
    <d v="2021-06-11T00:00:00"/>
    <x v="1"/>
    <s v="Q2"/>
    <x v="5"/>
    <n v="6"/>
    <n v="1866"/>
    <x v="0"/>
    <x v="0"/>
    <n v="7"/>
    <n v="147.87"/>
    <n v="0.25"/>
    <n v="110.9025"/>
    <n v="776.32"/>
    <x v="0"/>
    <n v="5"/>
    <n v="3.2"/>
  </r>
  <r>
    <n v="529"/>
    <d v="2021-06-12T00:00:00"/>
    <x v="1"/>
    <s v="Q2"/>
    <x v="5"/>
    <n v="6"/>
    <n v="1817"/>
    <x v="2"/>
    <x v="0"/>
    <n v="1"/>
    <n v="534.66"/>
    <n v="0.05"/>
    <n v="507.92699999999996"/>
    <n v="507.93"/>
    <x v="2"/>
    <n v="3"/>
    <n v="3.7"/>
  </r>
  <r>
    <n v="530"/>
    <d v="2021-06-13T00:00:00"/>
    <x v="1"/>
    <s v="Q2"/>
    <x v="5"/>
    <n v="6"/>
    <n v="1920"/>
    <x v="2"/>
    <x v="3"/>
    <n v="6"/>
    <n v="241.74"/>
    <n v="0.12"/>
    <n v="212.7312"/>
    <n v="1276.3900000000001"/>
    <x v="2"/>
    <n v="11"/>
    <n v="4.2"/>
  </r>
  <r>
    <n v="531"/>
    <d v="2021-06-14T00:00:00"/>
    <x v="1"/>
    <s v="Q2"/>
    <x v="5"/>
    <n v="6"/>
    <n v="1407"/>
    <x v="1"/>
    <x v="1"/>
    <n v="1"/>
    <n v="352.09"/>
    <n v="0.15"/>
    <n v="299.2765"/>
    <n v="299.27999999999997"/>
    <x v="1"/>
    <n v="1"/>
    <n v="3.6"/>
  </r>
  <r>
    <n v="532"/>
    <d v="2021-06-15T00:00:00"/>
    <x v="1"/>
    <s v="Q2"/>
    <x v="5"/>
    <n v="6"/>
    <n v="1524"/>
    <x v="2"/>
    <x v="1"/>
    <n v="7"/>
    <n v="501.39"/>
    <n v="7.0000000000000007E-2"/>
    <n v="466.29269999999997"/>
    <n v="3264.05"/>
    <x v="0"/>
    <n v="9"/>
    <n v="4.2"/>
  </r>
  <r>
    <n v="533"/>
    <d v="2021-06-16T00:00:00"/>
    <x v="1"/>
    <s v="Q2"/>
    <x v="5"/>
    <n v="6"/>
    <n v="1827"/>
    <x v="3"/>
    <x v="3"/>
    <n v="7"/>
    <n v="125.21"/>
    <n v="0.16"/>
    <n v="105.1764"/>
    <n v="736.23"/>
    <x v="1"/>
    <n v="8"/>
    <n v="1.8"/>
  </r>
  <r>
    <n v="534"/>
    <d v="2021-06-17T00:00:00"/>
    <x v="1"/>
    <s v="Q2"/>
    <x v="5"/>
    <n v="6"/>
    <n v="1505"/>
    <x v="0"/>
    <x v="1"/>
    <n v="4"/>
    <n v="473.94"/>
    <n v="0.06"/>
    <n v="445.50360000000001"/>
    <n v="1782.01"/>
    <x v="1"/>
    <n v="6"/>
    <n v="2.1"/>
  </r>
  <r>
    <n v="535"/>
    <d v="2021-06-18T00:00:00"/>
    <x v="1"/>
    <s v="Q2"/>
    <x v="5"/>
    <n v="6"/>
    <n v="1902"/>
    <x v="1"/>
    <x v="3"/>
    <n v="3"/>
    <n v="363.76"/>
    <n v="0.2"/>
    <n v="291.00799999999998"/>
    <n v="873.02"/>
    <x v="0"/>
    <n v="6"/>
    <n v="1.9"/>
  </r>
  <r>
    <n v="536"/>
    <d v="2021-06-19T00:00:00"/>
    <x v="1"/>
    <s v="Q2"/>
    <x v="5"/>
    <n v="6"/>
    <n v="1824"/>
    <x v="2"/>
    <x v="0"/>
    <n v="3"/>
    <n v="537.6"/>
    <n v="0.23"/>
    <n v="413.952"/>
    <n v="1241.8599999999999"/>
    <x v="1"/>
    <n v="4"/>
    <n v="4.2"/>
  </r>
  <r>
    <n v="537"/>
    <d v="2021-06-20T00:00:00"/>
    <x v="1"/>
    <s v="Q2"/>
    <x v="5"/>
    <n v="6"/>
    <n v="1035"/>
    <x v="1"/>
    <x v="0"/>
    <n v="7"/>
    <n v="115.6"/>
    <n v="0.02"/>
    <n v="113.288"/>
    <n v="793.02"/>
    <x v="0"/>
    <n v="2"/>
    <n v="1.3"/>
  </r>
  <r>
    <n v="538"/>
    <d v="2021-06-21T00:00:00"/>
    <x v="1"/>
    <s v="Q2"/>
    <x v="5"/>
    <n v="6"/>
    <n v="1684"/>
    <x v="3"/>
    <x v="2"/>
    <n v="3"/>
    <n v="261.10000000000002"/>
    <n v="0.3"/>
    <n v="182.77000000000004"/>
    <n v="548.30999999999995"/>
    <x v="2"/>
    <n v="4"/>
    <n v="4.2"/>
  </r>
  <r>
    <n v="539"/>
    <d v="2021-06-22T00:00:00"/>
    <x v="1"/>
    <s v="Q2"/>
    <x v="5"/>
    <n v="6"/>
    <n v="1019"/>
    <x v="2"/>
    <x v="3"/>
    <n v="6"/>
    <n v="502.21"/>
    <n v="0.06"/>
    <n v="472.07740000000001"/>
    <n v="2832.46"/>
    <x v="1"/>
    <n v="2"/>
    <n v="2.6"/>
  </r>
  <r>
    <n v="540"/>
    <d v="2021-06-23T00:00:00"/>
    <x v="1"/>
    <s v="Q2"/>
    <x v="5"/>
    <n v="6"/>
    <n v="1320"/>
    <x v="1"/>
    <x v="0"/>
    <n v="2"/>
    <n v="26.25"/>
    <n v="0.08"/>
    <n v="24.15"/>
    <n v="48.3"/>
    <x v="2"/>
    <n v="7"/>
    <n v="1.3"/>
  </r>
  <r>
    <n v="541"/>
    <d v="2021-06-24T00:00:00"/>
    <x v="1"/>
    <s v="Q2"/>
    <x v="5"/>
    <n v="6"/>
    <n v="1775"/>
    <x v="1"/>
    <x v="0"/>
    <n v="5"/>
    <n v="80.64"/>
    <n v="0.23"/>
    <n v="62.092799999999997"/>
    <n v="310.45999999999998"/>
    <x v="0"/>
    <n v="9"/>
    <n v="2.7"/>
  </r>
  <r>
    <n v="542"/>
    <d v="2021-06-25T00:00:00"/>
    <x v="1"/>
    <s v="Q2"/>
    <x v="5"/>
    <n v="6"/>
    <n v="1511"/>
    <x v="1"/>
    <x v="3"/>
    <n v="4"/>
    <n v="594.48"/>
    <n v="0.16"/>
    <n v="499.36320000000001"/>
    <n v="1997.45"/>
    <x v="1"/>
    <n v="2"/>
    <n v="2.2000000000000002"/>
  </r>
  <r>
    <n v="543"/>
    <d v="2021-06-26T00:00:00"/>
    <x v="1"/>
    <s v="Q2"/>
    <x v="5"/>
    <n v="6"/>
    <n v="1399"/>
    <x v="2"/>
    <x v="0"/>
    <n v="2"/>
    <n v="179.03"/>
    <n v="0.17"/>
    <n v="148.5949"/>
    <n v="297.19"/>
    <x v="2"/>
    <n v="9"/>
    <n v="3.4"/>
  </r>
  <r>
    <n v="544"/>
    <d v="2021-06-27T00:00:00"/>
    <x v="1"/>
    <s v="Q2"/>
    <x v="5"/>
    <n v="6"/>
    <n v="1653"/>
    <x v="3"/>
    <x v="1"/>
    <n v="3"/>
    <n v="585.69000000000005"/>
    <n v="0.04"/>
    <n v="562.26240000000007"/>
    <n v="1686.79"/>
    <x v="0"/>
    <n v="9"/>
    <n v="2.9"/>
  </r>
  <r>
    <n v="545"/>
    <d v="2021-06-28T00:00:00"/>
    <x v="1"/>
    <s v="Q2"/>
    <x v="5"/>
    <n v="6"/>
    <n v="1971"/>
    <x v="2"/>
    <x v="0"/>
    <n v="4"/>
    <n v="121.78"/>
    <n v="0.28000000000000003"/>
    <n v="87.681600000000003"/>
    <n v="350.73"/>
    <x v="1"/>
    <n v="8"/>
    <n v="2.2000000000000002"/>
  </r>
  <r>
    <n v="546"/>
    <d v="2021-06-29T00:00:00"/>
    <x v="1"/>
    <s v="Q2"/>
    <x v="5"/>
    <n v="6"/>
    <n v="1882"/>
    <x v="2"/>
    <x v="3"/>
    <n v="2"/>
    <n v="226.24"/>
    <n v="0.22"/>
    <n v="176.46719999999999"/>
    <n v="352.93"/>
    <x v="1"/>
    <n v="1"/>
    <n v="4.4000000000000004"/>
  </r>
  <r>
    <n v="547"/>
    <d v="2021-06-30T00:00:00"/>
    <x v="1"/>
    <s v="Q2"/>
    <x v="5"/>
    <n v="6"/>
    <n v="1470"/>
    <x v="0"/>
    <x v="1"/>
    <n v="1"/>
    <n v="455.43"/>
    <n v="0.05"/>
    <n v="432.6585"/>
    <n v="432.66"/>
    <x v="1"/>
    <n v="5"/>
    <n v="2.6"/>
  </r>
  <r>
    <n v="548"/>
    <d v="2021-07-01T00:00:00"/>
    <x v="1"/>
    <s v="Q3"/>
    <x v="6"/>
    <n v="7"/>
    <n v="1142"/>
    <x v="3"/>
    <x v="1"/>
    <n v="3"/>
    <n v="399.8"/>
    <n v="0.13"/>
    <n v="347.82600000000002"/>
    <n v="1043.48"/>
    <x v="1"/>
    <n v="10"/>
    <n v="2.9"/>
  </r>
  <r>
    <n v="549"/>
    <d v="2021-07-02T00:00:00"/>
    <x v="1"/>
    <s v="Q3"/>
    <x v="6"/>
    <n v="7"/>
    <n v="1091"/>
    <x v="2"/>
    <x v="0"/>
    <n v="2"/>
    <n v="354.96"/>
    <n v="0.28000000000000003"/>
    <n v="255.57119999999998"/>
    <n v="511.14"/>
    <x v="1"/>
    <n v="11"/>
    <n v="4.4000000000000004"/>
  </r>
  <r>
    <n v="550"/>
    <d v="2021-07-03T00:00:00"/>
    <x v="1"/>
    <s v="Q3"/>
    <x v="6"/>
    <n v="7"/>
    <n v="1353"/>
    <x v="2"/>
    <x v="2"/>
    <n v="6"/>
    <n v="324.99"/>
    <n v="0.2"/>
    <n v="259.99200000000002"/>
    <n v="1559.95"/>
    <x v="2"/>
    <n v="4"/>
    <n v="1.4"/>
  </r>
  <r>
    <n v="551"/>
    <d v="2021-07-04T00:00:00"/>
    <x v="1"/>
    <s v="Q3"/>
    <x v="6"/>
    <n v="7"/>
    <n v="1833"/>
    <x v="2"/>
    <x v="1"/>
    <n v="1"/>
    <n v="508.41"/>
    <n v="0.04"/>
    <n v="488.0736"/>
    <n v="488.07"/>
    <x v="1"/>
    <n v="7"/>
    <n v="2.6"/>
  </r>
  <r>
    <n v="552"/>
    <d v="2021-07-05T00:00:00"/>
    <x v="1"/>
    <s v="Q3"/>
    <x v="6"/>
    <n v="7"/>
    <n v="1799"/>
    <x v="2"/>
    <x v="3"/>
    <n v="3"/>
    <n v="152.44"/>
    <n v="0.13"/>
    <n v="132.62279999999998"/>
    <n v="397.87"/>
    <x v="0"/>
    <n v="11"/>
    <n v="2.6"/>
  </r>
  <r>
    <n v="553"/>
    <d v="2021-07-06T00:00:00"/>
    <x v="1"/>
    <s v="Q3"/>
    <x v="6"/>
    <n v="7"/>
    <n v="1726"/>
    <x v="2"/>
    <x v="2"/>
    <n v="5"/>
    <n v="273.85000000000002"/>
    <n v="0.08"/>
    <n v="251.94200000000001"/>
    <n v="1259.71"/>
    <x v="1"/>
    <n v="8"/>
    <n v="3"/>
  </r>
  <r>
    <n v="554"/>
    <d v="2021-07-07T00:00:00"/>
    <x v="1"/>
    <s v="Q3"/>
    <x v="6"/>
    <n v="7"/>
    <n v="1958"/>
    <x v="2"/>
    <x v="2"/>
    <n v="7"/>
    <n v="105.94"/>
    <n v="0.18"/>
    <n v="86.870800000000003"/>
    <n v="608.1"/>
    <x v="2"/>
    <n v="10"/>
    <n v="1.4"/>
  </r>
  <r>
    <n v="555"/>
    <d v="2021-07-08T00:00:00"/>
    <x v="1"/>
    <s v="Q3"/>
    <x v="6"/>
    <n v="7"/>
    <n v="1853"/>
    <x v="1"/>
    <x v="1"/>
    <n v="3"/>
    <n v="363.63"/>
    <n v="0.3"/>
    <n v="254.541"/>
    <n v="763.62"/>
    <x v="2"/>
    <n v="11"/>
    <n v="1.4"/>
  </r>
  <r>
    <n v="556"/>
    <d v="2021-07-09T00:00:00"/>
    <x v="1"/>
    <s v="Q3"/>
    <x v="6"/>
    <n v="7"/>
    <n v="1050"/>
    <x v="3"/>
    <x v="0"/>
    <n v="6"/>
    <n v="161.57"/>
    <n v="0.15"/>
    <n v="137.33449999999999"/>
    <n v="824.01"/>
    <x v="0"/>
    <n v="8"/>
    <n v="2.7"/>
  </r>
  <r>
    <n v="557"/>
    <d v="2021-07-10T00:00:00"/>
    <x v="1"/>
    <s v="Q3"/>
    <x v="6"/>
    <n v="7"/>
    <n v="1664"/>
    <x v="1"/>
    <x v="2"/>
    <n v="5"/>
    <n v="210.3"/>
    <n v="0.15"/>
    <n v="178.755"/>
    <n v="893.78"/>
    <x v="2"/>
    <n v="2"/>
    <n v="1.1000000000000001"/>
  </r>
  <r>
    <n v="558"/>
    <d v="2021-07-11T00:00:00"/>
    <x v="1"/>
    <s v="Q3"/>
    <x v="6"/>
    <n v="7"/>
    <n v="1697"/>
    <x v="3"/>
    <x v="0"/>
    <n v="5"/>
    <n v="290.68"/>
    <n v="0.32"/>
    <n v="197.66239999999999"/>
    <n v="988.31"/>
    <x v="1"/>
    <n v="3"/>
    <n v="2"/>
  </r>
  <r>
    <n v="559"/>
    <d v="2021-07-12T00:00:00"/>
    <x v="1"/>
    <s v="Q3"/>
    <x v="6"/>
    <n v="7"/>
    <n v="1574"/>
    <x v="2"/>
    <x v="1"/>
    <n v="5"/>
    <n v="30.66"/>
    <n v="0.2"/>
    <n v="24.527999999999999"/>
    <n v="122.64"/>
    <x v="0"/>
    <n v="10"/>
    <n v="1.8"/>
  </r>
  <r>
    <n v="560"/>
    <d v="2021-07-13T00:00:00"/>
    <x v="1"/>
    <s v="Q3"/>
    <x v="6"/>
    <n v="7"/>
    <n v="1189"/>
    <x v="0"/>
    <x v="3"/>
    <n v="4"/>
    <n v="68.78"/>
    <n v="0.2"/>
    <n v="55.024000000000001"/>
    <n v="220.1"/>
    <x v="1"/>
    <n v="10"/>
    <n v="3"/>
  </r>
  <r>
    <n v="561"/>
    <d v="2021-07-14T00:00:00"/>
    <x v="1"/>
    <s v="Q3"/>
    <x v="6"/>
    <n v="7"/>
    <n v="1124"/>
    <x v="3"/>
    <x v="2"/>
    <n v="4"/>
    <n v="416.27"/>
    <n v="0.09"/>
    <n v="378.8057"/>
    <n v="1515.22"/>
    <x v="1"/>
    <n v="7"/>
    <n v="1"/>
  </r>
  <r>
    <n v="562"/>
    <d v="2021-07-15T00:00:00"/>
    <x v="1"/>
    <s v="Q3"/>
    <x v="6"/>
    <n v="7"/>
    <n v="1149"/>
    <x v="3"/>
    <x v="3"/>
    <n v="7"/>
    <n v="265.95"/>
    <n v="0.21"/>
    <n v="210.10049999999998"/>
    <n v="1470.7"/>
    <x v="1"/>
    <n v="4"/>
    <n v="3.7"/>
  </r>
  <r>
    <n v="563"/>
    <d v="2021-07-16T00:00:00"/>
    <x v="1"/>
    <s v="Q3"/>
    <x v="6"/>
    <n v="7"/>
    <n v="1313"/>
    <x v="3"/>
    <x v="0"/>
    <n v="5"/>
    <n v="520.9"/>
    <n v="0.2"/>
    <n v="416.71999999999997"/>
    <n v="2083.6"/>
    <x v="2"/>
    <n v="6"/>
    <n v="4.4000000000000004"/>
  </r>
  <r>
    <n v="564"/>
    <d v="2021-07-17T00:00:00"/>
    <x v="1"/>
    <s v="Q3"/>
    <x v="6"/>
    <n v="7"/>
    <n v="1569"/>
    <x v="0"/>
    <x v="0"/>
    <n v="7"/>
    <n v="421.38"/>
    <n v="0.14000000000000001"/>
    <n v="362.38679999999999"/>
    <n v="2536.71"/>
    <x v="1"/>
    <n v="8"/>
    <n v="3.8"/>
  </r>
  <r>
    <n v="565"/>
    <d v="2021-07-18T00:00:00"/>
    <x v="1"/>
    <s v="Q3"/>
    <x v="6"/>
    <n v="7"/>
    <n v="1341"/>
    <x v="1"/>
    <x v="3"/>
    <n v="1"/>
    <n v="19.739999999999998"/>
    <n v="0.35"/>
    <n v="12.831"/>
    <n v="12.83"/>
    <x v="2"/>
    <n v="8"/>
    <n v="4.3"/>
  </r>
  <r>
    <n v="566"/>
    <d v="2021-07-19T00:00:00"/>
    <x v="1"/>
    <s v="Q3"/>
    <x v="6"/>
    <n v="7"/>
    <n v="1304"/>
    <x v="2"/>
    <x v="1"/>
    <n v="5"/>
    <n v="375.78"/>
    <n v="0.31"/>
    <n v="259.28819999999996"/>
    <n v="1296.44"/>
    <x v="2"/>
    <n v="7"/>
    <n v="3.6"/>
  </r>
  <r>
    <n v="567"/>
    <d v="2021-07-20T00:00:00"/>
    <x v="1"/>
    <s v="Q3"/>
    <x v="6"/>
    <n v="7"/>
    <n v="1691"/>
    <x v="1"/>
    <x v="1"/>
    <n v="2"/>
    <n v="69.83"/>
    <n v="0.26"/>
    <n v="51.674199999999999"/>
    <n v="103.35"/>
    <x v="0"/>
    <n v="2"/>
    <n v="3"/>
  </r>
  <r>
    <n v="568"/>
    <d v="2021-07-21T00:00:00"/>
    <x v="1"/>
    <s v="Q3"/>
    <x v="6"/>
    <n v="7"/>
    <n v="1681"/>
    <x v="3"/>
    <x v="2"/>
    <n v="5"/>
    <n v="471.85"/>
    <n v="0.19"/>
    <n v="382.19850000000002"/>
    <n v="1910.99"/>
    <x v="1"/>
    <n v="2"/>
    <n v="1.9"/>
  </r>
  <r>
    <n v="569"/>
    <d v="2021-07-22T00:00:00"/>
    <x v="1"/>
    <s v="Q3"/>
    <x v="6"/>
    <n v="7"/>
    <n v="1837"/>
    <x v="3"/>
    <x v="2"/>
    <n v="4"/>
    <n v="595.03"/>
    <n v="0.16"/>
    <n v="499.8252"/>
    <n v="1999.3"/>
    <x v="1"/>
    <n v="3"/>
    <n v="2.1"/>
  </r>
  <r>
    <n v="570"/>
    <d v="2021-07-23T00:00:00"/>
    <x v="1"/>
    <s v="Q3"/>
    <x v="6"/>
    <n v="7"/>
    <n v="1782"/>
    <x v="1"/>
    <x v="1"/>
    <n v="4"/>
    <n v="325.75"/>
    <n v="0.06"/>
    <n v="306.20499999999998"/>
    <n v="1224.82"/>
    <x v="1"/>
    <n v="4"/>
    <n v="2.2999999999999998"/>
  </r>
  <r>
    <n v="571"/>
    <d v="2021-07-24T00:00:00"/>
    <x v="1"/>
    <s v="Q3"/>
    <x v="6"/>
    <n v="7"/>
    <n v="1053"/>
    <x v="2"/>
    <x v="1"/>
    <n v="2"/>
    <n v="414.43"/>
    <n v="0.11"/>
    <n v="368.84270000000004"/>
    <n v="737.69"/>
    <x v="1"/>
    <n v="1"/>
    <n v="1.2"/>
  </r>
  <r>
    <n v="572"/>
    <d v="2021-07-25T00:00:00"/>
    <x v="1"/>
    <s v="Q3"/>
    <x v="6"/>
    <n v="7"/>
    <n v="1443"/>
    <x v="1"/>
    <x v="3"/>
    <n v="2"/>
    <n v="153.83000000000001"/>
    <n v="0.27"/>
    <n v="112.2959"/>
    <n v="224.59"/>
    <x v="2"/>
    <n v="5"/>
    <n v="4.7"/>
  </r>
  <r>
    <n v="573"/>
    <d v="2021-07-26T00:00:00"/>
    <x v="1"/>
    <s v="Q3"/>
    <x v="6"/>
    <n v="7"/>
    <n v="1612"/>
    <x v="0"/>
    <x v="0"/>
    <n v="3"/>
    <n v="270.99"/>
    <n v="0.16"/>
    <n v="227.63159999999999"/>
    <n v="682.89"/>
    <x v="2"/>
    <n v="7"/>
    <n v="4.5999999999999996"/>
  </r>
  <r>
    <n v="574"/>
    <d v="2021-07-27T00:00:00"/>
    <x v="1"/>
    <s v="Q3"/>
    <x v="6"/>
    <n v="7"/>
    <n v="1992"/>
    <x v="1"/>
    <x v="0"/>
    <n v="1"/>
    <n v="515.82000000000005"/>
    <n v="0.31"/>
    <n v="355.91580000000005"/>
    <n v="355.92"/>
    <x v="2"/>
    <n v="10"/>
    <n v="1.4"/>
  </r>
  <r>
    <n v="575"/>
    <d v="2021-07-28T00:00:00"/>
    <x v="1"/>
    <s v="Q3"/>
    <x v="6"/>
    <n v="7"/>
    <n v="1263"/>
    <x v="1"/>
    <x v="2"/>
    <n v="1"/>
    <n v="112.94"/>
    <n v="0.05"/>
    <n v="107.29299999999999"/>
    <n v="107.29"/>
    <x v="0"/>
    <n v="11"/>
    <n v="3.2"/>
  </r>
  <r>
    <n v="576"/>
    <d v="2021-07-29T00:00:00"/>
    <x v="1"/>
    <s v="Q3"/>
    <x v="6"/>
    <n v="7"/>
    <n v="1052"/>
    <x v="2"/>
    <x v="1"/>
    <n v="1"/>
    <n v="170.34"/>
    <n v="0.18"/>
    <n v="139.6788"/>
    <n v="139.68"/>
    <x v="0"/>
    <n v="5"/>
    <n v="2.9"/>
  </r>
  <r>
    <n v="577"/>
    <d v="2021-07-30T00:00:00"/>
    <x v="1"/>
    <s v="Q3"/>
    <x v="6"/>
    <n v="7"/>
    <n v="1571"/>
    <x v="1"/>
    <x v="3"/>
    <n v="6"/>
    <n v="275.58"/>
    <n v="0.23"/>
    <n v="212.19659999999999"/>
    <n v="1273.18"/>
    <x v="1"/>
    <n v="7"/>
    <n v="3.7"/>
  </r>
  <r>
    <n v="578"/>
    <d v="2021-07-31T00:00:00"/>
    <x v="1"/>
    <s v="Q3"/>
    <x v="6"/>
    <n v="7"/>
    <n v="1619"/>
    <x v="0"/>
    <x v="2"/>
    <n v="4"/>
    <n v="431.67"/>
    <n v="0.18"/>
    <n v="353.96940000000001"/>
    <n v="1415.88"/>
    <x v="0"/>
    <n v="5"/>
    <n v="3.4"/>
  </r>
  <r>
    <n v="579"/>
    <d v="2021-08-01T00:00:00"/>
    <x v="1"/>
    <s v="Q3"/>
    <x v="7"/>
    <n v="8"/>
    <n v="1004"/>
    <x v="3"/>
    <x v="3"/>
    <n v="1"/>
    <n v="234.89"/>
    <n v="0.31"/>
    <n v="162.07409999999999"/>
    <n v="162.07"/>
    <x v="1"/>
    <n v="11"/>
    <n v="1.5"/>
  </r>
  <r>
    <n v="580"/>
    <d v="2021-08-02T00:00:00"/>
    <x v="1"/>
    <s v="Q3"/>
    <x v="7"/>
    <n v="8"/>
    <n v="1102"/>
    <x v="3"/>
    <x v="1"/>
    <n v="3"/>
    <n v="557.72"/>
    <n v="0.35"/>
    <n v="362.51800000000003"/>
    <n v="1087.55"/>
    <x v="2"/>
    <n v="10"/>
    <n v="3.6"/>
  </r>
  <r>
    <n v="581"/>
    <d v="2021-08-03T00:00:00"/>
    <x v="1"/>
    <s v="Q3"/>
    <x v="7"/>
    <n v="8"/>
    <n v="1195"/>
    <x v="1"/>
    <x v="1"/>
    <n v="3"/>
    <n v="70.260000000000005"/>
    <n v="0.04"/>
    <n v="67.449600000000004"/>
    <n v="202.35"/>
    <x v="2"/>
    <n v="8"/>
    <n v="3.4"/>
  </r>
  <r>
    <n v="582"/>
    <d v="2021-08-04T00:00:00"/>
    <x v="1"/>
    <s v="Q3"/>
    <x v="7"/>
    <n v="8"/>
    <n v="1773"/>
    <x v="1"/>
    <x v="1"/>
    <n v="1"/>
    <n v="231.92"/>
    <n v="0.05"/>
    <n v="220.32399999999998"/>
    <n v="220.32"/>
    <x v="0"/>
    <n v="7"/>
    <n v="3.1"/>
  </r>
  <r>
    <n v="583"/>
    <d v="2021-08-05T00:00:00"/>
    <x v="1"/>
    <s v="Q3"/>
    <x v="7"/>
    <n v="8"/>
    <n v="1876"/>
    <x v="2"/>
    <x v="0"/>
    <n v="2"/>
    <n v="429.74"/>
    <n v="0.05"/>
    <n v="408.25299999999999"/>
    <n v="816.51"/>
    <x v="2"/>
    <n v="1"/>
    <n v="2.6"/>
  </r>
  <r>
    <n v="584"/>
    <d v="2021-08-06T00:00:00"/>
    <x v="1"/>
    <s v="Q3"/>
    <x v="7"/>
    <n v="8"/>
    <n v="1991"/>
    <x v="3"/>
    <x v="1"/>
    <n v="3"/>
    <n v="147.19999999999999"/>
    <n v="0.24"/>
    <n v="111.87199999999999"/>
    <n v="335.62"/>
    <x v="2"/>
    <n v="11"/>
    <n v="4.8"/>
  </r>
  <r>
    <n v="585"/>
    <d v="2021-08-07T00:00:00"/>
    <x v="1"/>
    <s v="Q3"/>
    <x v="7"/>
    <n v="8"/>
    <n v="1883"/>
    <x v="1"/>
    <x v="2"/>
    <n v="7"/>
    <n v="399"/>
    <n v="0.13"/>
    <n v="347.13"/>
    <n v="2429.91"/>
    <x v="0"/>
    <n v="1"/>
    <n v="4.4000000000000004"/>
  </r>
  <r>
    <n v="586"/>
    <d v="2021-08-08T00:00:00"/>
    <x v="1"/>
    <s v="Q3"/>
    <x v="7"/>
    <n v="8"/>
    <n v="1349"/>
    <x v="1"/>
    <x v="0"/>
    <n v="2"/>
    <n v="111.07"/>
    <n v="0.26"/>
    <n v="82.191800000000001"/>
    <n v="164.38"/>
    <x v="2"/>
    <n v="5"/>
    <n v="3.3"/>
  </r>
  <r>
    <n v="587"/>
    <d v="2021-08-09T00:00:00"/>
    <x v="1"/>
    <s v="Q3"/>
    <x v="7"/>
    <n v="8"/>
    <n v="1046"/>
    <x v="1"/>
    <x v="3"/>
    <n v="7"/>
    <n v="47.75"/>
    <n v="0.14000000000000001"/>
    <n v="41.064999999999998"/>
    <n v="287.45999999999998"/>
    <x v="2"/>
    <n v="2"/>
    <n v="1"/>
  </r>
  <r>
    <n v="588"/>
    <d v="2021-08-10T00:00:00"/>
    <x v="1"/>
    <s v="Q3"/>
    <x v="7"/>
    <n v="8"/>
    <n v="1866"/>
    <x v="0"/>
    <x v="2"/>
    <n v="4"/>
    <n v="85.79"/>
    <n v="0.22"/>
    <n v="66.916200000000003"/>
    <n v="267.66000000000003"/>
    <x v="1"/>
    <n v="9"/>
    <n v="2.7"/>
  </r>
  <r>
    <n v="589"/>
    <d v="2021-08-11T00:00:00"/>
    <x v="1"/>
    <s v="Q3"/>
    <x v="7"/>
    <n v="8"/>
    <n v="1822"/>
    <x v="2"/>
    <x v="2"/>
    <n v="6"/>
    <n v="559.04"/>
    <n v="0.27"/>
    <n v="408.0992"/>
    <n v="2448.6"/>
    <x v="1"/>
    <n v="2"/>
    <n v="3.8"/>
  </r>
  <r>
    <n v="590"/>
    <d v="2021-08-12T00:00:00"/>
    <x v="1"/>
    <s v="Q3"/>
    <x v="7"/>
    <n v="8"/>
    <n v="1935"/>
    <x v="3"/>
    <x v="3"/>
    <n v="3"/>
    <n v="337.77"/>
    <n v="0.19"/>
    <n v="273.59370000000001"/>
    <n v="820.78"/>
    <x v="0"/>
    <n v="9"/>
    <n v="1.5"/>
  </r>
  <r>
    <n v="591"/>
    <d v="2021-08-13T00:00:00"/>
    <x v="1"/>
    <s v="Q3"/>
    <x v="7"/>
    <n v="8"/>
    <n v="1819"/>
    <x v="2"/>
    <x v="0"/>
    <n v="2"/>
    <n v="480.86"/>
    <n v="0.19"/>
    <n v="389.4966"/>
    <n v="778.99"/>
    <x v="2"/>
    <n v="10"/>
    <n v="2.6"/>
  </r>
  <r>
    <n v="592"/>
    <d v="2021-08-14T00:00:00"/>
    <x v="1"/>
    <s v="Q3"/>
    <x v="7"/>
    <n v="8"/>
    <n v="1655"/>
    <x v="1"/>
    <x v="2"/>
    <n v="7"/>
    <n v="209.6"/>
    <n v="0.03"/>
    <n v="203.31199999999998"/>
    <n v="1423.18"/>
    <x v="2"/>
    <n v="2"/>
    <n v="1.8"/>
  </r>
  <r>
    <n v="593"/>
    <d v="2021-08-15T00:00:00"/>
    <x v="1"/>
    <s v="Q3"/>
    <x v="7"/>
    <n v="8"/>
    <n v="1268"/>
    <x v="2"/>
    <x v="2"/>
    <n v="1"/>
    <n v="361.71"/>
    <n v="0.14000000000000001"/>
    <n v="311.07059999999996"/>
    <n v="311.07"/>
    <x v="1"/>
    <n v="4"/>
    <n v="2.4"/>
  </r>
  <r>
    <n v="594"/>
    <d v="2021-08-16T00:00:00"/>
    <x v="1"/>
    <s v="Q3"/>
    <x v="7"/>
    <n v="8"/>
    <n v="1369"/>
    <x v="2"/>
    <x v="2"/>
    <n v="7"/>
    <n v="304.55"/>
    <n v="0.19"/>
    <n v="246.68550000000002"/>
    <n v="1726.8"/>
    <x v="1"/>
    <n v="3"/>
    <n v="1.1000000000000001"/>
  </r>
  <r>
    <n v="595"/>
    <d v="2021-08-17T00:00:00"/>
    <x v="1"/>
    <s v="Q3"/>
    <x v="7"/>
    <n v="8"/>
    <n v="1635"/>
    <x v="1"/>
    <x v="0"/>
    <n v="7"/>
    <n v="568.26"/>
    <n v="0.16"/>
    <n v="477.33839999999998"/>
    <n v="3341.37"/>
    <x v="1"/>
    <n v="6"/>
    <n v="1.5"/>
  </r>
  <r>
    <n v="596"/>
    <d v="2021-08-18T00:00:00"/>
    <x v="1"/>
    <s v="Q3"/>
    <x v="7"/>
    <n v="8"/>
    <n v="1105"/>
    <x v="2"/>
    <x v="0"/>
    <n v="4"/>
    <n v="452.33"/>
    <n v="0.32"/>
    <n v="307.58439999999996"/>
    <n v="1230.3399999999999"/>
    <x v="2"/>
    <n v="4"/>
    <n v="2.8"/>
  </r>
  <r>
    <n v="597"/>
    <d v="2021-08-19T00:00:00"/>
    <x v="1"/>
    <s v="Q3"/>
    <x v="7"/>
    <n v="8"/>
    <n v="1669"/>
    <x v="1"/>
    <x v="0"/>
    <n v="5"/>
    <n v="442.37"/>
    <n v="0.32"/>
    <n v="300.8116"/>
    <n v="1504.06"/>
    <x v="1"/>
    <n v="9"/>
    <n v="4.5999999999999996"/>
  </r>
  <r>
    <n v="598"/>
    <d v="2021-08-20T00:00:00"/>
    <x v="1"/>
    <s v="Q3"/>
    <x v="7"/>
    <n v="8"/>
    <n v="1658"/>
    <x v="0"/>
    <x v="2"/>
    <n v="5"/>
    <n v="42.12"/>
    <n v="0.28999999999999998"/>
    <n v="29.905200000000001"/>
    <n v="149.53"/>
    <x v="1"/>
    <n v="9"/>
    <n v="3"/>
  </r>
  <r>
    <n v="599"/>
    <d v="2021-08-21T00:00:00"/>
    <x v="1"/>
    <s v="Q3"/>
    <x v="7"/>
    <n v="8"/>
    <n v="1656"/>
    <x v="2"/>
    <x v="1"/>
    <n v="1"/>
    <n v="336.56"/>
    <n v="0.13"/>
    <n v="292.80720000000002"/>
    <n v="292.81"/>
    <x v="2"/>
    <n v="10"/>
    <n v="2.8"/>
  </r>
  <r>
    <n v="600"/>
    <d v="2021-08-22T00:00:00"/>
    <x v="1"/>
    <s v="Q3"/>
    <x v="7"/>
    <n v="8"/>
    <n v="1119"/>
    <x v="3"/>
    <x v="3"/>
    <n v="4"/>
    <n v="288.19"/>
    <n v="0.25"/>
    <n v="216.14249999999998"/>
    <n v="864.57"/>
    <x v="2"/>
    <n v="9"/>
    <n v="4.2"/>
  </r>
  <r>
    <n v="601"/>
    <d v="2021-08-23T00:00:00"/>
    <x v="1"/>
    <s v="Q3"/>
    <x v="7"/>
    <n v="8"/>
    <n v="1830"/>
    <x v="1"/>
    <x v="1"/>
    <n v="4"/>
    <n v="557.79"/>
    <n v="0.14000000000000001"/>
    <n v="479.69939999999997"/>
    <n v="1918.8"/>
    <x v="1"/>
    <n v="3"/>
    <n v="2.1"/>
  </r>
  <r>
    <n v="602"/>
    <d v="2021-08-24T00:00:00"/>
    <x v="1"/>
    <s v="Q3"/>
    <x v="7"/>
    <n v="8"/>
    <n v="1786"/>
    <x v="3"/>
    <x v="0"/>
    <n v="4"/>
    <n v="165.55"/>
    <n v="0.08"/>
    <n v="152.30600000000001"/>
    <n v="609.22"/>
    <x v="2"/>
    <n v="3"/>
    <n v="1.4"/>
  </r>
  <r>
    <n v="603"/>
    <d v="2021-08-25T00:00:00"/>
    <x v="1"/>
    <s v="Q3"/>
    <x v="7"/>
    <n v="8"/>
    <n v="1603"/>
    <x v="2"/>
    <x v="2"/>
    <n v="4"/>
    <n v="172.85"/>
    <n v="0.12"/>
    <n v="152.108"/>
    <n v="608.42999999999995"/>
    <x v="0"/>
    <n v="4"/>
    <n v="1.8"/>
  </r>
  <r>
    <n v="604"/>
    <d v="2021-08-26T00:00:00"/>
    <x v="1"/>
    <s v="Q3"/>
    <x v="7"/>
    <n v="8"/>
    <n v="1057"/>
    <x v="2"/>
    <x v="2"/>
    <n v="5"/>
    <n v="255.64"/>
    <n v="0.02"/>
    <n v="250.52719999999999"/>
    <n v="1252.6400000000001"/>
    <x v="2"/>
    <n v="9"/>
    <n v="4.2"/>
  </r>
  <r>
    <n v="605"/>
    <d v="2021-08-27T00:00:00"/>
    <x v="1"/>
    <s v="Q3"/>
    <x v="7"/>
    <n v="8"/>
    <n v="1950"/>
    <x v="2"/>
    <x v="1"/>
    <n v="2"/>
    <n v="157.37"/>
    <n v="0.12"/>
    <n v="138.48560000000001"/>
    <n v="276.97000000000003"/>
    <x v="0"/>
    <n v="6"/>
    <n v="3.7"/>
  </r>
  <r>
    <n v="606"/>
    <d v="2021-08-28T00:00:00"/>
    <x v="1"/>
    <s v="Q3"/>
    <x v="7"/>
    <n v="8"/>
    <n v="1345"/>
    <x v="2"/>
    <x v="1"/>
    <n v="4"/>
    <n v="90.57"/>
    <n v="0.16"/>
    <n v="76.078800000000001"/>
    <n v="304.32"/>
    <x v="0"/>
    <n v="9"/>
    <n v="1.4"/>
  </r>
  <r>
    <n v="607"/>
    <d v="2021-08-29T00:00:00"/>
    <x v="1"/>
    <s v="Q3"/>
    <x v="7"/>
    <n v="8"/>
    <n v="1740"/>
    <x v="2"/>
    <x v="3"/>
    <n v="2"/>
    <n v="516.59"/>
    <n v="0.33"/>
    <n v="346.11530000000005"/>
    <n v="692.23"/>
    <x v="1"/>
    <n v="8"/>
    <n v="3.7"/>
  </r>
  <r>
    <n v="608"/>
    <d v="2021-08-30T00:00:00"/>
    <x v="1"/>
    <s v="Q3"/>
    <x v="7"/>
    <n v="8"/>
    <n v="1473"/>
    <x v="3"/>
    <x v="2"/>
    <n v="7"/>
    <n v="341.59"/>
    <n v="0.11"/>
    <n v="304.01509999999996"/>
    <n v="2128.11"/>
    <x v="1"/>
    <n v="7"/>
    <n v="4.7"/>
  </r>
  <r>
    <n v="609"/>
    <d v="2021-08-31T00:00:00"/>
    <x v="1"/>
    <s v="Q3"/>
    <x v="7"/>
    <n v="8"/>
    <n v="1116"/>
    <x v="0"/>
    <x v="1"/>
    <n v="7"/>
    <n v="518.9"/>
    <n v="0.32"/>
    <n v="352.85199999999998"/>
    <n v="2469.96"/>
    <x v="2"/>
    <n v="5"/>
    <n v="1.2"/>
  </r>
  <r>
    <n v="610"/>
    <d v="2021-09-01T00:00:00"/>
    <x v="1"/>
    <s v="Q3"/>
    <x v="8"/>
    <n v="9"/>
    <n v="1829"/>
    <x v="3"/>
    <x v="3"/>
    <n v="4"/>
    <n v="501.21"/>
    <n v="0.08"/>
    <n v="461.11320000000001"/>
    <n v="1844.45"/>
    <x v="2"/>
    <n v="9"/>
    <n v="3.5"/>
  </r>
  <r>
    <n v="611"/>
    <d v="2021-09-02T00:00:00"/>
    <x v="1"/>
    <s v="Q3"/>
    <x v="8"/>
    <n v="9"/>
    <n v="1790"/>
    <x v="3"/>
    <x v="0"/>
    <n v="3"/>
    <n v="179.99"/>
    <n v="7.0000000000000007E-2"/>
    <n v="167.39070000000001"/>
    <n v="502.17"/>
    <x v="1"/>
    <n v="4"/>
    <n v="2.5"/>
  </r>
  <r>
    <n v="612"/>
    <d v="2021-09-03T00:00:00"/>
    <x v="1"/>
    <s v="Q3"/>
    <x v="8"/>
    <n v="9"/>
    <n v="1126"/>
    <x v="2"/>
    <x v="1"/>
    <n v="6"/>
    <n v="335.43"/>
    <n v="0.18"/>
    <n v="275.05259999999998"/>
    <n v="1650.32"/>
    <x v="1"/>
    <n v="4"/>
    <n v="3"/>
  </r>
  <r>
    <n v="613"/>
    <d v="2021-09-04T00:00:00"/>
    <x v="1"/>
    <s v="Q3"/>
    <x v="8"/>
    <n v="9"/>
    <n v="1392"/>
    <x v="2"/>
    <x v="0"/>
    <n v="3"/>
    <n v="63.68"/>
    <n v="0.24"/>
    <n v="48.396799999999999"/>
    <n v="145.19"/>
    <x v="2"/>
    <n v="8"/>
    <n v="3.1"/>
  </r>
  <r>
    <n v="614"/>
    <d v="2021-09-05T00:00:00"/>
    <x v="1"/>
    <s v="Q3"/>
    <x v="8"/>
    <n v="9"/>
    <n v="1907"/>
    <x v="2"/>
    <x v="3"/>
    <n v="7"/>
    <n v="550.41999999999996"/>
    <n v="0.02"/>
    <n v="539.41159999999991"/>
    <n v="3775.88"/>
    <x v="1"/>
    <n v="4"/>
    <n v="4.0999999999999996"/>
  </r>
  <r>
    <n v="615"/>
    <d v="2021-09-06T00:00:00"/>
    <x v="1"/>
    <s v="Q3"/>
    <x v="8"/>
    <n v="9"/>
    <n v="1640"/>
    <x v="2"/>
    <x v="0"/>
    <n v="6"/>
    <n v="251.49"/>
    <n v="0.08"/>
    <n v="231.3708"/>
    <n v="1388.22"/>
    <x v="0"/>
    <n v="7"/>
    <n v="3.2"/>
  </r>
  <r>
    <n v="616"/>
    <d v="2021-09-07T00:00:00"/>
    <x v="1"/>
    <s v="Q3"/>
    <x v="8"/>
    <n v="9"/>
    <n v="1057"/>
    <x v="1"/>
    <x v="2"/>
    <n v="3"/>
    <n v="245.3"/>
    <n v="0.16"/>
    <n v="206.05200000000002"/>
    <n v="618.16"/>
    <x v="1"/>
    <n v="4"/>
    <n v="3.4"/>
  </r>
  <r>
    <n v="617"/>
    <d v="2021-09-08T00:00:00"/>
    <x v="1"/>
    <s v="Q3"/>
    <x v="8"/>
    <n v="9"/>
    <n v="1633"/>
    <x v="1"/>
    <x v="2"/>
    <n v="4"/>
    <n v="192.11"/>
    <n v="0.12"/>
    <n v="169.05680000000001"/>
    <n v="676.23"/>
    <x v="0"/>
    <n v="11"/>
    <n v="2.2999999999999998"/>
  </r>
  <r>
    <n v="618"/>
    <d v="2021-09-09T00:00:00"/>
    <x v="1"/>
    <s v="Q3"/>
    <x v="8"/>
    <n v="9"/>
    <n v="1512"/>
    <x v="1"/>
    <x v="0"/>
    <n v="2"/>
    <n v="284.49"/>
    <n v="0.25"/>
    <n v="213.36750000000001"/>
    <n v="426.74"/>
    <x v="1"/>
    <n v="1"/>
    <n v="1.5"/>
  </r>
  <r>
    <n v="619"/>
    <d v="2021-09-10T00:00:00"/>
    <x v="1"/>
    <s v="Q3"/>
    <x v="8"/>
    <n v="9"/>
    <n v="1750"/>
    <x v="1"/>
    <x v="2"/>
    <n v="6"/>
    <n v="162.28"/>
    <n v="0.18"/>
    <n v="133.06960000000001"/>
    <n v="798.42"/>
    <x v="1"/>
    <n v="10"/>
    <n v="3.7"/>
  </r>
  <r>
    <n v="620"/>
    <d v="2021-09-11T00:00:00"/>
    <x v="1"/>
    <s v="Q3"/>
    <x v="8"/>
    <n v="9"/>
    <n v="1801"/>
    <x v="3"/>
    <x v="3"/>
    <n v="5"/>
    <n v="234.29"/>
    <n v="0.06"/>
    <n v="220.23259999999999"/>
    <n v="1101.1600000000001"/>
    <x v="1"/>
    <n v="9"/>
    <n v="1"/>
  </r>
  <r>
    <n v="621"/>
    <d v="2021-09-12T00:00:00"/>
    <x v="1"/>
    <s v="Q3"/>
    <x v="8"/>
    <n v="9"/>
    <n v="1095"/>
    <x v="3"/>
    <x v="2"/>
    <n v="1"/>
    <n v="482.97"/>
    <n v="0.31"/>
    <n v="333.24930000000006"/>
    <n v="333.25"/>
    <x v="0"/>
    <n v="4"/>
    <n v="2.2999999999999998"/>
  </r>
  <r>
    <n v="622"/>
    <d v="2021-09-13T00:00:00"/>
    <x v="1"/>
    <s v="Q3"/>
    <x v="8"/>
    <n v="9"/>
    <n v="1637"/>
    <x v="2"/>
    <x v="0"/>
    <n v="6"/>
    <n v="503.04"/>
    <n v="0.1"/>
    <n v="452.73599999999999"/>
    <n v="2716.42"/>
    <x v="1"/>
    <n v="3"/>
    <n v="1.9"/>
  </r>
  <r>
    <n v="623"/>
    <d v="2021-09-14T00:00:00"/>
    <x v="1"/>
    <s v="Q3"/>
    <x v="8"/>
    <n v="9"/>
    <n v="1117"/>
    <x v="0"/>
    <x v="0"/>
    <n v="6"/>
    <n v="192.95"/>
    <n v="0.26"/>
    <n v="142.78299999999999"/>
    <n v="856.7"/>
    <x v="2"/>
    <n v="3"/>
    <n v="2.6"/>
  </r>
  <r>
    <n v="624"/>
    <d v="2021-09-15T00:00:00"/>
    <x v="1"/>
    <s v="Q3"/>
    <x v="8"/>
    <n v="9"/>
    <n v="1559"/>
    <x v="0"/>
    <x v="0"/>
    <n v="5"/>
    <n v="289.37"/>
    <n v="0.27"/>
    <n v="211.24009999999998"/>
    <n v="1056.2"/>
    <x v="0"/>
    <n v="9"/>
    <n v="2.2000000000000002"/>
  </r>
  <r>
    <n v="625"/>
    <d v="2021-09-16T00:00:00"/>
    <x v="1"/>
    <s v="Q3"/>
    <x v="8"/>
    <n v="9"/>
    <n v="1600"/>
    <x v="2"/>
    <x v="1"/>
    <n v="4"/>
    <n v="526.17999999999995"/>
    <n v="0.34"/>
    <n v="347.27879999999993"/>
    <n v="1389.12"/>
    <x v="2"/>
    <n v="8"/>
    <n v="3.8"/>
  </r>
  <r>
    <n v="626"/>
    <d v="2021-09-17T00:00:00"/>
    <x v="1"/>
    <s v="Q3"/>
    <x v="8"/>
    <n v="9"/>
    <n v="1487"/>
    <x v="1"/>
    <x v="0"/>
    <n v="3"/>
    <n v="45.81"/>
    <n v="0.17"/>
    <n v="38.022300000000001"/>
    <n v="114.07"/>
    <x v="1"/>
    <n v="10"/>
    <n v="2"/>
  </r>
  <r>
    <n v="627"/>
    <d v="2021-09-18T00:00:00"/>
    <x v="1"/>
    <s v="Q3"/>
    <x v="8"/>
    <n v="9"/>
    <n v="1236"/>
    <x v="1"/>
    <x v="3"/>
    <n v="3"/>
    <n v="535.15"/>
    <n v="0.22"/>
    <n v="417.41699999999997"/>
    <n v="1252.25"/>
    <x v="0"/>
    <n v="7"/>
    <n v="3.2"/>
  </r>
  <r>
    <n v="628"/>
    <d v="2021-09-19T00:00:00"/>
    <x v="1"/>
    <s v="Q3"/>
    <x v="8"/>
    <n v="9"/>
    <n v="1884"/>
    <x v="0"/>
    <x v="2"/>
    <n v="7"/>
    <n v="143.22"/>
    <n v="0.12"/>
    <n v="126.03360000000001"/>
    <n v="882.24"/>
    <x v="0"/>
    <n v="7"/>
    <n v="2.8"/>
  </r>
  <r>
    <n v="629"/>
    <d v="2021-09-20T00:00:00"/>
    <x v="1"/>
    <s v="Q3"/>
    <x v="8"/>
    <n v="9"/>
    <n v="1896"/>
    <x v="0"/>
    <x v="2"/>
    <n v="2"/>
    <n v="411.95"/>
    <n v="0.24"/>
    <n v="313.08199999999999"/>
    <n v="626.16"/>
    <x v="1"/>
    <n v="4"/>
    <n v="4.2"/>
  </r>
  <r>
    <n v="630"/>
    <d v="2021-09-21T00:00:00"/>
    <x v="1"/>
    <s v="Q3"/>
    <x v="8"/>
    <n v="9"/>
    <n v="1271"/>
    <x v="2"/>
    <x v="1"/>
    <n v="4"/>
    <n v="355.79"/>
    <n v="0.16"/>
    <n v="298.86360000000002"/>
    <n v="1195.45"/>
    <x v="2"/>
    <n v="3"/>
    <n v="2.7"/>
  </r>
  <r>
    <n v="631"/>
    <d v="2021-09-22T00:00:00"/>
    <x v="1"/>
    <s v="Q3"/>
    <x v="8"/>
    <n v="9"/>
    <n v="1188"/>
    <x v="1"/>
    <x v="1"/>
    <n v="5"/>
    <n v="338.47"/>
    <n v="0.15"/>
    <n v="287.6995"/>
    <n v="1438.5"/>
    <x v="0"/>
    <n v="4"/>
    <n v="4.5"/>
  </r>
  <r>
    <n v="632"/>
    <d v="2021-09-23T00:00:00"/>
    <x v="1"/>
    <s v="Q3"/>
    <x v="8"/>
    <n v="9"/>
    <n v="1998"/>
    <x v="1"/>
    <x v="3"/>
    <n v="4"/>
    <n v="517.73"/>
    <n v="0.3"/>
    <n v="362.41100000000006"/>
    <n v="1449.64"/>
    <x v="0"/>
    <n v="6"/>
    <n v="1"/>
  </r>
  <r>
    <n v="633"/>
    <d v="2021-09-24T00:00:00"/>
    <x v="1"/>
    <s v="Q3"/>
    <x v="8"/>
    <n v="9"/>
    <n v="1703"/>
    <x v="1"/>
    <x v="0"/>
    <n v="4"/>
    <n v="74.42"/>
    <n v="0.02"/>
    <n v="72.931600000000003"/>
    <n v="291.73"/>
    <x v="1"/>
    <n v="4"/>
    <n v="3.4"/>
  </r>
  <r>
    <n v="634"/>
    <d v="2021-09-25T00:00:00"/>
    <x v="1"/>
    <s v="Q3"/>
    <x v="8"/>
    <n v="9"/>
    <n v="1446"/>
    <x v="2"/>
    <x v="1"/>
    <n v="3"/>
    <n v="218.01"/>
    <n v="0.31"/>
    <n v="150.42689999999999"/>
    <n v="451.28"/>
    <x v="0"/>
    <n v="4"/>
    <n v="1"/>
  </r>
  <r>
    <n v="635"/>
    <d v="2021-09-26T00:00:00"/>
    <x v="1"/>
    <s v="Q3"/>
    <x v="8"/>
    <n v="9"/>
    <n v="1580"/>
    <x v="0"/>
    <x v="2"/>
    <n v="5"/>
    <n v="329.88"/>
    <n v="0.3"/>
    <n v="230.916"/>
    <n v="1154.58"/>
    <x v="1"/>
    <n v="2"/>
    <n v="3.9"/>
  </r>
  <r>
    <n v="636"/>
    <d v="2021-09-27T00:00:00"/>
    <x v="1"/>
    <s v="Q3"/>
    <x v="8"/>
    <n v="9"/>
    <n v="1789"/>
    <x v="3"/>
    <x v="1"/>
    <n v="1"/>
    <n v="489.6"/>
    <n v="0.18"/>
    <n v="401.47200000000004"/>
    <n v="401.47"/>
    <x v="1"/>
    <n v="7"/>
    <n v="1.9"/>
  </r>
  <r>
    <n v="637"/>
    <d v="2021-09-28T00:00:00"/>
    <x v="1"/>
    <s v="Q3"/>
    <x v="8"/>
    <n v="9"/>
    <n v="1860"/>
    <x v="3"/>
    <x v="1"/>
    <n v="6"/>
    <n v="141.62"/>
    <n v="0.17"/>
    <n v="117.5446"/>
    <n v="705.27"/>
    <x v="1"/>
    <n v="6"/>
    <n v="2.5"/>
  </r>
  <r>
    <n v="638"/>
    <d v="2021-09-29T00:00:00"/>
    <x v="1"/>
    <s v="Q3"/>
    <x v="8"/>
    <n v="9"/>
    <n v="1246"/>
    <x v="0"/>
    <x v="0"/>
    <n v="3"/>
    <n v="484.71"/>
    <n v="0.13"/>
    <n v="421.6977"/>
    <n v="1265.0899999999999"/>
    <x v="1"/>
    <n v="2"/>
    <n v="2.5"/>
  </r>
  <r>
    <n v="639"/>
    <d v="2021-09-30T00:00:00"/>
    <x v="1"/>
    <s v="Q3"/>
    <x v="8"/>
    <n v="9"/>
    <n v="1962"/>
    <x v="3"/>
    <x v="1"/>
    <n v="5"/>
    <n v="248.79"/>
    <n v="0.35"/>
    <n v="161.71350000000001"/>
    <n v="808.57"/>
    <x v="2"/>
    <n v="5"/>
    <n v="4.4000000000000004"/>
  </r>
  <r>
    <n v="640"/>
    <d v="2021-10-01T00:00:00"/>
    <x v="1"/>
    <s v="Q4"/>
    <x v="9"/>
    <n v="10"/>
    <n v="1075"/>
    <x v="1"/>
    <x v="3"/>
    <n v="2"/>
    <n v="125.51"/>
    <n v="0.04"/>
    <n v="120.48960000000001"/>
    <n v="240.98"/>
    <x v="2"/>
    <n v="6"/>
    <n v="1.4"/>
  </r>
  <r>
    <n v="641"/>
    <d v="2021-10-02T00:00:00"/>
    <x v="1"/>
    <s v="Q4"/>
    <x v="9"/>
    <n v="10"/>
    <n v="1153"/>
    <x v="1"/>
    <x v="2"/>
    <n v="6"/>
    <n v="459.01"/>
    <n v="0.21"/>
    <n v="362.61789999999996"/>
    <n v="2175.71"/>
    <x v="1"/>
    <n v="5"/>
    <n v="3.7"/>
  </r>
  <r>
    <n v="642"/>
    <d v="2021-10-03T00:00:00"/>
    <x v="1"/>
    <s v="Q4"/>
    <x v="9"/>
    <n v="10"/>
    <n v="1655"/>
    <x v="2"/>
    <x v="0"/>
    <n v="6"/>
    <n v="68.180000000000007"/>
    <n v="0.24"/>
    <n v="51.816800000000001"/>
    <n v="310.89999999999998"/>
    <x v="1"/>
    <n v="4"/>
    <n v="4.9000000000000004"/>
  </r>
  <r>
    <n v="643"/>
    <d v="2021-10-04T00:00:00"/>
    <x v="1"/>
    <s v="Q4"/>
    <x v="9"/>
    <n v="10"/>
    <n v="1434"/>
    <x v="3"/>
    <x v="2"/>
    <n v="3"/>
    <n v="316.14"/>
    <n v="0.33"/>
    <n v="211.81379999999999"/>
    <n v="635.44000000000005"/>
    <x v="1"/>
    <n v="11"/>
    <n v="1.1000000000000001"/>
  </r>
  <r>
    <n v="644"/>
    <d v="2021-10-05T00:00:00"/>
    <x v="1"/>
    <s v="Q4"/>
    <x v="9"/>
    <n v="10"/>
    <n v="1996"/>
    <x v="2"/>
    <x v="3"/>
    <n v="7"/>
    <n v="52.37"/>
    <n v="0.27"/>
    <n v="38.230099999999993"/>
    <n v="267.61"/>
    <x v="0"/>
    <n v="11"/>
    <n v="4.9000000000000004"/>
  </r>
  <r>
    <n v="645"/>
    <d v="2021-10-06T00:00:00"/>
    <x v="1"/>
    <s v="Q4"/>
    <x v="9"/>
    <n v="10"/>
    <n v="1085"/>
    <x v="3"/>
    <x v="3"/>
    <n v="2"/>
    <n v="223.5"/>
    <n v="0.23"/>
    <n v="172.095"/>
    <n v="344.19"/>
    <x v="0"/>
    <n v="9"/>
    <n v="1.1000000000000001"/>
  </r>
  <r>
    <n v="646"/>
    <d v="2021-10-07T00:00:00"/>
    <x v="1"/>
    <s v="Q4"/>
    <x v="9"/>
    <n v="10"/>
    <n v="1696"/>
    <x v="2"/>
    <x v="1"/>
    <n v="3"/>
    <n v="366.63"/>
    <n v="0.04"/>
    <n v="351.96479999999997"/>
    <n v="1055.8900000000001"/>
    <x v="1"/>
    <n v="3"/>
    <n v="4.4000000000000004"/>
  </r>
  <r>
    <n v="647"/>
    <d v="2021-10-08T00:00:00"/>
    <x v="1"/>
    <s v="Q4"/>
    <x v="9"/>
    <n v="10"/>
    <n v="1284"/>
    <x v="2"/>
    <x v="1"/>
    <n v="4"/>
    <n v="340.33"/>
    <n v="0.13"/>
    <n v="296.08709999999996"/>
    <n v="1184.3499999999999"/>
    <x v="0"/>
    <n v="11"/>
    <n v="4.8"/>
  </r>
  <r>
    <n v="648"/>
    <d v="2021-10-09T00:00:00"/>
    <x v="1"/>
    <s v="Q4"/>
    <x v="9"/>
    <n v="10"/>
    <n v="1973"/>
    <x v="2"/>
    <x v="1"/>
    <n v="7"/>
    <n v="251.72"/>
    <n v="0.05"/>
    <n v="239.13399999999999"/>
    <n v="1673.94"/>
    <x v="1"/>
    <n v="2"/>
    <n v="5"/>
  </r>
  <r>
    <n v="649"/>
    <d v="2021-10-10T00:00:00"/>
    <x v="1"/>
    <s v="Q4"/>
    <x v="9"/>
    <n v="10"/>
    <n v="1219"/>
    <x v="2"/>
    <x v="2"/>
    <n v="5"/>
    <n v="265.99"/>
    <n v="0.31"/>
    <n v="183.53309999999999"/>
    <n v="917.67"/>
    <x v="2"/>
    <n v="9"/>
    <n v="2.8"/>
  </r>
  <r>
    <n v="650"/>
    <d v="2021-10-11T00:00:00"/>
    <x v="1"/>
    <s v="Q4"/>
    <x v="9"/>
    <n v="10"/>
    <n v="1068"/>
    <x v="3"/>
    <x v="3"/>
    <n v="2"/>
    <n v="147.66"/>
    <n v="0.26"/>
    <n v="109.26839999999999"/>
    <n v="218.54"/>
    <x v="0"/>
    <n v="8"/>
    <n v="4.5"/>
  </r>
  <r>
    <n v="651"/>
    <d v="2021-10-12T00:00:00"/>
    <x v="1"/>
    <s v="Q4"/>
    <x v="9"/>
    <n v="10"/>
    <n v="1046"/>
    <x v="3"/>
    <x v="0"/>
    <n v="6"/>
    <n v="281.69"/>
    <n v="0.27"/>
    <n v="205.63369999999998"/>
    <n v="1233.8"/>
    <x v="1"/>
    <n v="9"/>
    <n v="1.5"/>
  </r>
  <r>
    <n v="652"/>
    <d v="2021-10-13T00:00:00"/>
    <x v="1"/>
    <s v="Q4"/>
    <x v="9"/>
    <n v="10"/>
    <n v="1093"/>
    <x v="1"/>
    <x v="1"/>
    <n v="3"/>
    <n v="572.65"/>
    <n v="0.23"/>
    <n v="440.94049999999999"/>
    <n v="1322.82"/>
    <x v="2"/>
    <n v="10"/>
    <n v="2.7"/>
  </r>
  <r>
    <n v="653"/>
    <d v="2021-10-14T00:00:00"/>
    <x v="1"/>
    <s v="Q4"/>
    <x v="9"/>
    <n v="10"/>
    <n v="1749"/>
    <x v="2"/>
    <x v="2"/>
    <n v="6"/>
    <n v="512.51"/>
    <n v="0.18"/>
    <n v="420.25819999999999"/>
    <n v="2521.5500000000002"/>
    <x v="1"/>
    <n v="11"/>
    <n v="2.2000000000000002"/>
  </r>
  <r>
    <n v="654"/>
    <d v="2021-10-15T00:00:00"/>
    <x v="1"/>
    <s v="Q4"/>
    <x v="9"/>
    <n v="10"/>
    <n v="1957"/>
    <x v="2"/>
    <x v="1"/>
    <n v="2"/>
    <n v="99.96"/>
    <n v="0.05"/>
    <n v="94.961999999999989"/>
    <n v="189.92"/>
    <x v="1"/>
    <n v="3"/>
    <n v="2.6"/>
  </r>
  <r>
    <n v="655"/>
    <d v="2021-10-16T00:00:00"/>
    <x v="1"/>
    <s v="Q4"/>
    <x v="9"/>
    <n v="10"/>
    <n v="1452"/>
    <x v="2"/>
    <x v="3"/>
    <n v="6"/>
    <n v="32.42"/>
    <n v="0.12"/>
    <n v="28.529600000000002"/>
    <n v="171.18"/>
    <x v="2"/>
    <n v="1"/>
    <n v="3.8"/>
  </r>
  <r>
    <n v="656"/>
    <d v="2021-10-17T00:00:00"/>
    <x v="1"/>
    <s v="Q4"/>
    <x v="9"/>
    <n v="10"/>
    <n v="1203"/>
    <x v="2"/>
    <x v="0"/>
    <n v="3"/>
    <n v="561.11"/>
    <n v="0.05"/>
    <n v="533.05449999999996"/>
    <n v="1599.16"/>
    <x v="0"/>
    <n v="11"/>
    <n v="1.3"/>
  </r>
  <r>
    <n v="657"/>
    <d v="2021-10-18T00:00:00"/>
    <x v="1"/>
    <s v="Q4"/>
    <x v="9"/>
    <n v="10"/>
    <n v="1911"/>
    <x v="0"/>
    <x v="3"/>
    <n v="7"/>
    <n v="323.14999999999998"/>
    <n v="0.25"/>
    <n v="242.36249999999998"/>
    <n v="1696.54"/>
    <x v="2"/>
    <n v="1"/>
    <n v="5"/>
  </r>
  <r>
    <n v="658"/>
    <d v="2021-10-19T00:00:00"/>
    <x v="1"/>
    <s v="Q4"/>
    <x v="9"/>
    <n v="10"/>
    <n v="1217"/>
    <x v="2"/>
    <x v="2"/>
    <n v="3"/>
    <n v="329.64"/>
    <n v="0.06"/>
    <n v="309.86160000000001"/>
    <n v="929.58"/>
    <x v="0"/>
    <n v="3"/>
    <n v="3.5"/>
  </r>
  <r>
    <n v="659"/>
    <d v="2021-10-20T00:00:00"/>
    <x v="1"/>
    <s v="Q4"/>
    <x v="9"/>
    <n v="10"/>
    <n v="1473"/>
    <x v="1"/>
    <x v="1"/>
    <n v="1"/>
    <n v="471.72"/>
    <n v="0.25"/>
    <n v="353.79"/>
    <n v="353.79"/>
    <x v="0"/>
    <n v="4"/>
    <n v="4.5"/>
  </r>
  <r>
    <n v="660"/>
    <d v="2021-10-21T00:00:00"/>
    <x v="1"/>
    <s v="Q4"/>
    <x v="9"/>
    <n v="10"/>
    <n v="1431"/>
    <x v="2"/>
    <x v="3"/>
    <n v="6"/>
    <n v="199.09"/>
    <n v="0.24"/>
    <n v="151.30840000000001"/>
    <n v="907.85"/>
    <x v="1"/>
    <n v="2"/>
    <n v="4.3"/>
  </r>
  <r>
    <n v="661"/>
    <d v="2021-10-22T00:00:00"/>
    <x v="1"/>
    <s v="Q4"/>
    <x v="9"/>
    <n v="10"/>
    <n v="1340"/>
    <x v="2"/>
    <x v="2"/>
    <n v="1"/>
    <n v="296.92"/>
    <n v="0.16"/>
    <n v="249.4128"/>
    <n v="249.41"/>
    <x v="1"/>
    <n v="8"/>
    <n v="4.0999999999999996"/>
  </r>
  <r>
    <n v="662"/>
    <d v="2021-10-23T00:00:00"/>
    <x v="1"/>
    <s v="Q4"/>
    <x v="9"/>
    <n v="10"/>
    <n v="1550"/>
    <x v="1"/>
    <x v="1"/>
    <n v="7"/>
    <n v="581.66999999999996"/>
    <n v="0.05"/>
    <n v="552.5865"/>
    <n v="3868.11"/>
    <x v="2"/>
    <n v="3"/>
    <n v="1.2"/>
  </r>
  <r>
    <n v="663"/>
    <d v="2021-10-24T00:00:00"/>
    <x v="1"/>
    <s v="Q4"/>
    <x v="9"/>
    <n v="10"/>
    <n v="1611"/>
    <x v="1"/>
    <x v="0"/>
    <n v="1"/>
    <n v="408.21"/>
    <n v="0.11"/>
    <n v="363.30689999999998"/>
    <n v="363.31"/>
    <x v="2"/>
    <n v="4"/>
    <n v="3.1"/>
  </r>
  <r>
    <n v="664"/>
    <d v="2021-10-25T00:00:00"/>
    <x v="1"/>
    <s v="Q4"/>
    <x v="9"/>
    <n v="10"/>
    <n v="1288"/>
    <x v="2"/>
    <x v="3"/>
    <n v="6"/>
    <n v="104.94"/>
    <n v="0.11"/>
    <n v="93.396599999999992"/>
    <n v="560.38"/>
    <x v="1"/>
    <n v="6"/>
    <n v="2.2999999999999998"/>
  </r>
  <r>
    <n v="665"/>
    <d v="2021-10-26T00:00:00"/>
    <x v="1"/>
    <s v="Q4"/>
    <x v="9"/>
    <n v="10"/>
    <n v="1253"/>
    <x v="2"/>
    <x v="1"/>
    <n v="2"/>
    <n v="92.94"/>
    <n v="0.25"/>
    <n v="69.704999999999998"/>
    <n v="139.41"/>
    <x v="0"/>
    <n v="10"/>
    <n v="1.5"/>
  </r>
  <r>
    <n v="666"/>
    <d v="2021-10-27T00:00:00"/>
    <x v="1"/>
    <s v="Q4"/>
    <x v="9"/>
    <n v="10"/>
    <n v="1733"/>
    <x v="1"/>
    <x v="1"/>
    <n v="4"/>
    <n v="134.49"/>
    <n v="0.04"/>
    <n v="129.1104"/>
    <n v="516.44000000000005"/>
    <x v="2"/>
    <n v="6"/>
    <n v="2.4"/>
  </r>
  <r>
    <n v="667"/>
    <d v="2021-10-28T00:00:00"/>
    <x v="1"/>
    <s v="Q4"/>
    <x v="9"/>
    <n v="10"/>
    <n v="1356"/>
    <x v="2"/>
    <x v="1"/>
    <n v="7"/>
    <n v="463.53"/>
    <n v="0.28999999999999998"/>
    <n v="329.10629999999998"/>
    <n v="2303.7399999999998"/>
    <x v="1"/>
    <n v="2"/>
    <n v="3.6"/>
  </r>
  <r>
    <n v="668"/>
    <d v="2021-10-29T00:00:00"/>
    <x v="1"/>
    <s v="Q4"/>
    <x v="9"/>
    <n v="10"/>
    <n v="1022"/>
    <x v="2"/>
    <x v="1"/>
    <n v="3"/>
    <n v="187.8"/>
    <n v="0.27"/>
    <n v="137.09399999999999"/>
    <n v="411.28"/>
    <x v="2"/>
    <n v="6"/>
    <n v="1.9"/>
  </r>
  <r>
    <n v="669"/>
    <d v="2021-10-30T00:00:00"/>
    <x v="1"/>
    <s v="Q4"/>
    <x v="9"/>
    <n v="10"/>
    <n v="1761"/>
    <x v="0"/>
    <x v="3"/>
    <n v="5"/>
    <n v="27.51"/>
    <n v="7.0000000000000007E-2"/>
    <n v="25.584300000000002"/>
    <n v="127.92"/>
    <x v="1"/>
    <n v="4"/>
    <n v="2.8"/>
  </r>
  <r>
    <n v="670"/>
    <d v="2021-10-31T00:00:00"/>
    <x v="1"/>
    <s v="Q4"/>
    <x v="9"/>
    <n v="10"/>
    <n v="1521"/>
    <x v="1"/>
    <x v="1"/>
    <n v="7"/>
    <n v="567.34"/>
    <n v="0.25"/>
    <n v="425.505"/>
    <n v="2978.54"/>
    <x v="2"/>
    <n v="5"/>
    <n v="2.6"/>
  </r>
  <r>
    <n v="671"/>
    <d v="2021-11-01T00:00:00"/>
    <x v="1"/>
    <s v="Q4"/>
    <x v="10"/>
    <n v="11"/>
    <n v="1757"/>
    <x v="1"/>
    <x v="2"/>
    <n v="1"/>
    <n v="114.28"/>
    <n v="0.23"/>
    <n v="87.995599999999996"/>
    <n v="88"/>
    <x v="0"/>
    <n v="7"/>
    <n v="1.2"/>
  </r>
  <r>
    <n v="672"/>
    <d v="2021-11-02T00:00:00"/>
    <x v="1"/>
    <s v="Q4"/>
    <x v="10"/>
    <n v="11"/>
    <n v="1836"/>
    <x v="1"/>
    <x v="3"/>
    <n v="2"/>
    <n v="20.59"/>
    <n v="0.26"/>
    <n v="15.236599999999999"/>
    <n v="30.47"/>
    <x v="0"/>
    <n v="7"/>
    <n v="3.5"/>
  </r>
  <r>
    <n v="673"/>
    <d v="2021-11-03T00:00:00"/>
    <x v="1"/>
    <s v="Q4"/>
    <x v="10"/>
    <n v="11"/>
    <n v="1099"/>
    <x v="1"/>
    <x v="1"/>
    <n v="6"/>
    <n v="153.72"/>
    <n v="7.0000000000000007E-2"/>
    <n v="142.95959999999999"/>
    <n v="857.76"/>
    <x v="1"/>
    <n v="6"/>
    <n v="3.5"/>
  </r>
  <r>
    <n v="674"/>
    <d v="2021-11-04T00:00:00"/>
    <x v="1"/>
    <s v="Q4"/>
    <x v="10"/>
    <n v="11"/>
    <n v="1801"/>
    <x v="1"/>
    <x v="3"/>
    <n v="2"/>
    <n v="152.49"/>
    <n v="0.06"/>
    <n v="143.34059999999999"/>
    <n v="286.68"/>
    <x v="2"/>
    <n v="10"/>
    <n v="4.9000000000000004"/>
  </r>
  <r>
    <n v="675"/>
    <d v="2021-11-05T00:00:00"/>
    <x v="1"/>
    <s v="Q4"/>
    <x v="10"/>
    <n v="11"/>
    <n v="1179"/>
    <x v="3"/>
    <x v="2"/>
    <n v="2"/>
    <n v="261.87"/>
    <n v="0.08"/>
    <n v="240.9204"/>
    <n v="481.84"/>
    <x v="2"/>
    <n v="6"/>
    <n v="2.2000000000000002"/>
  </r>
  <r>
    <n v="676"/>
    <d v="2021-11-06T00:00:00"/>
    <x v="1"/>
    <s v="Q4"/>
    <x v="10"/>
    <n v="11"/>
    <n v="1222"/>
    <x v="3"/>
    <x v="2"/>
    <n v="6"/>
    <n v="553.42999999999995"/>
    <n v="0.13"/>
    <n v="481.48409999999996"/>
    <n v="2888.9"/>
    <x v="1"/>
    <n v="6"/>
    <n v="2.7"/>
  </r>
  <r>
    <n v="677"/>
    <d v="2021-11-07T00:00:00"/>
    <x v="1"/>
    <s v="Q4"/>
    <x v="10"/>
    <n v="11"/>
    <n v="1905"/>
    <x v="2"/>
    <x v="3"/>
    <n v="5"/>
    <n v="529.32000000000005"/>
    <n v="0.28000000000000003"/>
    <n v="381.11040000000003"/>
    <n v="1905.55"/>
    <x v="1"/>
    <n v="4"/>
    <n v="2.6"/>
  </r>
  <r>
    <n v="678"/>
    <d v="2021-11-08T00:00:00"/>
    <x v="1"/>
    <s v="Q4"/>
    <x v="10"/>
    <n v="11"/>
    <n v="1761"/>
    <x v="1"/>
    <x v="1"/>
    <n v="6"/>
    <n v="282.27999999999997"/>
    <n v="0.26"/>
    <n v="208.88719999999998"/>
    <n v="1253.32"/>
    <x v="2"/>
    <n v="3"/>
    <n v="4.7"/>
  </r>
  <r>
    <n v="679"/>
    <d v="2021-11-09T00:00:00"/>
    <x v="1"/>
    <s v="Q4"/>
    <x v="10"/>
    <n v="11"/>
    <n v="1658"/>
    <x v="1"/>
    <x v="1"/>
    <n v="5"/>
    <n v="255.38"/>
    <n v="0.32"/>
    <n v="173.6584"/>
    <n v="868.29"/>
    <x v="2"/>
    <n v="1"/>
    <n v="2.6"/>
  </r>
  <r>
    <n v="680"/>
    <d v="2021-11-10T00:00:00"/>
    <x v="1"/>
    <s v="Q4"/>
    <x v="10"/>
    <n v="11"/>
    <n v="1441"/>
    <x v="0"/>
    <x v="2"/>
    <n v="6"/>
    <n v="339.68"/>
    <n v="0.02"/>
    <n v="332.88639999999998"/>
    <n v="1997.32"/>
    <x v="1"/>
    <n v="3"/>
    <n v="2.8"/>
  </r>
  <r>
    <n v="681"/>
    <d v="2021-11-11T00:00:00"/>
    <x v="1"/>
    <s v="Q4"/>
    <x v="10"/>
    <n v="11"/>
    <n v="1607"/>
    <x v="1"/>
    <x v="1"/>
    <n v="1"/>
    <n v="157.41999999999999"/>
    <n v="0"/>
    <n v="157.41999999999999"/>
    <n v="157.41999999999999"/>
    <x v="1"/>
    <n v="3"/>
    <n v="2"/>
  </r>
  <r>
    <n v="682"/>
    <d v="2021-11-12T00:00:00"/>
    <x v="1"/>
    <s v="Q4"/>
    <x v="10"/>
    <n v="11"/>
    <n v="1768"/>
    <x v="1"/>
    <x v="2"/>
    <n v="5"/>
    <n v="45.53"/>
    <n v="0.24"/>
    <n v="34.602800000000002"/>
    <n v="173.01"/>
    <x v="1"/>
    <n v="9"/>
    <n v="1"/>
  </r>
  <r>
    <n v="683"/>
    <d v="2021-11-13T00:00:00"/>
    <x v="1"/>
    <s v="Q4"/>
    <x v="10"/>
    <n v="11"/>
    <n v="1324"/>
    <x v="2"/>
    <x v="1"/>
    <n v="1"/>
    <n v="564.45000000000005"/>
    <n v="0.1"/>
    <n v="508.00500000000005"/>
    <n v="508.01"/>
    <x v="1"/>
    <n v="3"/>
    <n v="1.4"/>
  </r>
  <r>
    <n v="684"/>
    <d v="2021-11-14T00:00:00"/>
    <x v="1"/>
    <s v="Q4"/>
    <x v="10"/>
    <n v="11"/>
    <n v="1515"/>
    <x v="1"/>
    <x v="2"/>
    <n v="7"/>
    <n v="124.22"/>
    <n v="0.12"/>
    <n v="109.31359999999999"/>
    <n v="765.2"/>
    <x v="2"/>
    <n v="8"/>
    <n v="3.8"/>
  </r>
  <r>
    <n v="685"/>
    <d v="2021-11-15T00:00:00"/>
    <x v="1"/>
    <s v="Q4"/>
    <x v="10"/>
    <n v="11"/>
    <n v="1015"/>
    <x v="2"/>
    <x v="0"/>
    <n v="5"/>
    <n v="131.06"/>
    <n v="0.19"/>
    <n v="106.15860000000001"/>
    <n v="530.79"/>
    <x v="1"/>
    <n v="8"/>
    <n v="3.7"/>
  </r>
  <r>
    <n v="686"/>
    <d v="2021-11-16T00:00:00"/>
    <x v="1"/>
    <s v="Q4"/>
    <x v="10"/>
    <n v="11"/>
    <n v="1791"/>
    <x v="2"/>
    <x v="1"/>
    <n v="5"/>
    <n v="291.39"/>
    <n v="0.04"/>
    <n v="279.73439999999999"/>
    <n v="1398.67"/>
    <x v="1"/>
    <n v="3"/>
    <n v="2.2999999999999998"/>
  </r>
  <r>
    <n v="687"/>
    <d v="2021-11-17T00:00:00"/>
    <x v="1"/>
    <s v="Q4"/>
    <x v="10"/>
    <n v="11"/>
    <n v="1335"/>
    <x v="2"/>
    <x v="1"/>
    <n v="6"/>
    <n v="302.58999999999997"/>
    <n v="0.22"/>
    <n v="236.02019999999999"/>
    <n v="1416.12"/>
    <x v="0"/>
    <n v="10"/>
    <n v="2.9"/>
  </r>
  <r>
    <n v="688"/>
    <d v="2021-11-18T00:00:00"/>
    <x v="1"/>
    <s v="Q4"/>
    <x v="10"/>
    <n v="11"/>
    <n v="1758"/>
    <x v="3"/>
    <x v="1"/>
    <n v="5"/>
    <n v="25.78"/>
    <n v="0.11"/>
    <n v="22.944200000000002"/>
    <n v="114.72"/>
    <x v="1"/>
    <n v="10"/>
    <n v="2.2000000000000002"/>
  </r>
  <r>
    <n v="689"/>
    <d v="2021-11-19T00:00:00"/>
    <x v="1"/>
    <s v="Q4"/>
    <x v="10"/>
    <n v="11"/>
    <n v="1257"/>
    <x v="2"/>
    <x v="3"/>
    <n v="1"/>
    <n v="101.55"/>
    <n v="0.22"/>
    <n v="79.209000000000003"/>
    <n v="79.209999999999994"/>
    <x v="2"/>
    <n v="6"/>
    <n v="3.9"/>
  </r>
  <r>
    <n v="690"/>
    <d v="2021-11-20T00:00:00"/>
    <x v="1"/>
    <s v="Q4"/>
    <x v="10"/>
    <n v="11"/>
    <n v="1496"/>
    <x v="1"/>
    <x v="1"/>
    <n v="7"/>
    <n v="236.22"/>
    <n v="0.28999999999999998"/>
    <n v="167.71620000000001"/>
    <n v="1174.01"/>
    <x v="0"/>
    <n v="8"/>
    <n v="4.4000000000000004"/>
  </r>
  <r>
    <n v="691"/>
    <d v="2021-11-21T00:00:00"/>
    <x v="1"/>
    <s v="Q4"/>
    <x v="10"/>
    <n v="11"/>
    <n v="1987"/>
    <x v="0"/>
    <x v="3"/>
    <n v="6"/>
    <n v="414.98"/>
    <n v="0.06"/>
    <n v="390.08120000000002"/>
    <n v="2340.4899999999998"/>
    <x v="2"/>
    <n v="8"/>
    <n v="4.5999999999999996"/>
  </r>
  <r>
    <n v="692"/>
    <d v="2021-11-22T00:00:00"/>
    <x v="1"/>
    <s v="Q4"/>
    <x v="10"/>
    <n v="11"/>
    <n v="1895"/>
    <x v="2"/>
    <x v="3"/>
    <n v="3"/>
    <n v="148.62"/>
    <n v="0.33"/>
    <n v="99.575400000000002"/>
    <n v="298.73"/>
    <x v="2"/>
    <n v="10"/>
    <n v="1.7"/>
  </r>
  <r>
    <n v="693"/>
    <d v="2021-11-23T00:00:00"/>
    <x v="1"/>
    <s v="Q4"/>
    <x v="10"/>
    <n v="11"/>
    <n v="1159"/>
    <x v="1"/>
    <x v="2"/>
    <n v="7"/>
    <n v="262.45999999999998"/>
    <n v="0.19"/>
    <n v="212.59259999999998"/>
    <n v="1488.15"/>
    <x v="1"/>
    <n v="10"/>
    <n v="3.8"/>
  </r>
  <r>
    <n v="694"/>
    <d v="2021-11-24T00:00:00"/>
    <x v="1"/>
    <s v="Q4"/>
    <x v="10"/>
    <n v="11"/>
    <n v="1474"/>
    <x v="1"/>
    <x v="3"/>
    <n v="7"/>
    <n v="341.05"/>
    <n v="0.32"/>
    <n v="231.91399999999999"/>
    <n v="1623.4"/>
    <x v="1"/>
    <n v="9"/>
    <n v="4.9000000000000004"/>
  </r>
  <r>
    <n v="695"/>
    <d v="2021-11-25T00:00:00"/>
    <x v="1"/>
    <s v="Q4"/>
    <x v="10"/>
    <n v="11"/>
    <n v="1851"/>
    <x v="2"/>
    <x v="3"/>
    <n v="1"/>
    <n v="534.83000000000004"/>
    <n v="7.0000000000000007E-2"/>
    <n v="497.39190000000002"/>
    <n v="497.39"/>
    <x v="2"/>
    <n v="9"/>
    <n v="3.6"/>
  </r>
  <r>
    <n v="696"/>
    <d v="2021-11-26T00:00:00"/>
    <x v="1"/>
    <s v="Q4"/>
    <x v="10"/>
    <n v="11"/>
    <n v="1663"/>
    <x v="3"/>
    <x v="0"/>
    <n v="7"/>
    <n v="205.75"/>
    <n v="0.21"/>
    <n v="162.54250000000002"/>
    <n v="1137.8"/>
    <x v="2"/>
    <n v="8"/>
    <n v="2.4"/>
  </r>
  <r>
    <n v="697"/>
    <d v="2021-11-27T00:00:00"/>
    <x v="1"/>
    <s v="Q4"/>
    <x v="10"/>
    <n v="11"/>
    <n v="1907"/>
    <x v="2"/>
    <x v="1"/>
    <n v="3"/>
    <n v="93.13"/>
    <n v="0.14000000000000001"/>
    <n v="80.091799999999992"/>
    <n v="240.28"/>
    <x v="1"/>
    <n v="7"/>
    <n v="3.5"/>
  </r>
  <r>
    <n v="698"/>
    <d v="2021-11-28T00:00:00"/>
    <x v="1"/>
    <s v="Q4"/>
    <x v="10"/>
    <n v="11"/>
    <n v="1689"/>
    <x v="1"/>
    <x v="3"/>
    <n v="2"/>
    <n v="301.22000000000003"/>
    <n v="0.27"/>
    <n v="219.89060000000001"/>
    <n v="439.78"/>
    <x v="2"/>
    <n v="10"/>
    <n v="3.8"/>
  </r>
  <r>
    <n v="699"/>
    <d v="2021-11-29T00:00:00"/>
    <x v="1"/>
    <s v="Q4"/>
    <x v="10"/>
    <n v="11"/>
    <n v="1674"/>
    <x v="1"/>
    <x v="1"/>
    <n v="6"/>
    <n v="451.83"/>
    <n v="0.21"/>
    <n v="356.94569999999999"/>
    <n v="2141.67"/>
    <x v="0"/>
    <n v="3"/>
    <n v="2.6"/>
  </r>
  <r>
    <n v="700"/>
    <d v="2021-11-30T00:00:00"/>
    <x v="1"/>
    <s v="Q4"/>
    <x v="10"/>
    <n v="11"/>
    <n v="1379"/>
    <x v="1"/>
    <x v="3"/>
    <n v="2"/>
    <n v="79.27"/>
    <n v="0.17"/>
    <n v="65.7941"/>
    <n v="131.59"/>
    <x v="1"/>
    <n v="7"/>
    <n v="1.4"/>
  </r>
  <r>
    <n v="701"/>
    <d v="2021-12-01T00:00:00"/>
    <x v="1"/>
    <s v="Q4"/>
    <x v="11"/>
    <n v="12"/>
    <n v="1544"/>
    <x v="3"/>
    <x v="2"/>
    <n v="6"/>
    <n v="263.44"/>
    <n v="0.32"/>
    <n v="179.13920000000002"/>
    <n v="1074.8399999999999"/>
    <x v="2"/>
    <n v="4"/>
    <n v="3.4"/>
  </r>
  <r>
    <n v="702"/>
    <d v="2021-12-02T00:00:00"/>
    <x v="1"/>
    <s v="Q4"/>
    <x v="11"/>
    <n v="12"/>
    <n v="1928"/>
    <x v="2"/>
    <x v="0"/>
    <n v="7"/>
    <n v="25.4"/>
    <n v="0.13"/>
    <n v="22.097999999999999"/>
    <n v="154.69"/>
    <x v="2"/>
    <n v="2"/>
    <n v="4.2"/>
  </r>
  <r>
    <n v="703"/>
    <d v="2021-12-03T00:00:00"/>
    <x v="1"/>
    <s v="Q4"/>
    <x v="11"/>
    <n v="12"/>
    <n v="1956"/>
    <x v="2"/>
    <x v="3"/>
    <n v="6"/>
    <n v="34.630000000000003"/>
    <n v="0.08"/>
    <n v="31.8596"/>
    <n v="191.16"/>
    <x v="0"/>
    <n v="8"/>
    <n v="5"/>
  </r>
  <r>
    <n v="704"/>
    <d v="2021-12-04T00:00:00"/>
    <x v="1"/>
    <s v="Q4"/>
    <x v="11"/>
    <n v="12"/>
    <n v="1690"/>
    <x v="3"/>
    <x v="1"/>
    <n v="1"/>
    <n v="297.52999999999997"/>
    <n v="0.21"/>
    <n v="235.0487"/>
    <n v="235.05"/>
    <x v="0"/>
    <n v="2"/>
    <n v="1.9"/>
  </r>
  <r>
    <n v="705"/>
    <d v="2021-12-05T00:00:00"/>
    <x v="1"/>
    <s v="Q4"/>
    <x v="11"/>
    <n v="12"/>
    <n v="1426"/>
    <x v="1"/>
    <x v="2"/>
    <n v="3"/>
    <n v="189.45"/>
    <n v="0.22"/>
    <n v="147.77099999999999"/>
    <n v="443.31"/>
    <x v="2"/>
    <n v="1"/>
    <n v="3.8"/>
  </r>
  <r>
    <n v="706"/>
    <d v="2021-12-06T00:00:00"/>
    <x v="1"/>
    <s v="Q4"/>
    <x v="11"/>
    <n v="12"/>
    <n v="1612"/>
    <x v="3"/>
    <x v="1"/>
    <n v="6"/>
    <n v="509.39"/>
    <n v="0.15"/>
    <n v="432.98149999999998"/>
    <n v="2597.89"/>
    <x v="1"/>
    <n v="5"/>
    <n v="1.1000000000000001"/>
  </r>
  <r>
    <n v="707"/>
    <d v="2021-12-07T00:00:00"/>
    <x v="1"/>
    <s v="Q4"/>
    <x v="11"/>
    <n v="12"/>
    <n v="1267"/>
    <x v="3"/>
    <x v="2"/>
    <n v="3"/>
    <n v="367.26"/>
    <n v="0.17"/>
    <n v="304.82579999999996"/>
    <n v="914.48"/>
    <x v="1"/>
    <n v="10"/>
    <n v="4.9000000000000004"/>
  </r>
  <r>
    <n v="708"/>
    <d v="2021-12-08T00:00:00"/>
    <x v="1"/>
    <s v="Q4"/>
    <x v="11"/>
    <n v="12"/>
    <n v="1834"/>
    <x v="3"/>
    <x v="0"/>
    <n v="6"/>
    <n v="280.55"/>
    <n v="0.34"/>
    <n v="185.16300000000001"/>
    <n v="1110.98"/>
    <x v="1"/>
    <n v="9"/>
    <n v="1.1000000000000001"/>
  </r>
  <r>
    <n v="709"/>
    <d v="2021-12-09T00:00:00"/>
    <x v="1"/>
    <s v="Q4"/>
    <x v="11"/>
    <n v="12"/>
    <n v="1576"/>
    <x v="1"/>
    <x v="2"/>
    <n v="3"/>
    <n v="253.64"/>
    <n v="0.26"/>
    <n v="187.6936"/>
    <n v="563.08000000000004"/>
    <x v="2"/>
    <n v="5"/>
    <n v="2.4"/>
  </r>
  <r>
    <n v="710"/>
    <d v="2021-12-10T00:00:00"/>
    <x v="1"/>
    <s v="Q4"/>
    <x v="11"/>
    <n v="12"/>
    <n v="1416"/>
    <x v="2"/>
    <x v="1"/>
    <n v="2"/>
    <n v="305.89"/>
    <n v="0.04"/>
    <n v="293.65440000000001"/>
    <n v="587.30999999999995"/>
    <x v="2"/>
    <n v="11"/>
    <n v="1.3"/>
  </r>
  <r>
    <n v="711"/>
    <d v="2021-12-11T00:00:00"/>
    <x v="1"/>
    <s v="Q4"/>
    <x v="11"/>
    <n v="12"/>
    <n v="1167"/>
    <x v="3"/>
    <x v="1"/>
    <n v="1"/>
    <n v="38.659999999999997"/>
    <n v="7.0000000000000007E-2"/>
    <n v="35.953799999999994"/>
    <n v="35.950000000000003"/>
    <x v="0"/>
    <n v="2"/>
    <n v="3.5"/>
  </r>
  <r>
    <n v="712"/>
    <d v="2021-12-12T00:00:00"/>
    <x v="1"/>
    <s v="Q4"/>
    <x v="11"/>
    <n v="12"/>
    <n v="1841"/>
    <x v="1"/>
    <x v="3"/>
    <n v="6"/>
    <n v="537.28"/>
    <n v="0.34"/>
    <n v="354.60479999999995"/>
    <n v="2127.63"/>
    <x v="2"/>
    <n v="10"/>
    <n v="2.4"/>
  </r>
  <r>
    <n v="713"/>
    <d v="2021-12-13T00:00:00"/>
    <x v="1"/>
    <s v="Q4"/>
    <x v="11"/>
    <n v="12"/>
    <n v="1042"/>
    <x v="2"/>
    <x v="2"/>
    <n v="4"/>
    <n v="599.01"/>
    <n v="0.25"/>
    <n v="449.25749999999999"/>
    <n v="1797.03"/>
    <x v="2"/>
    <n v="4"/>
    <n v="3.9"/>
  </r>
  <r>
    <n v="714"/>
    <d v="2021-12-14T00:00:00"/>
    <x v="1"/>
    <s v="Q4"/>
    <x v="11"/>
    <n v="12"/>
    <n v="1555"/>
    <x v="0"/>
    <x v="1"/>
    <n v="3"/>
    <n v="121.17"/>
    <n v="0.32"/>
    <n v="82.395600000000002"/>
    <n v="247.19"/>
    <x v="2"/>
    <n v="8"/>
    <n v="2.9"/>
  </r>
  <r>
    <n v="715"/>
    <d v="2021-12-15T00:00:00"/>
    <x v="1"/>
    <s v="Q4"/>
    <x v="11"/>
    <n v="12"/>
    <n v="1284"/>
    <x v="0"/>
    <x v="3"/>
    <n v="3"/>
    <n v="85.42"/>
    <n v="0.11"/>
    <n v="76.023799999999994"/>
    <n v="228.07"/>
    <x v="1"/>
    <n v="7"/>
    <n v="2.7"/>
  </r>
  <r>
    <n v="716"/>
    <d v="2021-12-16T00:00:00"/>
    <x v="1"/>
    <s v="Q4"/>
    <x v="11"/>
    <n v="12"/>
    <n v="1396"/>
    <x v="1"/>
    <x v="0"/>
    <n v="4"/>
    <n v="98.99"/>
    <n v="0.26"/>
    <n v="73.252600000000001"/>
    <n v="293.01"/>
    <x v="2"/>
    <n v="5"/>
    <n v="2.4"/>
  </r>
  <r>
    <n v="717"/>
    <d v="2021-12-17T00:00:00"/>
    <x v="1"/>
    <s v="Q4"/>
    <x v="11"/>
    <n v="12"/>
    <n v="1011"/>
    <x v="2"/>
    <x v="1"/>
    <n v="1"/>
    <n v="401.7"/>
    <n v="0.25"/>
    <n v="301.27499999999998"/>
    <n v="301.27"/>
    <x v="2"/>
    <n v="4"/>
    <n v="1.3"/>
  </r>
  <r>
    <n v="718"/>
    <d v="2021-12-18T00:00:00"/>
    <x v="1"/>
    <s v="Q4"/>
    <x v="11"/>
    <n v="12"/>
    <n v="1606"/>
    <x v="1"/>
    <x v="3"/>
    <n v="3"/>
    <n v="401.94"/>
    <n v="0.1"/>
    <n v="361.74599999999998"/>
    <n v="1085.24"/>
    <x v="0"/>
    <n v="5"/>
    <n v="1.8"/>
  </r>
  <r>
    <n v="719"/>
    <d v="2021-12-19T00:00:00"/>
    <x v="1"/>
    <s v="Q4"/>
    <x v="11"/>
    <n v="12"/>
    <n v="1301"/>
    <x v="3"/>
    <x v="1"/>
    <n v="1"/>
    <n v="511.04"/>
    <n v="0.19"/>
    <n v="413.94240000000002"/>
    <n v="413.94"/>
    <x v="1"/>
    <n v="7"/>
    <n v="3.6"/>
  </r>
  <r>
    <n v="720"/>
    <d v="2021-12-20T00:00:00"/>
    <x v="1"/>
    <s v="Q4"/>
    <x v="11"/>
    <n v="12"/>
    <n v="1897"/>
    <x v="0"/>
    <x v="2"/>
    <n v="3"/>
    <n v="454.82"/>
    <n v="0.22"/>
    <n v="354.75959999999998"/>
    <n v="1064.28"/>
    <x v="0"/>
    <n v="5"/>
    <n v="3"/>
  </r>
  <r>
    <n v="721"/>
    <d v="2021-12-21T00:00:00"/>
    <x v="1"/>
    <s v="Q4"/>
    <x v="11"/>
    <n v="12"/>
    <n v="1252"/>
    <x v="2"/>
    <x v="3"/>
    <n v="7"/>
    <n v="278.07"/>
    <n v="0.17"/>
    <n v="230.79809999999998"/>
    <n v="1615.59"/>
    <x v="2"/>
    <n v="8"/>
    <n v="1.3"/>
  </r>
  <r>
    <n v="722"/>
    <d v="2021-12-22T00:00:00"/>
    <x v="1"/>
    <s v="Q4"/>
    <x v="11"/>
    <n v="12"/>
    <n v="1498"/>
    <x v="2"/>
    <x v="2"/>
    <n v="5"/>
    <n v="373.52"/>
    <n v="0.28999999999999998"/>
    <n v="265.19920000000002"/>
    <n v="1326"/>
    <x v="1"/>
    <n v="7"/>
    <n v="3.2"/>
  </r>
  <r>
    <n v="723"/>
    <d v="2021-12-23T00:00:00"/>
    <x v="1"/>
    <s v="Q4"/>
    <x v="11"/>
    <n v="12"/>
    <n v="1753"/>
    <x v="0"/>
    <x v="0"/>
    <n v="7"/>
    <n v="417.65"/>
    <n v="0.28999999999999998"/>
    <n v="296.53149999999999"/>
    <n v="2075.7199999999998"/>
    <x v="1"/>
    <n v="7"/>
    <n v="1.2"/>
  </r>
  <r>
    <n v="724"/>
    <d v="2021-12-24T00:00:00"/>
    <x v="1"/>
    <s v="Q4"/>
    <x v="11"/>
    <n v="12"/>
    <n v="1034"/>
    <x v="1"/>
    <x v="2"/>
    <n v="3"/>
    <n v="314.95"/>
    <n v="0.3"/>
    <n v="220.46499999999997"/>
    <n v="661.39"/>
    <x v="1"/>
    <n v="9"/>
    <n v="3"/>
  </r>
  <r>
    <n v="725"/>
    <d v="2021-12-25T00:00:00"/>
    <x v="1"/>
    <s v="Q4"/>
    <x v="11"/>
    <n v="12"/>
    <n v="1726"/>
    <x v="1"/>
    <x v="3"/>
    <n v="5"/>
    <n v="293.26"/>
    <n v="0.28000000000000003"/>
    <n v="211.1472"/>
    <n v="1055.74"/>
    <x v="2"/>
    <n v="8"/>
    <n v="4.9000000000000004"/>
  </r>
  <r>
    <n v="726"/>
    <d v="2021-12-26T00:00:00"/>
    <x v="1"/>
    <s v="Q4"/>
    <x v="11"/>
    <n v="12"/>
    <n v="1848"/>
    <x v="0"/>
    <x v="1"/>
    <n v="6"/>
    <n v="392.38"/>
    <n v="0.17"/>
    <n v="325.67539999999997"/>
    <n v="1954.05"/>
    <x v="1"/>
    <n v="8"/>
    <n v="2.2000000000000002"/>
  </r>
  <r>
    <n v="727"/>
    <d v="2021-12-27T00:00:00"/>
    <x v="1"/>
    <s v="Q4"/>
    <x v="11"/>
    <n v="12"/>
    <n v="1089"/>
    <x v="2"/>
    <x v="3"/>
    <n v="1"/>
    <n v="341.12"/>
    <n v="0.13"/>
    <n v="296.77440000000001"/>
    <n v="296.77"/>
    <x v="1"/>
    <n v="6"/>
    <n v="3.9"/>
  </r>
  <r>
    <n v="728"/>
    <d v="2021-12-28T00:00:00"/>
    <x v="1"/>
    <s v="Q4"/>
    <x v="11"/>
    <n v="12"/>
    <n v="1775"/>
    <x v="1"/>
    <x v="2"/>
    <n v="3"/>
    <n v="391.71"/>
    <n v="0.28999999999999998"/>
    <n v="278.11410000000001"/>
    <n v="834.34"/>
    <x v="0"/>
    <n v="7"/>
    <n v="4"/>
  </r>
  <r>
    <n v="729"/>
    <d v="2021-12-29T00:00:00"/>
    <x v="1"/>
    <s v="Q4"/>
    <x v="11"/>
    <n v="12"/>
    <n v="1604"/>
    <x v="2"/>
    <x v="2"/>
    <n v="2"/>
    <n v="373.52"/>
    <n v="0.17"/>
    <n v="310.02159999999998"/>
    <n v="620.04"/>
    <x v="2"/>
    <n v="8"/>
    <n v="2.6"/>
  </r>
  <r>
    <n v="730"/>
    <d v="2021-12-30T00:00:00"/>
    <x v="1"/>
    <s v="Q4"/>
    <x v="11"/>
    <n v="12"/>
    <n v="1921"/>
    <x v="1"/>
    <x v="1"/>
    <n v="2"/>
    <n v="435.73"/>
    <n v="0.09"/>
    <n v="396.51430000000005"/>
    <n v="793.03"/>
    <x v="2"/>
    <n v="5"/>
    <n v="3.4"/>
  </r>
  <r>
    <n v="731"/>
    <d v="2021-12-31T00:00:00"/>
    <x v="1"/>
    <s v="Q4"/>
    <x v="11"/>
    <n v="12"/>
    <n v="1969"/>
    <x v="3"/>
    <x v="0"/>
    <n v="4"/>
    <n v="391.04"/>
    <n v="0.18"/>
    <n v="320.65280000000001"/>
    <n v="1282.6099999999999"/>
    <x v="1"/>
    <n v="10"/>
    <n v="2.9"/>
  </r>
  <r>
    <n v="732"/>
    <d v="2022-01-01T00:00:00"/>
    <x v="2"/>
    <s v="Q1"/>
    <x v="0"/>
    <n v="1"/>
    <n v="1601"/>
    <x v="1"/>
    <x v="3"/>
    <n v="2"/>
    <n v="319.05"/>
    <n v="0.05"/>
    <n v="303.09750000000003"/>
    <n v="606.20000000000005"/>
    <x v="2"/>
    <n v="2"/>
    <n v="2.1"/>
  </r>
  <r>
    <n v="733"/>
    <d v="2022-01-02T00:00:00"/>
    <x v="2"/>
    <s v="Q1"/>
    <x v="0"/>
    <n v="1"/>
    <n v="1417"/>
    <x v="0"/>
    <x v="1"/>
    <n v="5"/>
    <n v="413.85"/>
    <n v="0.24"/>
    <n v="314.52600000000001"/>
    <n v="1572.63"/>
    <x v="1"/>
    <n v="7"/>
    <n v="4"/>
  </r>
  <r>
    <n v="734"/>
    <d v="2022-01-03T00:00:00"/>
    <x v="2"/>
    <s v="Q1"/>
    <x v="0"/>
    <n v="1"/>
    <n v="1114"/>
    <x v="1"/>
    <x v="1"/>
    <n v="2"/>
    <n v="277.95"/>
    <n v="0.12"/>
    <n v="244.596"/>
    <n v="489.19"/>
    <x v="0"/>
    <n v="10"/>
    <n v="3.8"/>
  </r>
  <r>
    <n v="735"/>
    <d v="2022-01-04T00:00:00"/>
    <x v="2"/>
    <s v="Q1"/>
    <x v="0"/>
    <n v="1"/>
    <n v="1616"/>
    <x v="2"/>
    <x v="1"/>
    <n v="2"/>
    <n v="156.38"/>
    <n v="0.09"/>
    <n v="142.3058"/>
    <n v="284.61"/>
    <x v="1"/>
    <n v="3"/>
    <n v="4.5999999999999996"/>
  </r>
  <r>
    <n v="736"/>
    <d v="2022-01-05T00:00:00"/>
    <x v="2"/>
    <s v="Q1"/>
    <x v="0"/>
    <n v="1"/>
    <n v="1902"/>
    <x v="2"/>
    <x v="3"/>
    <n v="2"/>
    <n v="15.83"/>
    <n v="0.33"/>
    <n v="10.6061"/>
    <n v="21.21"/>
    <x v="2"/>
    <n v="10"/>
    <n v="3.5"/>
  </r>
  <r>
    <n v="737"/>
    <d v="2022-01-06T00:00:00"/>
    <x v="2"/>
    <s v="Q1"/>
    <x v="0"/>
    <n v="1"/>
    <n v="1195"/>
    <x v="1"/>
    <x v="3"/>
    <n v="3"/>
    <n v="342.58"/>
    <n v="0.27"/>
    <n v="250.08339999999998"/>
    <n v="750.25"/>
    <x v="2"/>
    <n v="11"/>
    <n v="2.6"/>
  </r>
  <r>
    <n v="738"/>
    <d v="2022-01-07T00:00:00"/>
    <x v="2"/>
    <s v="Q1"/>
    <x v="0"/>
    <n v="1"/>
    <n v="1825"/>
    <x v="1"/>
    <x v="3"/>
    <n v="4"/>
    <n v="360.53"/>
    <n v="0.28000000000000003"/>
    <n v="259.58159999999998"/>
    <n v="1038.33"/>
    <x v="2"/>
    <n v="8"/>
    <n v="3.9"/>
  </r>
  <r>
    <n v="739"/>
    <d v="2022-01-08T00:00:00"/>
    <x v="2"/>
    <s v="Q1"/>
    <x v="0"/>
    <n v="1"/>
    <n v="1500"/>
    <x v="2"/>
    <x v="0"/>
    <n v="1"/>
    <n v="583.65"/>
    <n v="0.22"/>
    <n v="455.24699999999996"/>
    <n v="455.25"/>
    <x v="0"/>
    <n v="6"/>
    <n v="3.5"/>
  </r>
  <r>
    <n v="740"/>
    <d v="2022-01-09T00:00:00"/>
    <x v="2"/>
    <s v="Q1"/>
    <x v="0"/>
    <n v="1"/>
    <n v="1625"/>
    <x v="1"/>
    <x v="1"/>
    <n v="4"/>
    <n v="226.46"/>
    <n v="0.28999999999999998"/>
    <n v="160.78660000000002"/>
    <n v="643.15"/>
    <x v="1"/>
    <n v="11"/>
    <n v="3.5"/>
  </r>
  <r>
    <n v="741"/>
    <d v="2022-01-10T00:00:00"/>
    <x v="2"/>
    <s v="Q1"/>
    <x v="0"/>
    <n v="1"/>
    <n v="1492"/>
    <x v="1"/>
    <x v="2"/>
    <n v="5"/>
    <n v="245.57"/>
    <n v="0.27"/>
    <n v="179.26609999999999"/>
    <n v="896.33"/>
    <x v="1"/>
    <n v="4"/>
    <n v="4.4000000000000004"/>
  </r>
  <r>
    <n v="742"/>
    <d v="2022-01-11T00:00:00"/>
    <x v="2"/>
    <s v="Q1"/>
    <x v="0"/>
    <n v="1"/>
    <n v="1074"/>
    <x v="3"/>
    <x v="2"/>
    <n v="3"/>
    <n v="133.05000000000001"/>
    <n v="0.21"/>
    <n v="105.10950000000001"/>
    <n v="315.33"/>
    <x v="2"/>
    <n v="2"/>
    <n v="4.5999999999999996"/>
  </r>
  <r>
    <n v="743"/>
    <d v="2022-01-12T00:00:00"/>
    <x v="2"/>
    <s v="Q1"/>
    <x v="0"/>
    <n v="1"/>
    <n v="1412"/>
    <x v="3"/>
    <x v="1"/>
    <n v="6"/>
    <n v="56.26"/>
    <n v="0.34"/>
    <n v="37.131599999999999"/>
    <n v="222.79"/>
    <x v="2"/>
    <n v="7"/>
    <n v="1.7"/>
  </r>
  <r>
    <n v="744"/>
    <d v="2022-01-13T00:00:00"/>
    <x v="2"/>
    <s v="Q1"/>
    <x v="0"/>
    <n v="1"/>
    <n v="1375"/>
    <x v="3"/>
    <x v="2"/>
    <n v="3"/>
    <n v="467.09"/>
    <n v="7.0000000000000007E-2"/>
    <n v="434.39369999999997"/>
    <n v="1303.18"/>
    <x v="1"/>
    <n v="1"/>
    <n v="2.2999999999999998"/>
  </r>
  <r>
    <n v="745"/>
    <d v="2022-01-14T00:00:00"/>
    <x v="2"/>
    <s v="Q1"/>
    <x v="0"/>
    <n v="1"/>
    <n v="1419"/>
    <x v="2"/>
    <x v="0"/>
    <n v="7"/>
    <n v="161.06"/>
    <n v="0.33"/>
    <n v="107.9102"/>
    <n v="755.37"/>
    <x v="1"/>
    <n v="7"/>
    <n v="3.6"/>
  </r>
  <r>
    <n v="746"/>
    <d v="2022-01-15T00:00:00"/>
    <x v="2"/>
    <s v="Q1"/>
    <x v="0"/>
    <n v="1"/>
    <n v="1728"/>
    <x v="2"/>
    <x v="0"/>
    <n v="2"/>
    <n v="371.21"/>
    <n v="0.14000000000000001"/>
    <n v="319.24059999999997"/>
    <n v="638.48"/>
    <x v="2"/>
    <n v="10"/>
    <n v="3.2"/>
  </r>
  <r>
    <n v="747"/>
    <d v="2022-01-16T00:00:00"/>
    <x v="2"/>
    <s v="Q1"/>
    <x v="0"/>
    <n v="1"/>
    <n v="1276"/>
    <x v="3"/>
    <x v="3"/>
    <n v="2"/>
    <n v="417.35"/>
    <n v="0.18"/>
    <n v="342.22700000000003"/>
    <n v="684.45"/>
    <x v="0"/>
    <n v="10"/>
    <n v="3.6"/>
  </r>
  <r>
    <n v="748"/>
    <d v="2022-01-17T00:00:00"/>
    <x v="2"/>
    <s v="Q1"/>
    <x v="0"/>
    <n v="1"/>
    <n v="1760"/>
    <x v="1"/>
    <x v="3"/>
    <n v="5"/>
    <n v="290.67"/>
    <n v="0.04"/>
    <n v="279.04320000000001"/>
    <n v="1395.22"/>
    <x v="2"/>
    <n v="7"/>
    <n v="2.7"/>
  </r>
  <r>
    <n v="749"/>
    <d v="2022-01-18T00:00:00"/>
    <x v="2"/>
    <s v="Q1"/>
    <x v="0"/>
    <n v="1"/>
    <n v="1675"/>
    <x v="2"/>
    <x v="3"/>
    <n v="6"/>
    <n v="527.66999999999996"/>
    <n v="0.19"/>
    <n v="427.41269999999997"/>
    <n v="2564.48"/>
    <x v="0"/>
    <n v="10"/>
    <n v="2.6"/>
  </r>
  <r>
    <n v="750"/>
    <d v="2022-01-19T00:00:00"/>
    <x v="2"/>
    <s v="Q1"/>
    <x v="0"/>
    <n v="1"/>
    <n v="1393"/>
    <x v="3"/>
    <x v="3"/>
    <n v="7"/>
    <n v="274.62"/>
    <n v="0.21"/>
    <n v="216.94980000000001"/>
    <n v="1518.65"/>
    <x v="2"/>
    <n v="3"/>
    <n v="1.5"/>
  </r>
  <r>
    <n v="751"/>
    <d v="2022-01-20T00:00:00"/>
    <x v="2"/>
    <s v="Q1"/>
    <x v="0"/>
    <n v="1"/>
    <n v="1868"/>
    <x v="3"/>
    <x v="3"/>
    <n v="3"/>
    <n v="181.67"/>
    <n v="0.35"/>
    <n v="118.0855"/>
    <n v="354.26"/>
    <x v="1"/>
    <n v="4"/>
    <n v="3.5"/>
  </r>
  <r>
    <n v="752"/>
    <d v="2022-01-21T00:00:00"/>
    <x v="2"/>
    <s v="Q1"/>
    <x v="0"/>
    <n v="1"/>
    <n v="1456"/>
    <x v="1"/>
    <x v="2"/>
    <n v="6"/>
    <n v="539.16999999999996"/>
    <n v="0.34"/>
    <n v="355.85219999999993"/>
    <n v="2135.11"/>
    <x v="1"/>
    <n v="4"/>
    <n v="1.7"/>
  </r>
  <r>
    <n v="753"/>
    <d v="2022-01-22T00:00:00"/>
    <x v="2"/>
    <s v="Q1"/>
    <x v="0"/>
    <n v="1"/>
    <n v="1919"/>
    <x v="2"/>
    <x v="2"/>
    <n v="1"/>
    <n v="519.02"/>
    <n v="0.34"/>
    <n v="342.55319999999995"/>
    <n v="342.55"/>
    <x v="2"/>
    <n v="4"/>
    <n v="3.7"/>
  </r>
  <r>
    <n v="754"/>
    <d v="2022-01-23T00:00:00"/>
    <x v="2"/>
    <s v="Q1"/>
    <x v="0"/>
    <n v="1"/>
    <n v="1191"/>
    <x v="3"/>
    <x v="3"/>
    <n v="4"/>
    <n v="110.96"/>
    <n v="0.12"/>
    <n v="97.644799999999989"/>
    <n v="390.58"/>
    <x v="2"/>
    <n v="9"/>
    <n v="4.9000000000000004"/>
  </r>
  <r>
    <n v="755"/>
    <d v="2022-01-24T00:00:00"/>
    <x v="2"/>
    <s v="Q1"/>
    <x v="0"/>
    <n v="1"/>
    <n v="1738"/>
    <x v="1"/>
    <x v="0"/>
    <n v="3"/>
    <n v="30.19"/>
    <n v="0.35"/>
    <n v="19.6235"/>
    <n v="58.87"/>
    <x v="2"/>
    <n v="6"/>
    <n v="2"/>
  </r>
  <r>
    <n v="756"/>
    <d v="2022-01-25T00:00:00"/>
    <x v="2"/>
    <s v="Q1"/>
    <x v="0"/>
    <n v="1"/>
    <n v="1688"/>
    <x v="3"/>
    <x v="2"/>
    <n v="6"/>
    <n v="67.64"/>
    <n v="0.16"/>
    <n v="56.817599999999999"/>
    <n v="340.91"/>
    <x v="2"/>
    <n v="10"/>
    <n v="1.6"/>
  </r>
  <r>
    <n v="757"/>
    <d v="2022-01-26T00:00:00"/>
    <x v="2"/>
    <s v="Q1"/>
    <x v="0"/>
    <n v="1"/>
    <n v="1098"/>
    <x v="3"/>
    <x v="0"/>
    <n v="1"/>
    <n v="182.63"/>
    <n v="0.3"/>
    <n v="127.84100000000001"/>
    <n v="127.84"/>
    <x v="0"/>
    <n v="9"/>
    <n v="1.1000000000000001"/>
  </r>
  <r>
    <n v="758"/>
    <d v="2022-01-27T00:00:00"/>
    <x v="2"/>
    <s v="Q1"/>
    <x v="0"/>
    <n v="1"/>
    <n v="1547"/>
    <x v="3"/>
    <x v="0"/>
    <n v="1"/>
    <n v="583.77"/>
    <n v="0.08"/>
    <n v="537.0684"/>
    <n v="537.07000000000005"/>
    <x v="2"/>
    <n v="4"/>
    <n v="2.5"/>
  </r>
  <r>
    <n v="759"/>
    <d v="2022-01-28T00:00:00"/>
    <x v="2"/>
    <s v="Q1"/>
    <x v="0"/>
    <n v="1"/>
    <n v="1977"/>
    <x v="1"/>
    <x v="1"/>
    <n v="7"/>
    <n v="341.73"/>
    <n v="0.18"/>
    <n v="280.21860000000004"/>
    <n v="1961.53"/>
    <x v="1"/>
    <n v="7"/>
    <n v="1.9"/>
  </r>
  <r>
    <n v="760"/>
    <d v="2022-01-29T00:00:00"/>
    <x v="2"/>
    <s v="Q1"/>
    <x v="0"/>
    <n v="1"/>
    <n v="1998"/>
    <x v="2"/>
    <x v="1"/>
    <n v="7"/>
    <n v="233.36"/>
    <n v="0.34"/>
    <n v="154.01760000000002"/>
    <n v="1078.1199999999999"/>
    <x v="1"/>
    <n v="10"/>
    <n v="3"/>
  </r>
  <r>
    <n v="761"/>
    <d v="2022-01-30T00:00:00"/>
    <x v="2"/>
    <s v="Q1"/>
    <x v="0"/>
    <n v="1"/>
    <n v="1095"/>
    <x v="3"/>
    <x v="3"/>
    <n v="4"/>
    <n v="534.9"/>
    <n v="0.33"/>
    <n v="358.38299999999998"/>
    <n v="1433.53"/>
    <x v="2"/>
    <n v="9"/>
    <n v="3.1"/>
  </r>
  <r>
    <n v="762"/>
    <d v="2022-01-31T00:00:00"/>
    <x v="2"/>
    <s v="Q1"/>
    <x v="0"/>
    <n v="1"/>
    <n v="1663"/>
    <x v="1"/>
    <x v="0"/>
    <n v="1"/>
    <n v="280.08"/>
    <n v="0.24"/>
    <n v="212.86079999999998"/>
    <n v="212.86"/>
    <x v="0"/>
    <n v="10"/>
    <n v="2.4"/>
  </r>
  <r>
    <n v="763"/>
    <d v="2022-02-01T00:00:00"/>
    <x v="2"/>
    <s v="Q1"/>
    <x v="1"/>
    <n v="2"/>
    <n v="1662"/>
    <x v="3"/>
    <x v="2"/>
    <n v="5"/>
    <n v="199.41"/>
    <n v="0.28000000000000003"/>
    <n v="143.5752"/>
    <n v="717.88"/>
    <x v="1"/>
    <n v="3"/>
    <n v="4"/>
  </r>
  <r>
    <n v="764"/>
    <d v="2022-02-02T00:00:00"/>
    <x v="2"/>
    <s v="Q1"/>
    <x v="1"/>
    <n v="2"/>
    <n v="1189"/>
    <x v="2"/>
    <x v="1"/>
    <n v="1"/>
    <n v="565.61"/>
    <n v="0.06"/>
    <n v="531.67340000000002"/>
    <n v="531.66999999999996"/>
    <x v="0"/>
    <n v="3"/>
    <n v="4.5999999999999996"/>
  </r>
  <r>
    <n v="765"/>
    <d v="2022-02-03T00:00:00"/>
    <x v="2"/>
    <s v="Q1"/>
    <x v="1"/>
    <n v="2"/>
    <n v="1735"/>
    <x v="2"/>
    <x v="1"/>
    <n v="6"/>
    <n v="511.97"/>
    <n v="0.25"/>
    <n v="383.97750000000002"/>
    <n v="2303.87"/>
    <x v="0"/>
    <n v="6"/>
    <n v="1.8"/>
  </r>
  <r>
    <n v="766"/>
    <d v="2022-02-04T00:00:00"/>
    <x v="2"/>
    <s v="Q1"/>
    <x v="1"/>
    <n v="2"/>
    <n v="1036"/>
    <x v="0"/>
    <x v="0"/>
    <n v="7"/>
    <n v="508.55"/>
    <n v="0.22"/>
    <n v="396.66899999999998"/>
    <n v="2776.68"/>
    <x v="2"/>
    <n v="8"/>
    <n v="4.3"/>
  </r>
  <r>
    <n v="767"/>
    <d v="2022-02-05T00:00:00"/>
    <x v="2"/>
    <s v="Q1"/>
    <x v="1"/>
    <n v="2"/>
    <n v="1779"/>
    <x v="3"/>
    <x v="1"/>
    <n v="5"/>
    <n v="314.69"/>
    <n v="0.03"/>
    <n v="305.24930000000001"/>
    <n v="1526.25"/>
    <x v="1"/>
    <n v="1"/>
    <n v="1.5"/>
  </r>
  <r>
    <n v="768"/>
    <d v="2022-02-06T00:00:00"/>
    <x v="2"/>
    <s v="Q1"/>
    <x v="1"/>
    <n v="2"/>
    <n v="1368"/>
    <x v="0"/>
    <x v="1"/>
    <n v="7"/>
    <n v="476.82"/>
    <n v="0.04"/>
    <n v="457.74720000000002"/>
    <n v="3204.23"/>
    <x v="1"/>
    <n v="4"/>
    <n v="1.9"/>
  </r>
  <r>
    <n v="769"/>
    <d v="2022-02-07T00:00:00"/>
    <x v="2"/>
    <s v="Q1"/>
    <x v="1"/>
    <n v="2"/>
    <n v="1694"/>
    <x v="3"/>
    <x v="2"/>
    <n v="7"/>
    <n v="119.92"/>
    <n v="0.04"/>
    <n v="115.1232"/>
    <n v="805.86"/>
    <x v="1"/>
    <n v="8"/>
    <n v="3.2"/>
  </r>
  <r>
    <n v="770"/>
    <d v="2022-02-08T00:00:00"/>
    <x v="2"/>
    <s v="Q1"/>
    <x v="1"/>
    <n v="2"/>
    <n v="1524"/>
    <x v="1"/>
    <x v="0"/>
    <n v="7"/>
    <n v="350.34"/>
    <n v="0.25"/>
    <n v="262.755"/>
    <n v="1839.28"/>
    <x v="1"/>
    <n v="6"/>
    <n v="2.2000000000000002"/>
  </r>
  <r>
    <n v="771"/>
    <d v="2022-02-09T00:00:00"/>
    <x v="2"/>
    <s v="Q1"/>
    <x v="1"/>
    <n v="2"/>
    <n v="1278"/>
    <x v="3"/>
    <x v="1"/>
    <n v="1"/>
    <n v="590.54999999999995"/>
    <n v="0.05"/>
    <n v="561.02249999999992"/>
    <n v="561.02"/>
    <x v="2"/>
    <n v="2"/>
    <n v="1.2"/>
  </r>
  <r>
    <n v="772"/>
    <d v="2022-02-10T00:00:00"/>
    <x v="2"/>
    <s v="Q1"/>
    <x v="1"/>
    <n v="2"/>
    <n v="1216"/>
    <x v="0"/>
    <x v="0"/>
    <n v="2"/>
    <n v="185.21"/>
    <n v="0.16"/>
    <n v="155.57640000000001"/>
    <n v="311.14999999999998"/>
    <x v="1"/>
    <n v="8"/>
    <n v="2.2000000000000002"/>
  </r>
  <r>
    <n v="773"/>
    <d v="2022-02-11T00:00:00"/>
    <x v="2"/>
    <s v="Q1"/>
    <x v="1"/>
    <n v="2"/>
    <n v="1866"/>
    <x v="1"/>
    <x v="1"/>
    <n v="1"/>
    <n v="479.7"/>
    <n v="0.12"/>
    <n v="422.13599999999997"/>
    <n v="422.14"/>
    <x v="2"/>
    <n v="1"/>
    <n v="4.5999999999999996"/>
  </r>
  <r>
    <n v="774"/>
    <d v="2022-02-12T00:00:00"/>
    <x v="2"/>
    <s v="Q1"/>
    <x v="1"/>
    <n v="2"/>
    <n v="1872"/>
    <x v="1"/>
    <x v="2"/>
    <n v="7"/>
    <n v="301.93"/>
    <n v="0.19"/>
    <n v="244.5633"/>
    <n v="1711.94"/>
    <x v="1"/>
    <n v="1"/>
    <n v="1.7"/>
  </r>
  <r>
    <n v="775"/>
    <d v="2022-02-13T00:00:00"/>
    <x v="2"/>
    <s v="Q1"/>
    <x v="1"/>
    <n v="2"/>
    <n v="1797"/>
    <x v="2"/>
    <x v="0"/>
    <n v="5"/>
    <n v="38.29"/>
    <n v="0.25"/>
    <n v="28.717500000000001"/>
    <n v="143.59"/>
    <x v="1"/>
    <n v="7"/>
    <n v="4.0999999999999996"/>
  </r>
  <r>
    <n v="776"/>
    <d v="2022-02-14T00:00:00"/>
    <x v="2"/>
    <s v="Q1"/>
    <x v="1"/>
    <n v="2"/>
    <n v="1272"/>
    <x v="1"/>
    <x v="1"/>
    <n v="1"/>
    <n v="461.37"/>
    <n v="0.24"/>
    <n v="350.64120000000003"/>
    <n v="350.64"/>
    <x v="2"/>
    <n v="10"/>
    <n v="3.9"/>
  </r>
  <r>
    <n v="777"/>
    <d v="2022-02-15T00:00:00"/>
    <x v="2"/>
    <s v="Q1"/>
    <x v="1"/>
    <n v="2"/>
    <n v="1880"/>
    <x v="3"/>
    <x v="2"/>
    <n v="7"/>
    <n v="113.61"/>
    <n v="0.18"/>
    <n v="93.160200000000003"/>
    <n v="652.12"/>
    <x v="0"/>
    <n v="3"/>
    <n v="1.4"/>
  </r>
  <r>
    <n v="778"/>
    <d v="2022-02-16T00:00:00"/>
    <x v="2"/>
    <s v="Q1"/>
    <x v="1"/>
    <n v="2"/>
    <n v="1061"/>
    <x v="2"/>
    <x v="1"/>
    <n v="7"/>
    <n v="384.41"/>
    <n v="0.16"/>
    <n v="322.90440000000001"/>
    <n v="2260.33"/>
    <x v="2"/>
    <n v="8"/>
    <n v="2.2999999999999998"/>
  </r>
  <r>
    <n v="779"/>
    <d v="2022-02-17T00:00:00"/>
    <x v="2"/>
    <s v="Q1"/>
    <x v="1"/>
    <n v="2"/>
    <n v="1595"/>
    <x v="2"/>
    <x v="0"/>
    <n v="1"/>
    <n v="65.11"/>
    <n v="0.14000000000000001"/>
    <n v="55.994599999999998"/>
    <n v="55.99"/>
    <x v="2"/>
    <n v="9"/>
    <n v="1.8"/>
  </r>
  <r>
    <n v="780"/>
    <d v="2022-02-18T00:00:00"/>
    <x v="2"/>
    <s v="Q1"/>
    <x v="1"/>
    <n v="2"/>
    <n v="1879"/>
    <x v="2"/>
    <x v="1"/>
    <n v="1"/>
    <n v="568.91999999999996"/>
    <n v="0.3"/>
    <n v="398.24399999999997"/>
    <n v="398.24"/>
    <x v="2"/>
    <n v="8"/>
    <n v="1.1000000000000001"/>
  </r>
  <r>
    <n v="781"/>
    <d v="2022-02-19T00:00:00"/>
    <x v="2"/>
    <s v="Q1"/>
    <x v="1"/>
    <n v="2"/>
    <n v="1728"/>
    <x v="2"/>
    <x v="0"/>
    <n v="5"/>
    <n v="185.66"/>
    <n v="0.12"/>
    <n v="163.38079999999999"/>
    <n v="816.9"/>
    <x v="2"/>
    <n v="1"/>
    <n v="1.7"/>
  </r>
  <r>
    <n v="782"/>
    <d v="2022-02-20T00:00:00"/>
    <x v="2"/>
    <s v="Q1"/>
    <x v="1"/>
    <n v="2"/>
    <n v="1341"/>
    <x v="2"/>
    <x v="0"/>
    <n v="1"/>
    <n v="147.47999999999999"/>
    <n v="0.09"/>
    <n v="134.20679999999999"/>
    <n v="134.21"/>
    <x v="0"/>
    <n v="1"/>
    <n v="1.8"/>
  </r>
  <r>
    <n v="783"/>
    <d v="2022-02-21T00:00:00"/>
    <x v="2"/>
    <s v="Q1"/>
    <x v="1"/>
    <n v="2"/>
    <n v="1396"/>
    <x v="1"/>
    <x v="1"/>
    <n v="4"/>
    <n v="90.54"/>
    <n v="0.26"/>
    <n v="66.999600000000001"/>
    <n v="268"/>
    <x v="1"/>
    <n v="6"/>
    <n v="1.7"/>
  </r>
  <r>
    <n v="784"/>
    <d v="2022-02-22T00:00:00"/>
    <x v="2"/>
    <s v="Q1"/>
    <x v="1"/>
    <n v="2"/>
    <n v="1698"/>
    <x v="0"/>
    <x v="2"/>
    <n v="6"/>
    <n v="568.41"/>
    <n v="0.13"/>
    <n v="494.51669999999996"/>
    <n v="2967.1"/>
    <x v="0"/>
    <n v="1"/>
    <n v="1.4"/>
  </r>
  <r>
    <n v="785"/>
    <d v="2022-02-23T00:00:00"/>
    <x v="2"/>
    <s v="Q1"/>
    <x v="1"/>
    <n v="2"/>
    <n v="1018"/>
    <x v="1"/>
    <x v="3"/>
    <n v="4"/>
    <n v="431.46"/>
    <n v="0.3"/>
    <n v="302.02199999999999"/>
    <n v="1208.0899999999999"/>
    <x v="1"/>
    <n v="8"/>
    <n v="3.1"/>
  </r>
  <r>
    <n v="786"/>
    <d v="2022-02-24T00:00:00"/>
    <x v="2"/>
    <s v="Q1"/>
    <x v="1"/>
    <n v="2"/>
    <n v="1176"/>
    <x v="2"/>
    <x v="2"/>
    <n v="5"/>
    <n v="448.87"/>
    <n v="0.11"/>
    <n v="399.49430000000001"/>
    <n v="1997.47"/>
    <x v="0"/>
    <n v="6"/>
    <n v="2.2999999999999998"/>
  </r>
  <r>
    <n v="787"/>
    <d v="2022-02-25T00:00:00"/>
    <x v="2"/>
    <s v="Q1"/>
    <x v="1"/>
    <n v="2"/>
    <n v="1611"/>
    <x v="2"/>
    <x v="2"/>
    <n v="2"/>
    <n v="307.14999999999998"/>
    <n v="0.25"/>
    <n v="230.36249999999998"/>
    <n v="460.72"/>
    <x v="1"/>
    <n v="5"/>
    <n v="4.5999999999999996"/>
  </r>
  <r>
    <n v="788"/>
    <d v="2022-02-26T00:00:00"/>
    <x v="2"/>
    <s v="Q1"/>
    <x v="1"/>
    <n v="2"/>
    <n v="1395"/>
    <x v="3"/>
    <x v="1"/>
    <n v="4"/>
    <n v="292.72000000000003"/>
    <n v="0.02"/>
    <n v="286.86560000000003"/>
    <n v="1147.46"/>
    <x v="0"/>
    <n v="6"/>
    <n v="1.7"/>
  </r>
  <r>
    <n v="789"/>
    <d v="2022-02-27T00:00:00"/>
    <x v="2"/>
    <s v="Q1"/>
    <x v="1"/>
    <n v="2"/>
    <n v="1444"/>
    <x v="1"/>
    <x v="2"/>
    <n v="7"/>
    <n v="79.36"/>
    <n v="0.13"/>
    <n v="69.043199999999999"/>
    <n v="483.3"/>
    <x v="0"/>
    <n v="4"/>
    <n v="3.4"/>
  </r>
  <r>
    <n v="790"/>
    <d v="2022-02-28T00:00:00"/>
    <x v="2"/>
    <s v="Q1"/>
    <x v="1"/>
    <n v="2"/>
    <n v="1232"/>
    <x v="3"/>
    <x v="2"/>
    <n v="6"/>
    <n v="342.51"/>
    <n v="0.12"/>
    <n v="301.40879999999999"/>
    <n v="1808.45"/>
    <x v="1"/>
    <n v="1"/>
    <n v="4.5999999999999996"/>
  </r>
  <r>
    <n v="791"/>
    <d v="2022-03-01T00:00:00"/>
    <x v="2"/>
    <s v="Q1"/>
    <x v="2"/>
    <n v="3"/>
    <n v="1914"/>
    <x v="3"/>
    <x v="3"/>
    <n v="3"/>
    <n v="159.44999999999999"/>
    <n v="0.28999999999999998"/>
    <n v="113.20949999999999"/>
    <n v="339.63"/>
    <x v="0"/>
    <n v="7"/>
    <n v="1.2"/>
  </r>
  <r>
    <n v="792"/>
    <d v="2022-03-02T00:00:00"/>
    <x v="2"/>
    <s v="Q1"/>
    <x v="2"/>
    <n v="3"/>
    <n v="1075"/>
    <x v="3"/>
    <x v="2"/>
    <n v="6"/>
    <n v="586.63"/>
    <n v="0.34"/>
    <n v="387.17579999999998"/>
    <n v="2323.0500000000002"/>
    <x v="1"/>
    <n v="10"/>
    <n v="3.1"/>
  </r>
  <r>
    <n v="793"/>
    <d v="2022-03-03T00:00:00"/>
    <x v="2"/>
    <s v="Q1"/>
    <x v="2"/>
    <n v="3"/>
    <n v="1264"/>
    <x v="2"/>
    <x v="3"/>
    <n v="4"/>
    <n v="481"/>
    <n v="0.16"/>
    <n v="404.03999999999996"/>
    <n v="1616.16"/>
    <x v="1"/>
    <n v="9"/>
    <n v="2.8"/>
  </r>
  <r>
    <n v="794"/>
    <d v="2022-03-04T00:00:00"/>
    <x v="2"/>
    <s v="Q1"/>
    <x v="2"/>
    <n v="3"/>
    <n v="1454"/>
    <x v="3"/>
    <x v="1"/>
    <n v="3"/>
    <n v="256.60000000000002"/>
    <n v="0.28999999999999998"/>
    <n v="182.18600000000004"/>
    <n v="546.55999999999995"/>
    <x v="1"/>
    <n v="4"/>
    <n v="4.7"/>
  </r>
  <r>
    <n v="795"/>
    <d v="2022-03-05T00:00:00"/>
    <x v="2"/>
    <s v="Q1"/>
    <x v="2"/>
    <n v="3"/>
    <n v="1795"/>
    <x v="2"/>
    <x v="3"/>
    <n v="5"/>
    <n v="103.53"/>
    <n v="0.24"/>
    <n v="78.6828"/>
    <n v="393.41"/>
    <x v="0"/>
    <n v="4"/>
    <n v="3.7"/>
  </r>
  <r>
    <n v="796"/>
    <d v="2022-03-06T00:00:00"/>
    <x v="2"/>
    <s v="Q1"/>
    <x v="2"/>
    <n v="3"/>
    <n v="1717"/>
    <x v="0"/>
    <x v="0"/>
    <n v="6"/>
    <n v="474.42"/>
    <n v="0.34"/>
    <n v="313.11720000000003"/>
    <n v="1878.7"/>
    <x v="2"/>
    <n v="9"/>
    <n v="2.4"/>
  </r>
  <r>
    <n v="797"/>
    <d v="2022-03-07T00:00:00"/>
    <x v="2"/>
    <s v="Q1"/>
    <x v="2"/>
    <n v="3"/>
    <n v="1734"/>
    <x v="1"/>
    <x v="0"/>
    <n v="2"/>
    <n v="86.4"/>
    <n v="0.28000000000000003"/>
    <n v="62.207999999999998"/>
    <n v="124.42"/>
    <x v="2"/>
    <n v="4"/>
    <n v="3.8"/>
  </r>
  <r>
    <n v="798"/>
    <d v="2022-03-08T00:00:00"/>
    <x v="2"/>
    <s v="Q1"/>
    <x v="2"/>
    <n v="3"/>
    <n v="1383"/>
    <x v="2"/>
    <x v="3"/>
    <n v="3"/>
    <n v="125.76"/>
    <n v="0.03"/>
    <n v="121.9872"/>
    <n v="365.96"/>
    <x v="2"/>
    <n v="10"/>
    <n v="3.3"/>
  </r>
  <r>
    <n v="799"/>
    <d v="2022-03-09T00:00:00"/>
    <x v="2"/>
    <s v="Q1"/>
    <x v="2"/>
    <n v="3"/>
    <n v="1563"/>
    <x v="2"/>
    <x v="0"/>
    <n v="3"/>
    <n v="138.74"/>
    <n v="0.25"/>
    <n v="104.05500000000001"/>
    <n v="312.17"/>
    <x v="0"/>
    <n v="4"/>
    <n v="2.4"/>
  </r>
  <r>
    <n v="800"/>
    <d v="2022-03-10T00:00:00"/>
    <x v="2"/>
    <s v="Q1"/>
    <x v="2"/>
    <n v="3"/>
    <n v="1850"/>
    <x v="2"/>
    <x v="1"/>
    <n v="6"/>
    <n v="340.78"/>
    <n v="0.19"/>
    <n v="276.03179999999998"/>
    <n v="1656.19"/>
    <x v="2"/>
    <n v="8"/>
    <n v="4.0999999999999996"/>
  </r>
  <r>
    <n v="801"/>
    <d v="2022-03-11T00:00:00"/>
    <x v="2"/>
    <s v="Q1"/>
    <x v="2"/>
    <n v="3"/>
    <n v="1505"/>
    <x v="3"/>
    <x v="0"/>
    <n v="4"/>
    <n v="475.43"/>
    <n v="0.01"/>
    <n v="470.67570000000001"/>
    <n v="1882.7"/>
    <x v="1"/>
    <n v="11"/>
    <n v="3.7"/>
  </r>
  <r>
    <n v="802"/>
    <d v="2022-03-12T00:00:00"/>
    <x v="2"/>
    <s v="Q1"/>
    <x v="2"/>
    <n v="3"/>
    <n v="1366"/>
    <x v="2"/>
    <x v="3"/>
    <n v="3"/>
    <n v="198.87"/>
    <n v="0.09"/>
    <n v="180.9717"/>
    <n v="542.91999999999996"/>
    <x v="1"/>
    <n v="4"/>
    <n v="1"/>
  </r>
  <r>
    <n v="803"/>
    <d v="2022-03-13T00:00:00"/>
    <x v="2"/>
    <s v="Q1"/>
    <x v="2"/>
    <n v="3"/>
    <n v="1143"/>
    <x v="1"/>
    <x v="1"/>
    <n v="5"/>
    <n v="64.53"/>
    <n v="0.32"/>
    <n v="43.880400000000002"/>
    <n v="219.4"/>
    <x v="1"/>
    <n v="9"/>
    <n v="4.5"/>
  </r>
  <r>
    <n v="804"/>
    <d v="2022-03-14T00:00:00"/>
    <x v="2"/>
    <s v="Q1"/>
    <x v="2"/>
    <n v="3"/>
    <n v="1884"/>
    <x v="2"/>
    <x v="0"/>
    <n v="6"/>
    <n v="286.76"/>
    <n v="0.32"/>
    <n v="194.99680000000001"/>
    <n v="1169.98"/>
    <x v="2"/>
    <n v="11"/>
    <n v="2.6"/>
  </r>
  <r>
    <n v="805"/>
    <d v="2022-03-15T00:00:00"/>
    <x v="2"/>
    <s v="Q1"/>
    <x v="2"/>
    <n v="3"/>
    <n v="1068"/>
    <x v="3"/>
    <x v="1"/>
    <n v="5"/>
    <n v="452.64"/>
    <n v="0.28000000000000003"/>
    <n v="325.9008"/>
    <n v="1629.5"/>
    <x v="1"/>
    <n v="8"/>
    <n v="3.6"/>
  </r>
  <r>
    <n v="806"/>
    <d v="2022-03-16T00:00:00"/>
    <x v="2"/>
    <s v="Q1"/>
    <x v="2"/>
    <n v="3"/>
    <n v="1098"/>
    <x v="3"/>
    <x v="3"/>
    <n v="6"/>
    <n v="144.66999999999999"/>
    <n v="0.34"/>
    <n v="95.482199999999992"/>
    <n v="572.89"/>
    <x v="1"/>
    <n v="5"/>
    <n v="2.6"/>
  </r>
  <r>
    <n v="807"/>
    <d v="2022-03-17T00:00:00"/>
    <x v="2"/>
    <s v="Q1"/>
    <x v="2"/>
    <n v="3"/>
    <n v="1395"/>
    <x v="3"/>
    <x v="0"/>
    <n v="5"/>
    <n v="143.66"/>
    <n v="0.28000000000000003"/>
    <n v="103.43519999999999"/>
    <n v="517.17999999999995"/>
    <x v="0"/>
    <n v="9"/>
    <n v="4.5"/>
  </r>
  <r>
    <n v="808"/>
    <d v="2022-03-18T00:00:00"/>
    <x v="2"/>
    <s v="Q1"/>
    <x v="2"/>
    <n v="3"/>
    <n v="1024"/>
    <x v="3"/>
    <x v="1"/>
    <n v="4"/>
    <n v="569.13"/>
    <n v="0"/>
    <n v="569.13"/>
    <n v="2276.52"/>
    <x v="1"/>
    <n v="8"/>
    <n v="3.6"/>
  </r>
  <r>
    <n v="809"/>
    <d v="2022-03-19T00:00:00"/>
    <x v="2"/>
    <s v="Q1"/>
    <x v="2"/>
    <n v="3"/>
    <n v="1947"/>
    <x v="2"/>
    <x v="1"/>
    <n v="6"/>
    <n v="573.17999999999995"/>
    <n v="0.1"/>
    <n v="515.86199999999997"/>
    <n v="3095.17"/>
    <x v="2"/>
    <n v="10"/>
    <n v="3.3"/>
  </r>
  <r>
    <n v="810"/>
    <d v="2022-03-20T00:00:00"/>
    <x v="2"/>
    <s v="Q1"/>
    <x v="2"/>
    <n v="3"/>
    <n v="1890"/>
    <x v="2"/>
    <x v="0"/>
    <n v="7"/>
    <n v="594.41999999999996"/>
    <n v="0.01"/>
    <n v="588.47579999999994"/>
    <n v="4119.33"/>
    <x v="1"/>
    <n v="4"/>
    <n v="4.9000000000000004"/>
  </r>
  <r>
    <n v="811"/>
    <d v="2022-03-21T00:00:00"/>
    <x v="2"/>
    <s v="Q1"/>
    <x v="2"/>
    <n v="3"/>
    <n v="1468"/>
    <x v="3"/>
    <x v="1"/>
    <n v="2"/>
    <n v="487.48"/>
    <n v="0.03"/>
    <n v="472.85560000000004"/>
    <n v="945.71"/>
    <x v="1"/>
    <n v="4"/>
    <n v="2.1"/>
  </r>
  <r>
    <n v="812"/>
    <d v="2022-03-22T00:00:00"/>
    <x v="2"/>
    <s v="Q1"/>
    <x v="2"/>
    <n v="3"/>
    <n v="1483"/>
    <x v="1"/>
    <x v="1"/>
    <n v="4"/>
    <n v="125.09"/>
    <n v="0.08"/>
    <n v="115.08280000000001"/>
    <n v="460.33"/>
    <x v="1"/>
    <n v="1"/>
    <n v="1.3"/>
  </r>
  <r>
    <n v="813"/>
    <d v="2022-03-23T00:00:00"/>
    <x v="2"/>
    <s v="Q1"/>
    <x v="2"/>
    <n v="3"/>
    <n v="1564"/>
    <x v="1"/>
    <x v="3"/>
    <n v="5"/>
    <n v="139.01"/>
    <n v="0.18"/>
    <n v="113.98819999999999"/>
    <n v="569.94000000000005"/>
    <x v="1"/>
    <n v="4"/>
    <n v="3.1"/>
  </r>
  <r>
    <n v="814"/>
    <d v="2022-03-24T00:00:00"/>
    <x v="2"/>
    <s v="Q1"/>
    <x v="2"/>
    <n v="3"/>
    <n v="1150"/>
    <x v="2"/>
    <x v="3"/>
    <n v="6"/>
    <n v="214.03"/>
    <n v="0.3"/>
    <n v="149.821"/>
    <n v="898.93"/>
    <x v="0"/>
    <n v="8"/>
    <n v="2.7"/>
  </r>
  <r>
    <n v="815"/>
    <d v="2022-03-25T00:00:00"/>
    <x v="2"/>
    <s v="Q1"/>
    <x v="2"/>
    <n v="3"/>
    <n v="1143"/>
    <x v="2"/>
    <x v="3"/>
    <n v="4"/>
    <n v="201.11"/>
    <n v="0.3"/>
    <n v="140.77700000000002"/>
    <n v="563.11"/>
    <x v="1"/>
    <n v="5"/>
    <n v="2.8"/>
  </r>
  <r>
    <n v="816"/>
    <d v="2022-03-26T00:00:00"/>
    <x v="2"/>
    <s v="Q1"/>
    <x v="2"/>
    <n v="3"/>
    <n v="1568"/>
    <x v="2"/>
    <x v="3"/>
    <n v="5"/>
    <n v="574.57000000000005"/>
    <n v="0.22"/>
    <n v="448.16460000000006"/>
    <n v="2240.8200000000002"/>
    <x v="1"/>
    <n v="6"/>
    <n v="3.5"/>
  </r>
  <r>
    <n v="817"/>
    <d v="2022-03-27T00:00:00"/>
    <x v="2"/>
    <s v="Q1"/>
    <x v="2"/>
    <n v="3"/>
    <n v="1038"/>
    <x v="0"/>
    <x v="3"/>
    <n v="1"/>
    <n v="476.61"/>
    <n v="0.32"/>
    <n v="324.09479999999996"/>
    <n v="324.08999999999997"/>
    <x v="2"/>
    <n v="4"/>
    <n v="3.5"/>
  </r>
  <r>
    <n v="818"/>
    <d v="2022-03-28T00:00:00"/>
    <x v="2"/>
    <s v="Q1"/>
    <x v="2"/>
    <n v="3"/>
    <n v="1108"/>
    <x v="2"/>
    <x v="3"/>
    <n v="1"/>
    <n v="438.55"/>
    <n v="0.18"/>
    <n v="359.61099999999999"/>
    <n v="359.61"/>
    <x v="2"/>
    <n v="5"/>
    <n v="2.6"/>
  </r>
  <r>
    <n v="819"/>
    <d v="2022-03-29T00:00:00"/>
    <x v="2"/>
    <s v="Q1"/>
    <x v="2"/>
    <n v="3"/>
    <n v="1692"/>
    <x v="1"/>
    <x v="0"/>
    <n v="3"/>
    <n v="123.79"/>
    <n v="0.31"/>
    <n v="85.415099999999995"/>
    <n v="256.25"/>
    <x v="2"/>
    <n v="10"/>
    <n v="4.5"/>
  </r>
  <r>
    <n v="820"/>
    <d v="2022-03-30T00:00:00"/>
    <x v="2"/>
    <s v="Q1"/>
    <x v="2"/>
    <n v="3"/>
    <n v="1041"/>
    <x v="2"/>
    <x v="3"/>
    <n v="2"/>
    <n v="547.07000000000005"/>
    <n v="0.16"/>
    <n v="459.53880000000004"/>
    <n v="919.08"/>
    <x v="0"/>
    <n v="8"/>
    <n v="3.6"/>
  </r>
  <r>
    <n v="821"/>
    <d v="2022-03-31T00:00:00"/>
    <x v="2"/>
    <s v="Q1"/>
    <x v="2"/>
    <n v="3"/>
    <n v="1185"/>
    <x v="3"/>
    <x v="1"/>
    <n v="1"/>
    <n v="499.3"/>
    <n v="0.1"/>
    <n v="449.37"/>
    <n v="449.37"/>
    <x v="2"/>
    <n v="9"/>
    <n v="4.5999999999999996"/>
  </r>
  <r>
    <n v="822"/>
    <d v="2022-04-01T00:00:00"/>
    <x v="2"/>
    <s v="Q2"/>
    <x v="3"/>
    <n v="4"/>
    <n v="1934"/>
    <x v="2"/>
    <x v="0"/>
    <n v="7"/>
    <n v="110.73"/>
    <n v="0.32"/>
    <n v="75.296400000000006"/>
    <n v="527.07000000000005"/>
    <x v="1"/>
    <n v="3"/>
    <n v="4.7"/>
  </r>
  <r>
    <n v="823"/>
    <d v="2022-04-02T00:00:00"/>
    <x v="2"/>
    <s v="Q2"/>
    <x v="3"/>
    <n v="4"/>
    <n v="1397"/>
    <x v="0"/>
    <x v="1"/>
    <n v="5"/>
    <n v="524.63"/>
    <n v="0.14000000000000001"/>
    <n v="451.18180000000001"/>
    <n v="2255.91"/>
    <x v="0"/>
    <n v="10"/>
    <n v="1.7"/>
  </r>
  <r>
    <n v="824"/>
    <d v="2022-04-03T00:00:00"/>
    <x v="2"/>
    <s v="Q2"/>
    <x v="3"/>
    <n v="4"/>
    <n v="1222"/>
    <x v="0"/>
    <x v="3"/>
    <n v="4"/>
    <n v="174.26"/>
    <n v="0.18"/>
    <n v="142.89319999999998"/>
    <n v="571.57000000000005"/>
    <x v="2"/>
    <n v="4"/>
    <n v="3.7"/>
  </r>
  <r>
    <n v="825"/>
    <d v="2022-04-04T00:00:00"/>
    <x v="2"/>
    <s v="Q2"/>
    <x v="3"/>
    <n v="4"/>
    <n v="1633"/>
    <x v="2"/>
    <x v="3"/>
    <n v="6"/>
    <n v="62.31"/>
    <n v="0.12"/>
    <n v="54.832800000000006"/>
    <n v="329"/>
    <x v="1"/>
    <n v="1"/>
    <n v="2.2999999999999998"/>
  </r>
  <r>
    <n v="826"/>
    <d v="2022-04-05T00:00:00"/>
    <x v="2"/>
    <s v="Q2"/>
    <x v="3"/>
    <n v="4"/>
    <n v="1132"/>
    <x v="0"/>
    <x v="1"/>
    <n v="4"/>
    <n v="399.24"/>
    <n v="0.23"/>
    <n v="307.41480000000001"/>
    <n v="1229.6600000000001"/>
    <x v="1"/>
    <n v="11"/>
    <n v="4.3"/>
  </r>
  <r>
    <n v="827"/>
    <d v="2022-04-06T00:00:00"/>
    <x v="2"/>
    <s v="Q2"/>
    <x v="3"/>
    <n v="4"/>
    <n v="1162"/>
    <x v="0"/>
    <x v="1"/>
    <n v="3"/>
    <n v="397.48"/>
    <n v="0.35"/>
    <n v="258.36200000000002"/>
    <n v="775.09"/>
    <x v="1"/>
    <n v="5"/>
    <n v="3.9"/>
  </r>
  <r>
    <n v="828"/>
    <d v="2022-04-07T00:00:00"/>
    <x v="2"/>
    <s v="Q2"/>
    <x v="3"/>
    <n v="4"/>
    <n v="1214"/>
    <x v="3"/>
    <x v="1"/>
    <n v="4"/>
    <n v="70.540000000000006"/>
    <n v="0.01"/>
    <n v="69.834600000000009"/>
    <n v="279.33999999999997"/>
    <x v="1"/>
    <n v="4"/>
    <n v="1.8"/>
  </r>
  <r>
    <n v="829"/>
    <d v="2022-04-08T00:00:00"/>
    <x v="2"/>
    <s v="Q2"/>
    <x v="3"/>
    <n v="4"/>
    <n v="1732"/>
    <x v="3"/>
    <x v="2"/>
    <n v="1"/>
    <n v="201.53"/>
    <n v="0.31"/>
    <n v="139.0557"/>
    <n v="139.06"/>
    <x v="1"/>
    <n v="6"/>
    <n v="4.8"/>
  </r>
  <r>
    <n v="830"/>
    <d v="2022-04-09T00:00:00"/>
    <x v="2"/>
    <s v="Q2"/>
    <x v="3"/>
    <n v="4"/>
    <n v="1234"/>
    <x v="2"/>
    <x v="2"/>
    <n v="4"/>
    <n v="595.79999999999995"/>
    <n v="0"/>
    <n v="595.79999999999995"/>
    <n v="2383.1999999999998"/>
    <x v="1"/>
    <n v="6"/>
    <n v="3.7"/>
  </r>
  <r>
    <n v="831"/>
    <d v="2022-04-10T00:00:00"/>
    <x v="2"/>
    <s v="Q2"/>
    <x v="3"/>
    <n v="4"/>
    <n v="1842"/>
    <x v="1"/>
    <x v="2"/>
    <n v="1"/>
    <n v="411.88"/>
    <n v="0.13"/>
    <n v="358.3356"/>
    <n v="358.34"/>
    <x v="0"/>
    <n v="10"/>
    <n v="4.8"/>
  </r>
  <r>
    <n v="832"/>
    <d v="2022-04-11T00:00:00"/>
    <x v="2"/>
    <s v="Q2"/>
    <x v="3"/>
    <n v="4"/>
    <n v="1657"/>
    <x v="2"/>
    <x v="2"/>
    <n v="1"/>
    <n v="442.09"/>
    <n v="0.06"/>
    <n v="415.56459999999998"/>
    <n v="415.56"/>
    <x v="0"/>
    <n v="6"/>
    <n v="1.8"/>
  </r>
  <r>
    <n v="833"/>
    <d v="2022-04-12T00:00:00"/>
    <x v="2"/>
    <s v="Q2"/>
    <x v="3"/>
    <n v="4"/>
    <n v="1750"/>
    <x v="2"/>
    <x v="0"/>
    <n v="2"/>
    <n v="139.56"/>
    <n v="0.27"/>
    <n v="101.8788"/>
    <n v="203.76"/>
    <x v="2"/>
    <n v="3"/>
    <n v="4.5"/>
  </r>
  <r>
    <n v="834"/>
    <d v="2022-04-13T00:00:00"/>
    <x v="2"/>
    <s v="Q2"/>
    <x v="3"/>
    <n v="4"/>
    <n v="1587"/>
    <x v="0"/>
    <x v="3"/>
    <n v="3"/>
    <n v="61.09"/>
    <n v="0.02"/>
    <n v="59.868200000000002"/>
    <n v="179.6"/>
    <x v="0"/>
    <n v="7"/>
    <n v="3.7"/>
  </r>
  <r>
    <n v="835"/>
    <d v="2022-04-14T00:00:00"/>
    <x v="2"/>
    <s v="Q2"/>
    <x v="3"/>
    <n v="4"/>
    <n v="1008"/>
    <x v="2"/>
    <x v="1"/>
    <n v="7"/>
    <n v="176.99"/>
    <n v="0.19"/>
    <n v="143.36189999999999"/>
    <n v="1003.53"/>
    <x v="1"/>
    <n v="3"/>
    <n v="3.2"/>
  </r>
  <r>
    <n v="836"/>
    <d v="2022-04-15T00:00:00"/>
    <x v="2"/>
    <s v="Q2"/>
    <x v="3"/>
    <n v="4"/>
    <n v="1073"/>
    <x v="3"/>
    <x v="3"/>
    <n v="7"/>
    <n v="160.61000000000001"/>
    <n v="0.1"/>
    <n v="144.54900000000001"/>
    <n v="1011.84"/>
    <x v="0"/>
    <n v="6"/>
    <n v="4.3"/>
  </r>
  <r>
    <n v="837"/>
    <d v="2022-04-16T00:00:00"/>
    <x v="2"/>
    <s v="Q2"/>
    <x v="3"/>
    <n v="4"/>
    <n v="1953"/>
    <x v="3"/>
    <x v="1"/>
    <n v="5"/>
    <n v="152.21"/>
    <n v="0.05"/>
    <n v="144.59950000000001"/>
    <n v="723"/>
    <x v="2"/>
    <n v="10"/>
    <n v="3.5"/>
  </r>
  <r>
    <n v="838"/>
    <d v="2022-04-17T00:00:00"/>
    <x v="2"/>
    <s v="Q2"/>
    <x v="3"/>
    <n v="4"/>
    <n v="1491"/>
    <x v="0"/>
    <x v="3"/>
    <n v="7"/>
    <n v="127.76"/>
    <n v="0.27"/>
    <n v="93.264800000000008"/>
    <n v="652.85"/>
    <x v="1"/>
    <n v="1"/>
    <n v="3.7"/>
  </r>
  <r>
    <n v="839"/>
    <d v="2022-04-18T00:00:00"/>
    <x v="2"/>
    <s v="Q2"/>
    <x v="3"/>
    <n v="4"/>
    <n v="1912"/>
    <x v="0"/>
    <x v="0"/>
    <n v="1"/>
    <n v="351.23"/>
    <n v="0.08"/>
    <n v="323.13159999999999"/>
    <n v="323.13"/>
    <x v="1"/>
    <n v="8"/>
    <n v="2"/>
  </r>
  <r>
    <n v="840"/>
    <d v="2022-04-19T00:00:00"/>
    <x v="2"/>
    <s v="Q2"/>
    <x v="3"/>
    <n v="4"/>
    <n v="1252"/>
    <x v="2"/>
    <x v="2"/>
    <n v="6"/>
    <n v="206.94"/>
    <n v="0.08"/>
    <n v="190.38479999999998"/>
    <n v="1142.31"/>
    <x v="1"/>
    <n v="7"/>
    <n v="4.3"/>
  </r>
  <r>
    <n v="841"/>
    <d v="2022-04-20T00:00:00"/>
    <x v="2"/>
    <s v="Q2"/>
    <x v="3"/>
    <n v="4"/>
    <n v="1229"/>
    <x v="2"/>
    <x v="3"/>
    <n v="3"/>
    <n v="494.9"/>
    <n v="0.1"/>
    <n v="445.40999999999997"/>
    <n v="1336.23"/>
    <x v="1"/>
    <n v="9"/>
    <n v="3.6"/>
  </r>
  <r>
    <n v="842"/>
    <d v="2022-04-21T00:00:00"/>
    <x v="2"/>
    <s v="Q2"/>
    <x v="3"/>
    <n v="4"/>
    <n v="1518"/>
    <x v="1"/>
    <x v="1"/>
    <n v="5"/>
    <n v="122.61"/>
    <n v="0.21"/>
    <n v="96.861900000000006"/>
    <n v="484.31"/>
    <x v="1"/>
    <n v="3"/>
    <n v="4.4000000000000004"/>
  </r>
  <r>
    <n v="843"/>
    <d v="2022-04-22T00:00:00"/>
    <x v="2"/>
    <s v="Q2"/>
    <x v="3"/>
    <n v="4"/>
    <n v="1173"/>
    <x v="2"/>
    <x v="3"/>
    <n v="7"/>
    <n v="286.81"/>
    <n v="0.23"/>
    <n v="220.84370000000001"/>
    <n v="1545.91"/>
    <x v="1"/>
    <n v="8"/>
    <n v="2.4"/>
  </r>
  <r>
    <n v="844"/>
    <d v="2022-04-23T00:00:00"/>
    <x v="2"/>
    <s v="Q2"/>
    <x v="3"/>
    <n v="4"/>
    <n v="1652"/>
    <x v="2"/>
    <x v="0"/>
    <n v="7"/>
    <n v="22.99"/>
    <n v="0.01"/>
    <n v="22.760099999999998"/>
    <n v="159.32"/>
    <x v="1"/>
    <n v="2"/>
    <n v="2.2999999999999998"/>
  </r>
  <r>
    <n v="845"/>
    <d v="2022-04-24T00:00:00"/>
    <x v="2"/>
    <s v="Q2"/>
    <x v="3"/>
    <n v="4"/>
    <n v="1167"/>
    <x v="1"/>
    <x v="0"/>
    <n v="6"/>
    <n v="296.77999999999997"/>
    <n v="0.08"/>
    <n v="273.0376"/>
    <n v="1638.23"/>
    <x v="1"/>
    <n v="9"/>
    <n v="1.1000000000000001"/>
  </r>
  <r>
    <n v="846"/>
    <d v="2022-04-25T00:00:00"/>
    <x v="2"/>
    <s v="Q2"/>
    <x v="3"/>
    <n v="4"/>
    <n v="1169"/>
    <x v="3"/>
    <x v="3"/>
    <n v="4"/>
    <n v="47.67"/>
    <n v="0.15"/>
    <n v="40.519500000000001"/>
    <n v="162.08000000000001"/>
    <x v="0"/>
    <n v="1"/>
    <n v="4.0999999999999996"/>
  </r>
  <r>
    <n v="847"/>
    <d v="2022-04-26T00:00:00"/>
    <x v="2"/>
    <s v="Q2"/>
    <x v="3"/>
    <n v="4"/>
    <n v="1392"/>
    <x v="1"/>
    <x v="2"/>
    <n v="3"/>
    <n v="586.97"/>
    <n v="0.12"/>
    <n v="516.53359999999998"/>
    <n v="1549.6"/>
    <x v="1"/>
    <n v="10"/>
    <n v="2.2999999999999998"/>
  </r>
  <r>
    <n v="848"/>
    <d v="2022-04-27T00:00:00"/>
    <x v="2"/>
    <s v="Q2"/>
    <x v="3"/>
    <n v="4"/>
    <n v="1945"/>
    <x v="2"/>
    <x v="1"/>
    <n v="6"/>
    <n v="477.5"/>
    <n v="0.31"/>
    <n v="329.47500000000002"/>
    <n v="1976.85"/>
    <x v="1"/>
    <n v="7"/>
    <n v="2.2999999999999998"/>
  </r>
  <r>
    <n v="849"/>
    <d v="2022-04-28T00:00:00"/>
    <x v="2"/>
    <s v="Q2"/>
    <x v="3"/>
    <n v="4"/>
    <n v="1794"/>
    <x v="3"/>
    <x v="0"/>
    <n v="7"/>
    <n v="301.72000000000003"/>
    <n v="0.28000000000000003"/>
    <n v="217.23840000000001"/>
    <n v="1520.67"/>
    <x v="2"/>
    <n v="10"/>
    <n v="3.8"/>
  </r>
  <r>
    <n v="850"/>
    <d v="2022-04-29T00:00:00"/>
    <x v="2"/>
    <s v="Q2"/>
    <x v="3"/>
    <n v="4"/>
    <n v="1633"/>
    <x v="2"/>
    <x v="0"/>
    <n v="3"/>
    <n v="65.650000000000006"/>
    <n v="0.22"/>
    <n v="51.207000000000008"/>
    <n v="153.62"/>
    <x v="0"/>
    <n v="1"/>
    <n v="2"/>
  </r>
  <r>
    <n v="851"/>
    <d v="2022-04-30T00:00:00"/>
    <x v="2"/>
    <s v="Q2"/>
    <x v="3"/>
    <n v="4"/>
    <n v="1193"/>
    <x v="2"/>
    <x v="3"/>
    <n v="3"/>
    <n v="361.58"/>
    <n v="0.12"/>
    <n v="318.19040000000001"/>
    <n v="954.57"/>
    <x v="1"/>
    <n v="6"/>
    <n v="4.5999999999999996"/>
  </r>
  <r>
    <n v="852"/>
    <d v="2022-05-01T00:00:00"/>
    <x v="2"/>
    <s v="Q2"/>
    <x v="4"/>
    <n v="5"/>
    <n v="1516"/>
    <x v="3"/>
    <x v="0"/>
    <n v="7"/>
    <n v="458.88"/>
    <n v="0.25"/>
    <n v="344.15999999999997"/>
    <n v="2409.12"/>
    <x v="0"/>
    <n v="1"/>
    <n v="3.2"/>
  </r>
  <r>
    <n v="853"/>
    <d v="2022-05-02T00:00:00"/>
    <x v="2"/>
    <s v="Q2"/>
    <x v="4"/>
    <n v="5"/>
    <n v="1028"/>
    <x v="1"/>
    <x v="0"/>
    <n v="4"/>
    <n v="126.57"/>
    <n v="0.3"/>
    <n v="88.59899999999999"/>
    <n v="354.4"/>
    <x v="1"/>
    <n v="4"/>
    <n v="4.9000000000000004"/>
  </r>
  <r>
    <n v="854"/>
    <d v="2022-05-03T00:00:00"/>
    <x v="2"/>
    <s v="Q2"/>
    <x v="4"/>
    <n v="5"/>
    <n v="1164"/>
    <x v="3"/>
    <x v="1"/>
    <n v="4"/>
    <n v="347.4"/>
    <n v="0.21"/>
    <n v="274.44599999999997"/>
    <n v="1097.78"/>
    <x v="1"/>
    <n v="7"/>
    <n v="1.3"/>
  </r>
  <r>
    <n v="855"/>
    <d v="2022-05-04T00:00:00"/>
    <x v="2"/>
    <s v="Q2"/>
    <x v="4"/>
    <n v="5"/>
    <n v="1421"/>
    <x v="2"/>
    <x v="2"/>
    <n v="7"/>
    <n v="491.31"/>
    <n v="0.27"/>
    <n v="358.65629999999999"/>
    <n v="2510.59"/>
    <x v="1"/>
    <n v="2"/>
    <n v="2.2999999999999998"/>
  </r>
  <r>
    <n v="856"/>
    <d v="2022-05-05T00:00:00"/>
    <x v="2"/>
    <s v="Q2"/>
    <x v="4"/>
    <n v="5"/>
    <n v="1338"/>
    <x v="3"/>
    <x v="1"/>
    <n v="3"/>
    <n v="464.42"/>
    <n v="0.26"/>
    <n v="343.67079999999999"/>
    <n v="1031.01"/>
    <x v="2"/>
    <n v="3"/>
    <n v="2.5"/>
  </r>
  <r>
    <n v="857"/>
    <d v="2022-05-06T00:00:00"/>
    <x v="2"/>
    <s v="Q2"/>
    <x v="4"/>
    <n v="5"/>
    <n v="1647"/>
    <x v="1"/>
    <x v="2"/>
    <n v="6"/>
    <n v="484.75"/>
    <n v="0.2"/>
    <n v="387.8"/>
    <n v="2326.8000000000002"/>
    <x v="1"/>
    <n v="4"/>
    <n v="3.9"/>
  </r>
  <r>
    <n v="858"/>
    <d v="2022-05-07T00:00:00"/>
    <x v="2"/>
    <s v="Q2"/>
    <x v="4"/>
    <n v="5"/>
    <n v="1495"/>
    <x v="1"/>
    <x v="1"/>
    <n v="2"/>
    <n v="529.4"/>
    <n v="0.11"/>
    <n v="471.166"/>
    <n v="942.33"/>
    <x v="2"/>
    <n v="6"/>
    <n v="1.9"/>
  </r>
  <r>
    <n v="859"/>
    <d v="2022-05-08T00:00:00"/>
    <x v="2"/>
    <s v="Q2"/>
    <x v="4"/>
    <n v="5"/>
    <n v="1364"/>
    <x v="1"/>
    <x v="3"/>
    <n v="1"/>
    <n v="563.54"/>
    <n v="0.26"/>
    <n v="417.01959999999997"/>
    <n v="417.02"/>
    <x v="1"/>
    <n v="9"/>
    <n v="2.5"/>
  </r>
  <r>
    <n v="860"/>
    <d v="2022-05-09T00:00:00"/>
    <x v="2"/>
    <s v="Q2"/>
    <x v="4"/>
    <n v="5"/>
    <n v="1832"/>
    <x v="0"/>
    <x v="0"/>
    <n v="4"/>
    <n v="252.23"/>
    <n v="7.0000000000000007E-2"/>
    <n v="234.57389999999998"/>
    <n v="938.3"/>
    <x v="2"/>
    <n v="4"/>
    <n v="4.5999999999999996"/>
  </r>
  <r>
    <n v="861"/>
    <d v="2022-05-10T00:00:00"/>
    <x v="2"/>
    <s v="Q2"/>
    <x v="4"/>
    <n v="5"/>
    <n v="1341"/>
    <x v="1"/>
    <x v="2"/>
    <n v="7"/>
    <n v="347.73"/>
    <n v="0.27"/>
    <n v="253.84289999999999"/>
    <n v="1776.9"/>
    <x v="1"/>
    <n v="6"/>
    <n v="1.5"/>
  </r>
  <r>
    <n v="862"/>
    <d v="2022-05-11T00:00:00"/>
    <x v="2"/>
    <s v="Q2"/>
    <x v="4"/>
    <n v="5"/>
    <n v="1499"/>
    <x v="1"/>
    <x v="3"/>
    <n v="2"/>
    <n v="477.54"/>
    <n v="0.28000000000000003"/>
    <n v="343.8288"/>
    <n v="687.66"/>
    <x v="2"/>
    <n v="7"/>
    <n v="4"/>
  </r>
  <r>
    <n v="863"/>
    <d v="2022-05-12T00:00:00"/>
    <x v="2"/>
    <s v="Q2"/>
    <x v="4"/>
    <n v="5"/>
    <n v="1656"/>
    <x v="0"/>
    <x v="0"/>
    <n v="4"/>
    <n v="422.83"/>
    <n v="0.28999999999999998"/>
    <n v="300.20929999999998"/>
    <n v="1200.8399999999999"/>
    <x v="2"/>
    <n v="4"/>
    <n v="3.8"/>
  </r>
  <r>
    <n v="864"/>
    <d v="2022-05-13T00:00:00"/>
    <x v="2"/>
    <s v="Q2"/>
    <x v="4"/>
    <n v="5"/>
    <n v="1510"/>
    <x v="3"/>
    <x v="0"/>
    <n v="3"/>
    <n v="597.38"/>
    <n v="0.17"/>
    <n v="495.8254"/>
    <n v="1487.48"/>
    <x v="2"/>
    <n v="6"/>
    <n v="1.5"/>
  </r>
  <r>
    <n v="865"/>
    <d v="2022-05-14T00:00:00"/>
    <x v="2"/>
    <s v="Q2"/>
    <x v="4"/>
    <n v="5"/>
    <n v="1326"/>
    <x v="1"/>
    <x v="0"/>
    <n v="7"/>
    <n v="23"/>
    <n v="7.0000000000000007E-2"/>
    <n v="21.39"/>
    <n v="149.72999999999999"/>
    <x v="1"/>
    <n v="3"/>
    <n v="3.8"/>
  </r>
  <r>
    <n v="866"/>
    <d v="2022-05-15T00:00:00"/>
    <x v="2"/>
    <s v="Q2"/>
    <x v="4"/>
    <n v="5"/>
    <n v="1216"/>
    <x v="3"/>
    <x v="1"/>
    <n v="2"/>
    <n v="222.75"/>
    <n v="0.03"/>
    <n v="216.0675"/>
    <n v="432.14"/>
    <x v="0"/>
    <n v="5"/>
    <n v="3.3"/>
  </r>
  <r>
    <n v="867"/>
    <d v="2022-05-16T00:00:00"/>
    <x v="2"/>
    <s v="Q2"/>
    <x v="4"/>
    <n v="5"/>
    <n v="1300"/>
    <x v="1"/>
    <x v="3"/>
    <n v="7"/>
    <n v="179.4"/>
    <n v="0.26"/>
    <n v="132.756"/>
    <n v="929.29"/>
    <x v="2"/>
    <n v="11"/>
    <n v="2.2000000000000002"/>
  </r>
  <r>
    <n v="868"/>
    <d v="2022-05-17T00:00:00"/>
    <x v="2"/>
    <s v="Q2"/>
    <x v="4"/>
    <n v="5"/>
    <n v="1131"/>
    <x v="2"/>
    <x v="3"/>
    <n v="6"/>
    <n v="168.45"/>
    <n v="0.31"/>
    <n v="116.23049999999999"/>
    <n v="697.38"/>
    <x v="1"/>
    <n v="10"/>
    <n v="2.2000000000000002"/>
  </r>
  <r>
    <n v="869"/>
    <d v="2022-05-18T00:00:00"/>
    <x v="2"/>
    <s v="Q2"/>
    <x v="4"/>
    <n v="5"/>
    <n v="1803"/>
    <x v="1"/>
    <x v="0"/>
    <n v="6"/>
    <n v="145.18"/>
    <n v="0.23"/>
    <n v="111.7886"/>
    <n v="670.73"/>
    <x v="0"/>
    <n v="4"/>
    <n v="4.3"/>
  </r>
  <r>
    <n v="870"/>
    <d v="2022-05-19T00:00:00"/>
    <x v="2"/>
    <s v="Q2"/>
    <x v="4"/>
    <n v="5"/>
    <n v="1069"/>
    <x v="0"/>
    <x v="2"/>
    <n v="5"/>
    <n v="429.84"/>
    <n v="0.05"/>
    <n v="408.34799999999996"/>
    <n v="2041.74"/>
    <x v="2"/>
    <n v="7"/>
    <n v="1.9"/>
  </r>
  <r>
    <n v="871"/>
    <d v="2022-05-20T00:00:00"/>
    <x v="2"/>
    <s v="Q2"/>
    <x v="4"/>
    <n v="5"/>
    <n v="1251"/>
    <x v="0"/>
    <x v="3"/>
    <n v="1"/>
    <n v="64.58"/>
    <n v="0.33"/>
    <n v="43.268599999999999"/>
    <n v="43.27"/>
    <x v="2"/>
    <n v="6"/>
    <n v="3.1"/>
  </r>
  <r>
    <n v="872"/>
    <d v="2022-05-21T00:00:00"/>
    <x v="2"/>
    <s v="Q2"/>
    <x v="4"/>
    <n v="5"/>
    <n v="1414"/>
    <x v="2"/>
    <x v="1"/>
    <n v="1"/>
    <n v="448.84"/>
    <n v="0.35"/>
    <n v="291.74599999999998"/>
    <n v="291.75"/>
    <x v="1"/>
    <n v="7"/>
    <n v="3.7"/>
  </r>
  <r>
    <n v="873"/>
    <d v="2022-05-22T00:00:00"/>
    <x v="2"/>
    <s v="Q2"/>
    <x v="4"/>
    <n v="5"/>
    <n v="1786"/>
    <x v="1"/>
    <x v="2"/>
    <n v="4"/>
    <n v="420.65"/>
    <n v="0.15"/>
    <n v="357.55250000000001"/>
    <n v="1430.21"/>
    <x v="2"/>
    <n v="6"/>
    <n v="1.5"/>
  </r>
  <r>
    <n v="874"/>
    <d v="2022-05-23T00:00:00"/>
    <x v="2"/>
    <s v="Q2"/>
    <x v="4"/>
    <n v="5"/>
    <n v="1444"/>
    <x v="2"/>
    <x v="2"/>
    <n v="1"/>
    <n v="161.72"/>
    <n v="0.21"/>
    <n v="127.75880000000001"/>
    <n v="127.76"/>
    <x v="1"/>
    <n v="2"/>
    <n v="4.7"/>
  </r>
  <r>
    <n v="875"/>
    <d v="2022-05-24T00:00:00"/>
    <x v="2"/>
    <s v="Q2"/>
    <x v="4"/>
    <n v="5"/>
    <n v="1875"/>
    <x v="0"/>
    <x v="2"/>
    <n v="7"/>
    <n v="162.91"/>
    <n v="0.27"/>
    <n v="118.92429999999999"/>
    <n v="832.47"/>
    <x v="1"/>
    <n v="7"/>
    <n v="2"/>
  </r>
  <r>
    <n v="876"/>
    <d v="2022-05-25T00:00:00"/>
    <x v="2"/>
    <s v="Q2"/>
    <x v="4"/>
    <n v="5"/>
    <n v="1181"/>
    <x v="0"/>
    <x v="2"/>
    <n v="7"/>
    <n v="382.88"/>
    <n v="0.26"/>
    <n v="283.33119999999997"/>
    <n v="1983.32"/>
    <x v="1"/>
    <n v="8"/>
    <n v="2.2999999999999998"/>
  </r>
  <r>
    <n v="877"/>
    <d v="2022-05-26T00:00:00"/>
    <x v="2"/>
    <s v="Q2"/>
    <x v="4"/>
    <n v="5"/>
    <n v="1166"/>
    <x v="1"/>
    <x v="3"/>
    <n v="5"/>
    <n v="460.87"/>
    <n v="0.34"/>
    <n v="304.17419999999998"/>
    <n v="1520.87"/>
    <x v="2"/>
    <n v="7"/>
    <n v="3.7"/>
  </r>
  <r>
    <n v="878"/>
    <d v="2022-05-27T00:00:00"/>
    <x v="2"/>
    <s v="Q2"/>
    <x v="4"/>
    <n v="5"/>
    <n v="1090"/>
    <x v="3"/>
    <x v="0"/>
    <n v="6"/>
    <n v="527.74"/>
    <n v="0.04"/>
    <n v="506.63040000000001"/>
    <n v="3039.78"/>
    <x v="1"/>
    <n v="4"/>
    <n v="1.3"/>
  </r>
  <r>
    <n v="879"/>
    <d v="2022-05-28T00:00:00"/>
    <x v="2"/>
    <s v="Q2"/>
    <x v="4"/>
    <n v="5"/>
    <n v="1713"/>
    <x v="3"/>
    <x v="2"/>
    <n v="2"/>
    <n v="513.5"/>
    <n v="0.2"/>
    <n v="410.8"/>
    <n v="821.6"/>
    <x v="0"/>
    <n v="4"/>
    <n v="3.5"/>
  </r>
  <r>
    <n v="880"/>
    <d v="2022-05-29T00:00:00"/>
    <x v="2"/>
    <s v="Q2"/>
    <x v="4"/>
    <n v="5"/>
    <n v="1857"/>
    <x v="1"/>
    <x v="1"/>
    <n v="2"/>
    <n v="579.46"/>
    <n v="0.24"/>
    <n v="440.38960000000003"/>
    <n v="880.78"/>
    <x v="1"/>
    <n v="5"/>
    <n v="4.7"/>
  </r>
  <r>
    <n v="881"/>
    <d v="2022-05-30T00:00:00"/>
    <x v="2"/>
    <s v="Q2"/>
    <x v="4"/>
    <n v="5"/>
    <n v="1530"/>
    <x v="2"/>
    <x v="1"/>
    <n v="6"/>
    <n v="355.11"/>
    <n v="0.31"/>
    <n v="245.02590000000001"/>
    <n v="1470.16"/>
    <x v="1"/>
    <n v="9"/>
    <n v="2"/>
  </r>
  <r>
    <n v="882"/>
    <d v="2022-05-31T00:00:00"/>
    <x v="2"/>
    <s v="Q2"/>
    <x v="4"/>
    <n v="5"/>
    <n v="1038"/>
    <x v="1"/>
    <x v="0"/>
    <n v="3"/>
    <n v="546.55999999999995"/>
    <n v="0.31"/>
    <n v="377.12639999999999"/>
    <n v="1131.3800000000001"/>
    <x v="2"/>
    <n v="5"/>
    <n v="2.4"/>
  </r>
  <r>
    <n v="883"/>
    <d v="2022-06-01T00:00:00"/>
    <x v="2"/>
    <s v="Q2"/>
    <x v="5"/>
    <n v="6"/>
    <n v="1125"/>
    <x v="3"/>
    <x v="3"/>
    <n v="6"/>
    <n v="487.98"/>
    <n v="0.34"/>
    <n v="322.0668"/>
    <n v="1932.4"/>
    <x v="2"/>
    <n v="2"/>
    <n v="1.9"/>
  </r>
  <r>
    <n v="884"/>
    <d v="2022-06-02T00:00:00"/>
    <x v="2"/>
    <s v="Q2"/>
    <x v="5"/>
    <n v="6"/>
    <n v="1450"/>
    <x v="3"/>
    <x v="0"/>
    <n v="2"/>
    <n v="538.38"/>
    <n v="0.18"/>
    <n v="441.47159999999997"/>
    <n v="882.94"/>
    <x v="1"/>
    <n v="5"/>
    <n v="4.3"/>
  </r>
  <r>
    <n v="885"/>
    <d v="2022-06-03T00:00:00"/>
    <x v="2"/>
    <s v="Q2"/>
    <x v="5"/>
    <n v="6"/>
    <n v="1172"/>
    <x v="1"/>
    <x v="2"/>
    <n v="4"/>
    <n v="21.8"/>
    <n v="0.28999999999999998"/>
    <n v="15.478000000000002"/>
    <n v="61.91"/>
    <x v="1"/>
    <n v="3"/>
    <n v="1.7"/>
  </r>
  <r>
    <n v="886"/>
    <d v="2022-06-04T00:00:00"/>
    <x v="2"/>
    <s v="Q2"/>
    <x v="5"/>
    <n v="6"/>
    <n v="1652"/>
    <x v="0"/>
    <x v="3"/>
    <n v="5"/>
    <n v="580.04999999999995"/>
    <n v="0.15"/>
    <n v="493.04249999999996"/>
    <n v="2465.21"/>
    <x v="1"/>
    <n v="10"/>
    <n v="2.4"/>
  </r>
  <r>
    <n v="887"/>
    <d v="2022-06-05T00:00:00"/>
    <x v="2"/>
    <s v="Q2"/>
    <x v="5"/>
    <n v="6"/>
    <n v="1753"/>
    <x v="2"/>
    <x v="3"/>
    <n v="6"/>
    <n v="292.02"/>
    <n v="0.15"/>
    <n v="248.21699999999998"/>
    <n v="1489.3"/>
    <x v="2"/>
    <n v="8"/>
    <n v="3.4"/>
  </r>
  <r>
    <n v="888"/>
    <d v="2022-06-06T00:00:00"/>
    <x v="2"/>
    <s v="Q2"/>
    <x v="5"/>
    <n v="6"/>
    <n v="1219"/>
    <x v="1"/>
    <x v="2"/>
    <n v="3"/>
    <n v="481.94"/>
    <n v="0.09"/>
    <n v="438.56540000000001"/>
    <n v="1315.7"/>
    <x v="1"/>
    <n v="10"/>
    <n v="2.6"/>
  </r>
  <r>
    <n v="889"/>
    <d v="2022-06-07T00:00:00"/>
    <x v="2"/>
    <s v="Q2"/>
    <x v="5"/>
    <n v="6"/>
    <n v="1637"/>
    <x v="3"/>
    <x v="1"/>
    <n v="4"/>
    <n v="89.41"/>
    <n v="0.28999999999999998"/>
    <n v="63.481099999999998"/>
    <n v="253.92"/>
    <x v="2"/>
    <n v="10"/>
    <n v="1.3"/>
  </r>
  <r>
    <n v="890"/>
    <d v="2022-06-08T00:00:00"/>
    <x v="2"/>
    <s v="Q2"/>
    <x v="5"/>
    <n v="6"/>
    <n v="1057"/>
    <x v="3"/>
    <x v="2"/>
    <n v="6"/>
    <n v="246.63"/>
    <n v="0.35"/>
    <n v="160.30950000000001"/>
    <n v="961.86"/>
    <x v="2"/>
    <n v="2"/>
    <n v="4.8"/>
  </r>
  <r>
    <n v="891"/>
    <d v="2022-06-09T00:00:00"/>
    <x v="2"/>
    <s v="Q2"/>
    <x v="5"/>
    <n v="6"/>
    <n v="1659"/>
    <x v="1"/>
    <x v="0"/>
    <n v="4"/>
    <n v="173.8"/>
    <n v="0.09"/>
    <n v="158.15800000000002"/>
    <n v="632.63"/>
    <x v="1"/>
    <n v="11"/>
    <n v="2.4"/>
  </r>
  <r>
    <n v="892"/>
    <d v="2022-06-10T00:00:00"/>
    <x v="2"/>
    <s v="Q2"/>
    <x v="5"/>
    <n v="6"/>
    <n v="1475"/>
    <x v="2"/>
    <x v="2"/>
    <n v="6"/>
    <n v="185.62"/>
    <n v="0.02"/>
    <n v="181.9076"/>
    <n v="1091.45"/>
    <x v="1"/>
    <n v="4"/>
    <n v="2.8"/>
  </r>
  <r>
    <n v="893"/>
    <d v="2022-06-11T00:00:00"/>
    <x v="2"/>
    <s v="Q2"/>
    <x v="5"/>
    <n v="6"/>
    <n v="1455"/>
    <x v="2"/>
    <x v="1"/>
    <n v="4"/>
    <n v="87.1"/>
    <n v="0.28999999999999998"/>
    <n v="61.840999999999994"/>
    <n v="247.36"/>
    <x v="1"/>
    <n v="5"/>
    <n v="1.7"/>
  </r>
  <r>
    <n v="894"/>
    <d v="2022-06-12T00:00:00"/>
    <x v="2"/>
    <s v="Q2"/>
    <x v="5"/>
    <n v="6"/>
    <n v="1828"/>
    <x v="1"/>
    <x v="2"/>
    <n v="7"/>
    <n v="486.37"/>
    <n v="0.22"/>
    <n v="379.36860000000001"/>
    <n v="2655.58"/>
    <x v="1"/>
    <n v="4"/>
    <n v="4.5"/>
  </r>
  <r>
    <n v="895"/>
    <d v="2022-06-13T00:00:00"/>
    <x v="2"/>
    <s v="Q2"/>
    <x v="5"/>
    <n v="6"/>
    <n v="1894"/>
    <x v="1"/>
    <x v="0"/>
    <n v="1"/>
    <n v="20.41"/>
    <n v="0.34"/>
    <n v="13.470599999999999"/>
    <n v="13.47"/>
    <x v="2"/>
    <n v="5"/>
    <n v="2.2000000000000002"/>
  </r>
  <r>
    <n v="896"/>
    <d v="2022-06-14T00:00:00"/>
    <x v="2"/>
    <s v="Q2"/>
    <x v="5"/>
    <n v="6"/>
    <n v="1360"/>
    <x v="2"/>
    <x v="0"/>
    <n v="4"/>
    <n v="197.82"/>
    <n v="0.09"/>
    <n v="180.0162"/>
    <n v="720.06"/>
    <x v="2"/>
    <n v="10"/>
    <n v="1.1000000000000001"/>
  </r>
  <r>
    <n v="897"/>
    <d v="2022-06-15T00:00:00"/>
    <x v="2"/>
    <s v="Q2"/>
    <x v="5"/>
    <n v="6"/>
    <n v="1934"/>
    <x v="3"/>
    <x v="1"/>
    <n v="7"/>
    <n v="117.03"/>
    <n v="0.02"/>
    <n v="114.68940000000001"/>
    <n v="802.83"/>
    <x v="2"/>
    <n v="11"/>
    <n v="2.2999999999999998"/>
  </r>
  <r>
    <n v="898"/>
    <d v="2022-06-16T00:00:00"/>
    <x v="2"/>
    <s v="Q2"/>
    <x v="5"/>
    <n v="6"/>
    <n v="1000"/>
    <x v="1"/>
    <x v="0"/>
    <n v="1"/>
    <n v="359.59"/>
    <n v="0.17"/>
    <n v="298.4597"/>
    <n v="298.45999999999998"/>
    <x v="1"/>
    <n v="4"/>
    <n v="4.9000000000000004"/>
  </r>
  <r>
    <n v="899"/>
    <d v="2022-06-17T00:00:00"/>
    <x v="2"/>
    <s v="Q2"/>
    <x v="5"/>
    <n v="6"/>
    <n v="1386"/>
    <x v="3"/>
    <x v="0"/>
    <n v="2"/>
    <n v="163.74"/>
    <n v="0.03"/>
    <n v="158.8278"/>
    <n v="317.66000000000003"/>
    <x v="0"/>
    <n v="3"/>
    <n v="1.6"/>
  </r>
  <r>
    <n v="900"/>
    <d v="2022-06-18T00:00:00"/>
    <x v="2"/>
    <s v="Q2"/>
    <x v="5"/>
    <n v="6"/>
    <n v="1972"/>
    <x v="3"/>
    <x v="2"/>
    <n v="1"/>
    <n v="166.51"/>
    <n v="0.09"/>
    <n v="151.5241"/>
    <n v="151.52000000000001"/>
    <x v="1"/>
    <n v="1"/>
    <n v="1.1000000000000001"/>
  </r>
  <r>
    <n v="901"/>
    <d v="2022-06-19T00:00:00"/>
    <x v="2"/>
    <s v="Q2"/>
    <x v="5"/>
    <n v="6"/>
    <n v="1347"/>
    <x v="2"/>
    <x v="3"/>
    <n v="4"/>
    <n v="300.68"/>
    <n v="0.04"/>
    <n v="288.65280000000001"/>
    <n v="1154.6099999999999"/>
    <x v="1"/>
    <n v="4"/>
    <n v="3.3"/>
  </r>
  <r>
    <n v="902"/>
    <d v="2022-06-20T00:00:00"/>
    <x v="2"/>
    <s v="Q2"/>
    <x v="5"/>
    <n v="6"/>
    <n v="1189"/>
    <x v="2"/>
    <x v="0"/>
    <n v="5"/>
    <n v="396.82"/>
    <n v="0.08"/>
    <n v="365.07439999999997"/>
    <n v="1825.37"/>
    <x v="2"/>
    <n v="9"/>
    <n v="2.5"/>
  </r>
  <r>
    <n v="903"/>
    <d v="2022-06-21T00:00:00"/>
    <x v="2"/>
    <s v="Q2"/>
    <x v="5"/>
    <n v="6"/>
    <n v="1504"/>
    <x v="3"/>
    <x v="0"/>
    <n v="5"/>
    <n v="85.96"/>
    <n v="0.04"/>
    <n v="82.521599999999992"/>
    <n v="412.61"/>
    <x v="0"/>
    <n v="1"/>
    <n v="4.2"/>
  </r>
  <r>
    <n v="904"/>
    <d v="2022-06-22T00:00:00"/>
    <x v="2"/>
    <s v="Q2"/>
    <x v="5"/>
    <n v="6"/>
    <n v="1190"/>
    <x v="1"/>
    <x v="1"/>
    <n v="2"/>
    <n v="117.67"/>
    <n v="0.33"/>
    <n v="78.838899999999995"/>
    <n v="157.68"/>
    <x v="1"/>
    <n v="7"/>
    <n v="3.9"/>
  </r>
  <r>
    <n v="905"/>
    <d v="2022-06-23T00:00:00"/>
    <x v="2"/>
    <s v="Q2"/>
    <x v="5"/>
    <n v="6"/>
    <n v="1507"/>
    <x v="3"/>
    <x v="1"/>
    <n v="4"/>
    <n v="159.6"/>
    <n v="0.1"/>
    <n v="143.63999999999999"/>
    <n v="574.55999999999995"/>
    <x v="2"/>
    <n v="3"/>
    <n v="1.7"/>
  </r>
  <r>
    <n v="906"/>
    <d v="2022-06-24T00:00:00"/>
    <x v="2"/>
    <s v="Q2"/>
    <x v="5"/>
    <n v="6"/>
    <n v="1368"/>
    <x v="3"/>
    <x v="2"/>
    <n v="1"/>
    <n v="584.64"/>
    <n v="0.16"/>
    <n v="491.0976"/>
    <n v="491.1"/>
    <x v="0"/>
    <n v="8"/>
    <n v="3.3"/>
  </r>
  <r>
    <n v="907"/>
    <d v="2022-06-25T00:00:00"/>
    <x v="2"/>
    <s v="Q2"/>
    <x v="5"/>
    <n v="6"/>
    <n v="1408"/>
    <x v="3"/>
    <x v="2"/>
    <n v="5"/>
    <n v="247.33"/>
    <n v="0.31"/>
    <n v="170.65770000000001"/>
    <n v="853.29"/>
    <x v="2"/>
    <n v="6"/>
    <n v="1.1000000000000001"/>
  </r>
  <r>
    <n v="908"/>
    <d v="2022-06-26T00:00:00"/>
    <x v="2"/>
    <s v="Q2"/>
    <x v="5"/>
    <n v="6"/>
    <n v="1823"/>
    <x v="0"/>
    <x v="0"/>
    <n v="6"/>
    <n v="365.41"/>
    <n v="0.24"/>
    <n v="277.71160000000003"/>
    <n v="1666.27"/>
    <x v="1"/>
    <n v="1"/>
    <n v="2.8"/>
  </r>
  <r>
    <n v="909"/>
    <d v="2022-06-27T00:00:00"/>
    <x v="2"/>
    <s v="Q2"/>
    <x v="5"/>
    <n v="6"/>
    <n v="1928"/>
    <x v="1"/>
    <x v="3"/>
    <n v="3"/>
    <n v="156.30000000000001"/>
    <n v="0.22"/>
    <n v="121.91400000000002"/>
    <n v="365.74"/>
    <x v="0"/>
    <n v="10"/>
    <n v="3.9"/>
  </r>
  <r>
    <n v="910"/>
    <d v="2022-06-28T00:00:00"/>
    <x v="2"/>
    <s v="Q2"/>
    <x v="5"/>
    <n v="6"/>
    <n v="1933"/>
    <x v="1"/>
    <x v="3"/>
    <n v="4"/>
    <n v="301.92"/>
    <n v="0.25"/>
    <n v="226.44"/>
    <n v="905.76"/>
    <x v="2"/>
    <n v="5"/>
    <n v="2.7"/>
  </r>
  <r>
    <n v="911"/>
    <d v="2022-06-29T00:00:00"/>
    <x v="2"/>
    <s v="Q2"/>
    <x v="5"/>
    <n v="6"/>
    <n v="1116"/>
    <x v="1"/>
    <x v="2"/>
    <n v="7"/>
    <n v="58.36"/>
    <n v="0.28999999999999998"/>
    <n v="41.435600000000001"/>
    <n v="290.05"/>
    <x v="2"/>
    <n v="8"/>
    <n v="1.5"/>
  </r>
  <r>
    <n v="912"/>
    <d v="2022-06-30T00:00:00"/>
    <x v="2"/>
    <s v="Q2"/>
    <x v="5"/>
    <n v="6"/>
    <n v="1133"/>
    <x v="2"/>
    <x v="1"/>
    <n v="7"/>
    <n v="35.32"/>
    <n v="0.31"/>
    <n v="24.370800000000003"/>
    <n v="170.6"/>
    <x v="2"/>
    <n v="11"/>
    <n v="1.2"/>
  </r>
  <r>
    <n v="913"/>
    <d v="2022-07-01T00:00:00"/>
    <x v="2"/>
    <s v="Q3"/>
    <x v="6"/>
    <n v="7"/>
    <n v="1057"/>
    <x v="1"/>
    <x v="0"/>
    <n v="6"/>
    <n v="289.20999999999998"/>
    <n v="0.22"/>
    <n v="225.5838"/>
    <n v="1353.5"/>
    <x v="0"/>
    <n v="3"/>
    <n v="4.4000000000000004"/>
  </r>
  <r>
    <n v="914"/>
    <d v="2022-07-02T00:00:00"/>
    <x v="2"/>
    <s v="Q3"/>
    <x v="6"/>
    <n v="7"/>
    <n v="1555"/>
    <x v="2"/>
    <x v="0"/>
    <n v="6"/>
    <n v="248.22"/>
    <n v="0.31"/>
    <n v="171.27179999999998"/>
    <n v="1027.6300000000001"/>
    <x v="1"/>
    <n v="4"/>
    <n v="4.5999999999999996"/>
  </r>
  <r>
    <n v="915"/>
    <d v="2022-07-03T00:00:00"/>
    <x v="2"/>
    <s v="Q3"/>
    <x v="6"/>
    <n v="7"/>
    <n v="1684"/>
    <x v="0"/>
    <x v="3"/>
    <n v="4"/>
    <n v="95.07"/>
    <n v="0.19"/>
    <n v="77.006699999999995"/>
    <n v="308.02999999999997"/>
    <x v="1"/>
    <n v="7"/>
    <n v="2.4"/>
  </r>
  <r>
    <n v="916"/>
    <d v="2022-07-04T00:00:00"/>
    <x v="2"/>
    <s v="Q3"/>
    <x v="6"/>
    <n v="7"/>
    <n v="1671"/>
    <x v="1"/>
    <x v="2"/>
    <n v="3"/>
    <n v="417.25"/>
    <n v="0.1"/>
    <n v="375.52499999999998"/>
    <n v="1126.58"/>
    <x v="2"/>
    <n v="11"/>
    <n v="1.7"/>
  </r>
  <r>
    <n v="917"/>
    <d v="2022-07-05T00:00:00"/>
    <x v="2"/>
    <s v="Q3"/>
    <x v="6"/>
    <n v="7"/>
    <n v="1172"/>
    <x v="1"/>
    <x v="3"/>
    <n v="5"/>
    <n v="595.85"/>
    <n v="0.31"/>
    <n v="411.13650000000001"/>
    <n v="2055.6799999999998"/>
    <x v="1"/>
    <n v="6"/>
    <n v="4.9000000000000004"/>
  </r>
  <r>
    <n v="918"/>
    <d v="2022-07-06T00:00:00"/>
    <x v="2"/>
    <s v="Q3"/>
    <x v="6"/>
    <n v="7"/>
    <n v="1828"/>
    <x v="1"/>
    <x v="3"/>
    <n v="3"/>
    <n v="246.45"/>
    <n v="0.19"/>
    <n v="199.62449999999998"/>
    <n v="598.87"/>
    <x v="1"/>
    <n v="7"/>
    <n v="3.2"/>
  </r>
  <r>
    <n v="919"/>
    <d v="2022-07-07T00:00:00"/>
    <x v="2"/>
    <s v="Q3"/>
    <x v="6"/>
    <n v="7"/>
    <n v="1814"/>
    <x v="2"/>
    <x v="2"/>
    <n v="2"/>
    <n v="380.37"/>
    <n v="0.32"/>
    <n v="258.65160000000003"/>
    <n v="517.29999999999995"/>
    <x v="2"/>
    <n v="9"/>
    <n v="2.9"/>
  </r>
  <r>
    <n v="920"/>
    <d v="2022-07-08T00:00:00"/>
    <x v="2"/>
    <s v="Q3"/>
    <x v="6"/>
    <n v="7"/>
    <n v="1148"/>
    <x v="2"/>
    <x v="1"/>
    <n v="1"/>
    <n v="578.34"/>
    <n v="0.01"/>
    <n v="572.5566"/>
    <n v="572.55999999999995"/>
    <x v="1"/>
    <n v="9"/>
    <n v="4"/>
  </r>
  <r>
    <n v="921"/>
    <d v="2022-07-09T00:00:00"/>
    <x v="2"/>
    <s v="Q3"/>
    <x v="6"/>
    <n v="7"/>
    <n v="1079"/>
    <x v="1"/>
    <x v="0"/>
    <n v="1"/>
    <n v="501.45"/>
    <n v="0.14000000000000001"/>
    <n v="431.24699999999996"/>
    <n v="431.25"/>
    <x v="2"/>
    <n v="2"/>
    <n v="1.7"/>
  </r>
  <r>
    <n v="922"/>
    <d v="2022-07-10T00:00:00"/>
    <x v="2"/>
    <s v="Q3"/>
    <x v="6"/>
    <n v="7"/>
    <n v="1885"/>
    <x v="2"/>
    <x v="1"/>
    <n v="6"/>
    <n v="286.18"/>
    <n v="0.33"/>
    <n v="191.7406"/>
    <n v="1150.44"/>
    <x v="0"/>
    <n v="3"/>
    <n v="3.3"/>
  </r>
  <r>
    <n v="923"/>
    <d v="2022-07-11T00:00:00"/>
    <x v="2"/>
    <s v="Q3"/>
    <x v="6"/>
    <n v="7"/>
    <n v="1212"/>
    <x v="1"/>
    <x v="2"/>
    <n v="5"/>
    <n v="446.43"/>
    <n v="0.09"/>
    <n v="406.25130000000001"/>
    <n v="2031.26"/>
    <x v="1"/>
    <n v="4"/>
    <n v="4.5999999999999996"/>
  </r>
  <r>
    <n v="924"/>
    <d v="2022-07-12T00:00:00"/>
    <x v="2"/>
    <s v="Q3"/>
    <x v="6"/>
    <n v="7"/>
    <n v="1202"/>
    <x v="0"/>
    <x v="2"/>
    <n v="3"/>
    <n v="89.96"/>
    <n v="0.33"/>
    <n v="60.273199999999996"/>
    <n v="180.82"/>
    <x v="0"/>
    <n v="6"/>
    <n v="1.1000000000000001"/>
  </r>
  <r>
    <n v="925"/>
    <d v="2022-07-13T00:00:00"/>
    <x v="2"/>
    <s v="Q3"/>
    <x v="6"/>
    <n v="7"/>
    <n v="1763"/>
    <x v="0"/>
    <x v="0"/>
    <n v="6"/>
    <n v="314.58"/>
    <n v="0.33"/>
    <n v="210.76859999999999"/>
    <n v="1264.6099999999999"/>
    <x v="1"/>
    <n v="5"/>
    <n v="3.7"/>
  </r>
  <r>
    <n v="926"/>
    <d v="2022-07-14T00:00:00"/>
    <x v="2"/>
    <s v="Q3"/>
    <x v="6"/>
    <n v="7"/>
    <n v="1228"/>
    <x v="3"/>
    <x v="1"/>
    <n v="4"/>
    <n v="178.25"/>
    <n v="0.31"/>
    <n v="122.99250000000001"/>
    <n v="491.97"/>
    <x v="0"/>
    <n v="6"/>
    <n v="3.2"/>
  </r>
  <r>
    <n v="927"/>
    <d v="2022-07-15T00:00:00"/>
    <x v="2"/>
    <s v="Q3"/>
    <x v="6"/>
    <n v="7"/>
    <n v="1675"/>
    <x v="2"/>
    <x v="0"/>
    <n v="6"/>
    <n v="109.28"/>
    <n v="0.2"/>
    <n v="87.424000000000007"/>
    <n v="524.54"/>
    <x v="0"/>
    <n v="11"/>
    <n v="4.8"/>
  </r>
  <r>
    <n v="928"/>
    <d v="2022-07-16T00:00:00"/>
    <x v="2"/>
    <s v="Q3"/>
    <x v="6"/>
    <n v="7"/>
    <n v="1226"/>
    <x v="0"/>
    <x v="3"/>
    <n v="4"/>
    <n v="264.37"/>
    <n v="0.23"/>
    <n v="203.56489999999999"/>
    <n v="814.26"/>
    <x v="1"/>
    <n v="8"/>
    <n v="2"/>
  </r>
  <r>
    <n v="929"/>
    <d v="2022-07-17T00:00:00"/>
    <x v="2"/>
    <s v="Q3"/>
    <x v="6"/>
    <n v="7"/>
    <n v="1658"/>
    <x v="0"/>
    <x v="3"/>
    <n v="4"/>
    <n v="91.64"/>
    <n v="0.3"/>
    <n v="64.147999999999996"/>
    <n v="256.58999999999997"/>
    <x v="1"/>
    <n v="2"/>
    <n v="4.4000000000000004"/>
  </r>
  <r>
    <n v="930"/>
    <d v="2022-07-18T00:00:00"/>
    <x v="2"/>
    <s v="Q3"/>
    <x v="6"/>
    <n v="7"/>
    <n v="1531"/>
    <x v="2"/>
    <x v="3"/>
    <n v="2"/>
    <n v="423.91"/>
    <n v="0.27"/>
    <n v="309.45429999999999"/>
    <n v="618.91"/>
    <x v="1"/>
    <n v="6"/>
    <n v="2.2000000000000002"/>
  </r>
  <r>
    <n v="931"/>
    <d v="2022-07-19T00:00:00"/>
    <x v="2"/>
    <s v="Q3"/>
    <x v="6"/>
    <n v="7"/>
    <n v="1440"/>
    <x v="3"/>
    <x v="1"/>
    <n v="2"/>
    <n v="281.89999999999998"/>
    <n v="0.22"/>
    <n v="219.88199999999998"/>
    <n v="439.76"/>
    <x v="0"/>
    <n v="9"/>
    <n v="2.7"/>
  </r>
  <r>
    <n v="932"/>
    <d v="2022-07-20T00:00:00"/>
    <x v="2"/>
    <s v="Q3"/>
    <x v="6"/>
    <n v="7"/>
    <n v="1401"/>
    <x v="2"/>
    <x v="3"/>
    <n v="4"/>
    <n v="325.72000000000003"/>
    <n v="0.34"/>
    <n v="214.97520000000003"/>
    <n v="859.9"/>
    <x v="0"/>
    <n v="5"/>
    <n v="1.9"/>
  </r>
  <r>
    <n v="933"/>
    <d v="2022-07-21T00:00:00"/>
    <x v="2"/>
    <s v="Q3"/>
    <x v="6"/>
    <n v="7"/>
    <n v="1046"/>
    <x v="3"/>
    <x v="0"/>
    <n v="5"/>
    <n v="100.63"/>
    <n v="0.24"/>
    <n v="76.478799999999993"/>
    <n v="382.39"/>
    <x v="1"/>
    <n v="1"/>
    <n v="4.5"/>
  </r>
  <r>
    <n v="934"/>
    <d v="2022-07-22T00:00:00"/>
    <x v="2"/>
    <s v="Q3"/>
    <x v="6"/>
    <n v="7"/>
    <n v="1232"/>
    <x v="0"/>
    <x v="1"/>
    <n v="2"/>
    <n v="96.77"/>
    <n v="0.34"/>
    <n v="63.868199999999995"/>
    <n v="127.74"/>
    <x v="2"/>
    <n v="8"/>
    <n v="1.8"/>
  </r>
  <r>
    <n v="935"/>
    <d v="2022-07-23T00:00:00"/>
    <x v="2"/>
    <s v="Q3"/>
    <x v="6"/>
    <n v="7"/>
    <n v="1304"/>
    <x v="2"/>
    <x v="0"/>
    <n v="2"/>
    <n v="356.3"/>
    <n v="0.02"/>
    <n v="349.17400000000004"/>
    <n v="698.35"/>
    <x v="1"/>
    <n v="4"/>
    <n v="4.4000000000000004"/>
  </r>
  <r>
    <n v="936"/>
    <d v="2022-07-24T00:00:00"/>
    <x v="2"/>
    <s v="Q3"/>
    <x v="6"/>
    <n v="7"/>
    <n v="1525"/>
    <x v="0"/>
    <x v="2"/>
    <n v="1"/>
    <n v="591.23"/>
    <n v="0.05"/>
    <n v="561.66849999999999"/>
    <n v="561.66999999999996"/>
    <x v="2"/>
    <n v="8"/>
    <n v="2.8"/>
  </r>
  <r>
    <n v="937"/>
    <d v="2022-07-25T00:00:00"/>
    <x v="2"/>
    <s v="Q3"/>
    <x v="6"/>
    <n v="7"/>
    <n v="1142"/>
    <x v="1"/>
    <x v="1"/>
    <n v="6"/>
    <n v="71.31"/>
    <n v="0.16"/>
    <n v="59.900400000000005"/>
    <n v="359.4"/>
    <x v="0"/>
    <n v="4"/>
    <n v="4.3"/>
  </r>
  <r>
    <n v="938"/>
    <d v="2022-07-26T00:00:00"/>
    <x v="2"/>
    <s v="Q3"/>
    <x v="6"/>
    <n v="7"/>
    <n v="1414"/>
    <x v="0"/>
    <x v="0"/>
    <n v="1"/>
    <n v="182.15"/>
    <n v="0.13"/>
    <n v="158.47050000000002"/>
    <n v="158.47"/>
    <x v="1"/>
    <n v="11"/>
    <n v="2.1"/>
  </r>
  <r>
    <n v="939"/>
    <d v="2022-07-27T00:00:00"/>
    <x v="2"/>
    <s v="Q3"/>
    <x v="6"/>
    <n v="7"/>
    <n v="1512"/>
    <x v="1"/>
    <x v="0"/>
    <n v="5"/>
    <n v="523.63"/>
    <n v="0.27"/>
    <n v="382.24990000000003"/>
    <n v="1911.25"/>
    <x v="0"/>
    <n v="8"/>
    <n v="1.5"/>
  </r>
  <r>
    <n v="940"/>
    <d v="2022-07-28T00:00:00"/>
    <x v="2"/>
    <s v="Q3"/>
    <x v="6"/>
    <n v="7"/>
    <n v="1372"/>
    <x v="3"/>
    <x v="1"/>
    <n v="2"/>
    <n v="57.28"/>
    <n v="0.06"/>
    <n v="53.843200000000003"/>
    <n v="107.69"/>
    <x v="0"/>
    <n v="9"/>
    <n v="3.2"/>
  </r>
  <r>
    <n v="941"/>
    <d v="2022-07-29T00:00:00"/>
    <x v="2"/>
    <s v="Q3"/>
    <x v="6"/>
    <n v="7"/>
    <n v="1565"/>
    <x v="2"/>
    <x v="2"/>
    <n v="7"/>
    <n v="527.39"/>
    <n v="0.34"/>
    <n v="348.07740000000001"/>
    <n v="2436.54"/>
    <x v="0"/>
    <n v="5"/>
    <n v="3"/>
  </r>
  <r>
    <n v="942"/>
    <d v="2022-07-30T00:00:00"/>
    <x v="2"/>
    <s v="Q3"/>
    <x v="6"/>
    <n v="7"/>
    <n v="1885"/>
    <x v="2"/>
    <x v="1"/>
    <n v="2"/>
    <n v="321.70999999999998"/>
    <n v="0.11"/>
    <n v="286.32189999999997"/>
    <n v="572.64"/>
    <x v="1"/>
    <n v="5"/>
    <n v="2.4"/>
  </r>
  <r>
    <n v="943"/>
    <d v="2022-07-31T00:00:00"/>
    <x v="2"/>
    <s v="Q3"/>
    <x v="6"/>
    <n v="7"/>
    <n v="1258"/>
    <x v="2"/>
    <x v="3"/>
    <n v="3"/>
    <n v="253.84"/>
    <n v="0.15"/>
    <n v="215.76400000000001"/>
    <n v="647.29"/>
    <x v="1"/>
    <n v="2"/>
    <n v="3.7"/>
  </r>
  <r>
    <n v="944"/>
    <d v="2022-08-01T00:00:00"/>
    <x v="2"/>
    <s v="Q3"/>
    <x v="7"/>
    <n v="8"/>
    <n v="1655"/>
    <x v="0"/>
    <x v="3"/>
    <n v="5"/>
    <n v="196.16"/>
    <n v="0.1"/>
    <n v="176.54399999999998"/>
    <n v="882.72"/>
    <x v="1"/>
    <n v="9"/>
    <n v="1.4"/>
  </r>
  <r>
    <n v="945"/>
    <d v="2022-08-02T00:00:00"/>
    <x v="2"/>
    <s v="Q3"/>
    <x v="7"/>
    <n v="8"/>
    <n v="1470"/>
    <x v="3"/>
    <x v="2"/>
    <n v="7"/>
    <n v="188.81"/>
    <n v="0.2"/>
    <n v="151.048"/>
    <n v="1057.3399999999999"/>
    <x v="2"/>
    <n v="11"/>
    <n v="3.5"/>
  </r>
  <r>
    <n v="946"/>
    <d v="2022-08-03T00:00:00"/>
    <x v="2"/>
    <s v="Q3"/>
    <x v="7"/>
    <n v="8"/>
    <n v="1952"/>
    <x v="0"/>
    <x v="0"/>
    <n v="6"/>
    <n v="193.89"/>
    <n v="0.02"/>
    <n v="190.01219999999998"/>
    <n v="1140.07"/>
    <x v="2"/>
    <n v="4"/>
    <n v="1.8"/>
  </r>
  <r>
    <n v="947"/>
    <d v="2022-08-04T00:00:00"/>
    <x v="2"/>
    <s v="Q3"/>
    <x v="7"/>
    <n v="8"/>
    <n v="1970"/>
    <x v="0"/>
    <x v="0"/>
    <n v="6"/>
    <n v="532.61"/>
    <n v="0.05"/>
    <n v="505.97950000000003"/>
    <n v="3035.88"/>
    <x v="1"/>
    <n v="3"/>
    <n v="1.5"/>
  </r>
  <r>
    <n v="948"/>
    <d v="2022-08-05T00:00:00"/>
    <x v="2"/>
    <s v="Q3"/>
    <x v="7"/>
    <n v="8"/>
    <n v="1011"/>
    <x v="2"/>
    <x v="0"/>
    <n v="7"/>
    <n v="438.42"/>
    <n v="0.26"/>
    <n v="324.43079999999998"/>
    <n v="2271.02"/>
    <x v="2"/>
    <n v="2"/>
    <n v="4.5999999999999996"/>
  </r>
  <r>
    <n v="949"/>
    <d v="2022-08-06T00:00:00"/>
    <x v="2"/>
    <s v="Q3"/>
    <x v="7"/>
    <n v="8"/>
    <n v="1329"/>
    <x v="1"/>
    <x v="1"/>
    <n v="6"/>
    <n v="406.79"/>
    <n v="7.0000000000000007E-2"/>
    <n v="378.31470000000002"/>
    <n v="2269.89"/>
    <x v="1"/>
    <n v="3"/>
    <n v="2.8"/>
  </r>
  <r>
    <n v="950"/>
    <d v="2022-08-07T00:00:00"/>
    <x v="2"/>
    <s v="Q3"/>
    <x v="7"/>
    <n v="8"/>
    <n v="1735"/>
    <x v="2"/>
    <x v="1"/>
    <n v="7"/>
    <n v="482.27"/>
    <n v="0.08"/>
    <n v="443.6884"/>
    <n v="3105.82"/>
    <x v="1"/>
    <n v="4"/>
    <n v="4.0999999999999996"/>
  </r>
  <r>
    <n v="951"/>
    <d v="2022-08-08T00:00:00"/>
    <x v="2"/>
    <s v="Q3"/>
    <x v="7"/>
    <n v="8"/>
    <n v="1783"/>
    <x v="2"/>
    <x v="2"/>
    <n v="5"/>
    <n v="165.41"/>
    <n v="0.28000000000000003"/>
    <n v="119.09519999999999"/>
    <n v="595.48"/>
    <x v="1"/>
    <n v="9"/>
    <n v="1.4"/>
  </r>
  <r>
    <n v="952"/>
    <d v="2022-08-09T00:00:00"/>
    <x v="2"/>
    <s v="Q3"/>
    <x v="7"/>
    <n v="8"/>
    <n v="1967"/>
    <x v="2"/>
    <x v="3"/>
    <n v="7"/>
    <n v="376.56"/>
    <n v="0.03"/>
    <n v="365.26319999999998"/>
    <n v="2556.84"/>
    <x v="1"/>
    <n v="6"/>
    <n v="1.2"/>
  </r>
  <r>
    <n v="953"/>
    <d v="2022-08-10T00:00:00"/>
    <x v="2"/>
    <s v="Q3"/>
    <x v="7"/>
    <n v="8"/>
    <n v="1357"/>
    <x v="1"/>
    <x v="0"/>
    <n v="7"/>
    <n v="284.14"/>
    <n v="0.15"/>
    <n v="241.51900000000001"/>
    <n v="1690.63"/>
    <x v="1"/>
    <n v="10"/>
    <n v="3"/>
  </r>
  <r>
    <n v="954"/>
    <d v="2022-08-11T00:00:00"/>
    <x v="2"/>
    <s v="Q3"/>
    <x v="7"/>
    <n v="8"/>
    <n v="1971"/>
    <x v="2"/>
    <x v="3"/>
    <n v="3"/>
    <n v="472.73"/>
    <n v="0.01"/>
    <n v="468.0027"/>
    <n v="1404.01"/>
    <x v="1"/>
    <n v="5"/>
    <n v="2.2999999999999998"/>
  </r>
  <r>
    <n v="955"/>
    <d v="2022-08-12T00:00:00"/>
    <x v="2"/>
    <s v="Q3"/>
    <x v="7"/>
    <n v="8"/>
    <n v="1407"/>
    <x v="2"/>
    <x v="1"/>
    <n v="3"/>
    <n v="195.91"/>
    <n v="0.12"/>
    <n v="172.4008"/>
    <n v="517.20000000000005"/>
    <x v="0"/>
    <n v="9"/>
    <n v="1"/>
  </r>
  <r>
    <n v="956"/>
    <d v="2022-08-13T00:00:00"/>
    <x v="2"/>
    <s v="Q3"/>
    <x v="7"/>
    <n v="8"/>
    <n v="1667"/>
    <x v="2"/>
    <x v="1"/>
    <n v="1"/>
    <n v="391.26"/>
    <n v="0.24"/>
    <n v="297.35759999999999"/>
    <n v="297.36"/>
    <x v="2"/>
    <n v="8"/>
    <n v="1.7"/>
  </r>
  <r>
    <n v="957"/>
    <d v="2022-08-14T00:00:00"/>
    <x v="2"/>
    <s v="Q3"/>
    <x v="7"/>
    <n v="8"/>
    <n v="1372"/>
    <x v="2"/>
    <x v="1"/>
    <n v="5"/>
    <n v="531.09"/>
    <n v="0.03"/>
    <n v="515.15730000000008"/>
    <n v="2575.79"/>
    <x v="1"/>
    <n v="6"/>
    <n v="1.9"/>
  </r>
  <r>
    <n v="958"/>
    <d v="2022-08-15T00:00:00"/>
    <x v="2"/>
    <s v="Q3"/>
    <x v="7"/>
    <n v="8"/>
    <n v="1007"/>
    <x v="0"/>
    <x v="3"/>
    <n v="5"/>
    <n v="250.26"/>
    <n v="0.31"/>
    <n v="172.67939999999999"/>
    <n v="863.4"/>
    <x v="2"/>
    <n v="3"/>
    <n v="2.2000000000000002"/>
  </r>
  <r>
    <n v="959"/>
    <d v="2022-08-16T00:00:00"/>
    <x v="2"/>
    <s v="Q3"/>
    <x v="7"/>
    <n v="8"/>
    <n v="1121"/>
    <x v="3"/>
    <x v="2"/>
    <n v="3"/>
    <n v="53.97"/>
    <n v="0.32"/>
    <n v="36.699600000000004"/>
    <n v="110.1"/>
    <x v="2"/>
    <n v="7"/>
    <n v="4.5"/>
  </r>
  <r>
    <n v="960"/>
    <d v="2022-08-17T00:00:00"/>
    <x v="2"/>
    <s v="Q3"/>
    <x v="7"/>
    <n v="8"/>
    <n v="1347"/>
    <x v="0"/>
    <x v="2"/>
    <n v="4"/>
    <n v="316.89"/>
    <n v="0.04"/>
    <n v="304.21440000000001"/>
    <n v="1216.8599999999999"/>
    <x v="1"/>
    <n v="10"/>
    <n v="2.7"/>
  </r>
  <r>
    <n v="961"/>
    <d v="2022-08-18T00:00:00"/>
    <x v="2"/>
    <s v="Q3"/>
    <x v="7"/>
    <n v="8"/>
    <n v="1675"/>
    <x v="1"/>
    <x v="1"/>
    <n v="4"/>
    <n v="217.39"/>
    <n v="0.35"/>
    <n v="141.30349999999999"/>
    <n v="565.21"/>
    <x v="2"/>
    <n v="6"/>
    <n v="3.7"/>
  </r>
  <r>
    <n v="962"/>
    <d v="2022-08-19T00:00:00"/>
    <x v="2"/>
    <s v="Q3"/>
    <x v="7"/>
    <n v="8"/>
    <n v="1089"/>
    <x v="2"/>
    <x v="0"/>
    <n v="1"/>
    <n v="408.25"/>
    <n v="0.1"/>
    <n v="367.42500000000001"/>
    <n v="367.42"/>
    <x v="2"/>
    <n v="11"/>
    <n v="1.1000000000000001"/>
  </r>
  <r>
    <n v="963"/>
    <d v="2022-08-20T00:00:00"/>
    <x v="2"/>
    <s v="Q3"/>
    <x v="7"/>
    <n v="8"/>
    <n v="1647"/>
    <x v="3"/>
    <x v="3"/>
    <n v="4"/>
    <n v="571.35"/>
    <n v="0.03"/>
    <n v="554.20950000000005"/>
    <n v="2216.84"/>
    <x v="2"/>
    <n v="8"/>
    <n v="4.3"/>
  </r>
  <r>
    <n v="964"/>
    <d v="2022-08-21T00:00:00"/>
    <x v="2"/>
    <s v="Q3"/>
    <x v="7"/>
    <n v="8"/>
    <n v="1697"/>
    <x v="2"/>
    <x v="1"/>
    <n v="4"/>
    <n v="299.08"/>
    <n v="0"/>
    <n v="299.08"/>
    <n v="1196.32"/>
    <x v="2"/>
    <n v="6"/>
    <n v="2"/>
  </r>
  <r>
    <n v="965"/>
    <d v="2022-08-22T00:00:00"/>
    <x v="2"/>
    <s v="Q3"/>
    <x v="7"/>
    <n v="8"/>
    <n v="1315"/>
    <x v="2"/>
    <x v="3"/>
    <n v="4"/>
    <n v="287.72000000000003"/>
    <n v="0.14000000000000001"/>
    <n v="247.43920000000003"/>
    <n v="989.76"/>
    <x v="2"/>
    <n v="11"/>
    <n v="2.2000000000000002"/>
  </r>
  <r>
    <n v="966"/>
    <d v="2022-08-23T00:00:00"/>
    <x v="2"/>
    <s v="Q3"/>
    <x v="7"/>
    <n v="8"/>
    <n v="1177"/>
    <x v="2"/>
    <x v="3"/>
    <n v="2"/>
    <n v="397.93"/>
    <n v="0.22"/>
    <n v="310.3854"/>
    <n v="620.77"/>
    <x v="1"/>
    <n v="10"/>
    <n v="1.2"/>
  </r>
  <r>
    <n v="967"/>
    <d v="2022-08-24T00:00:00"/>
    <x v="2"/>
    <s v="Q3"/>
    <x v="7"/>
    <n v="8"/>
    <n v="1539"/>
    <x v="2"/>
    <x v="2"/>
    <n v="1"/>
    <n v="75.55"/>
    <n v="0.12"/>
    <n v="66.483999999999995"/>
    <n v="66.48"/>
    <x v="0"/>
    <n v="4"/>
    <n v="2.6"/>
  </r>
  <r>
    <n v="968"/>
    <d v="2022-08-25T00:00:00"/>
    <x v="2"/>
    <s v="Q3"/>
    <x v="7"/>
    <n v="8"/>
    <n v="1731"/>
    <x v="2"/>
    <x v="1"/>
    <n v="3"/>
    <n v="163.30000000000001"/>
    <n v="0.28999999999999998"/>
    <n v="115.94300000000001"/>
    <n v="347.83"/>
    <x v="1"/>
    <n v="10"/>
    <n v="4.4000000000000004"/>
  </r>
  <r>
    <n v="969"/>
    <d v="2022-08-26T00:00:00"/>
    <x v="2"/>
    <s v="Q3"/>
    <x v="7"/>
    <n v="8"/>
    <n v="1868"/>
    <x v="1"/>
    <x v="2"/>
    <n v="4"/>
    <n v="552.6"/>
    <n v="0.25"/>
    <n v="414.45000000000005"/>
    <n v="1657.8"/>
    <x v="0"/>
    <n v="7"/>
    <n v="2.5"/>
  </r>
  <r>
    <n v="970"/>
    <d v="2022-08-27T00:00:00"/>
    <x v="2"/>
    <s v="Q3"/>
    <x v="7"/>
    <n v="8"/>
    <n v="1040"/>
    <x v="3"/>
    <x v="1"/>
    <n v="6"/>
    <n v="406.92"/>
    <n v="0.12"/>
    <n v="358.08960000000002"/>
    <n v="2148.54"/>
    <x v="1"/>
    <n v="7"/>
    <n v="4.5999999999999996"/>
  </r>
  <r>
    <n v="971"/>
    <d v="2022-08-28T00:00:00"/>
    <x v="2"/>
    <s v="Q3"/>
    <x v="7"/>
    <n v="8"/>
    <n v="1739"/>
    <x v="2"/>
    <x v="3"/>
    <n v="7"/>
    <n v="22.86"/>
    <n v="0.26"/>
    <n v="16.916399999999999"/>
    <n v="118.41"/>
    <x v="1"/>
    <n v="11"/>
    <n v="4.5"/>
  </r>
  <r>
    <n v="972"/>
    <d v="2022-08-29T00:00:00"/>
    <x v="2"/>
    <s v="Q3"/>
    <x v="7"/>
    <n v="8"/>
    <n v="1703"/>
    <x v="2"/>
    <x v="2"/>
    <n v="2"/>
    <n v="134.71"/>
    <n v="0.33"/>
    <n v="90.255700000000004"/>
    <n v="180.51"/>
    <x v="2"/>
    <n v="8"/>
    <n v="1.2"/>
  </r>
  <r>
    <n v="973"/>
    <d v="2022-08-30T00:00:00"/>
    <x v="2"/>
    <s v="Q3"/>
    <x v="7"/>
    <n v="8"/>
    <n v="1922"/>
    <x v="3"/>
    <x v="3"/>
    <n v="4"/>
    <n v="414.46"/>
    <n v="0.03"/>
    <n v="402.02619999999996"/>
    <n v="1608.1"/>
    <x v="1"/>
    <n v="2"/>
    <n v="2.2000000000000002"/>
  </r>
  <r>
    <n v="974"/>
    <d v="2022-08-31T00:00:00"/>
    <x v="2"/>
    <s v="Q3"/>
    <x v="7"/>
    <n v="8"/>
    <n v="1501"/>
    <x v="2"/>
    <x v="1"/>
    <n v="7"/>
    <n v="462.17"/>
    <n v="0.11"/>
    <n v="411.3313"/>
    <n v="2879.32"/>
    <x v="0"/>
    <n v="11"/>
    <n v="4.5999999999999996"/>
  </r>
  <r>
    <n v="975"/>
    <d v="2022-09-01T00:00:00"/>
    <x v="2"/>
    <s v="Q3"/>
    <x v="8"/>
    <n v="9"/>
    <n v="1958"/>
    <x v="2"/>
    <x v="0"/>
    <n v="7"/>
    <n v="506.32"/>
    <n v="0.16"/>
    <n v="425.30880000000002"/>
    <n v="2977.16"/>
    <x v="1"/>
    <n v="6"/>
    <n v="1.1000000000000001"/>
  </r>
  <r>
    <n v="976"/>
    <d v="2022-09-02T00:00:00"/>
    <x v="2"/>
    <s v="Q3"/>
    <x v="8"/>
    <n v="9"/>
    <n v="1144"/>
    <x v="0"/>
    <x v="2"/>
    <n v="2"/>
    <n v="185.92"/>
    <n v="0.17"/>
    <n v="154.31359999999998"/>
    <n v="308.63"/>
    <x v="2"/>
    <n v="3"/>
    <n v="4.0999999999999996"/>
  </r>
  <r>
    <n v="977"/>
    <d v="2022-09-03T00:00:00"/>
    <x v="2"/>
    <s v="Q3"/>
    <x v="8"/>
    <n v="9"/>
    <n v="1200"/>
    <x v="2"/>
    <x v="2"/>
    <n v="1"/>
    <n v="559.65"/>
    <n v="0.19"/>
    <n v="453.31649999999996"/>
    <n v="453.32"/>
    <x v="1"/>
    <n v="8"/>
    <n v="4.5999999999999996"/>
  </r>
  <r>
    <n v="978"/>
    <d v="2022-09-04T00:00:00"/>
    <x v="2"/>
    <s v="Q3"/>
    <x v="8"/>
    <n v="9"/>
    <n v="1928"/>
    <x v="2"/>
    <x v="3"/>
    <n v="6"/>
    <n v="338.47"/>
    <n v="0.11"/>
    <n v="301.23830000000004"/>
    <n v="1807.43"/>
    <x v="1"/>
    <n v="4"/>
    <n v="4.0999999999999996"/>
  </r>
  <r>
    <n v="979"/>
    <d v="2022-09-05T00:00:00"/>
    <x v="2"/>
    <s v="Q3"/>
    <x v="8"/>
    <n v="9"/>
    <n v="1723"/>
    <x v="1"/>
    <x v="3"/>
    <n v="6"/>
    <n v="422.48"/>
    <n v="0.23"/>
    <n v="325.30959999999999"/>
    <n v="1951.86"/>
    <x v="1"/>
    <n v="4"/>
    <n v="4"/>
  </r>
  <r>
    <n v="980"/>
    <d v="2022-09-06T00:00:00"/>
    <x v="2"/>
    <s v="Q3"/>
    <x v="8"/>
    <n v="9"/>
    <n v="1460"/>
    <x v="2"/>
    <x v="0"/>
    <n v="6"/>
    <n v="364.09"/>
    <n v="0.23"/>
    <n v="280.34929999999997"/>
    <n v="1682.1"/>
    <x v="2"/>
    <n v="2"/>
    <n v="4.4000000000000004"/>
  </r>
  <r>
    <n v="981"/>
    <d v="2022-09-07T00:00:00"/>
    <x v="2"/>
    <s v="Q3"/>
    <x v="8"/>
    <n v="9"/>
    <n v="1731"/>
    <x v="1"/>
    <x v="2"/>
    <n v="4"/>
    <n v="86.8"/>
    <n v="0.2"/>
    <n v="69.44"/>
    <n v="277.76"/>
    <x v="2"/>
    <n v="6"/>
    <n v="3.7"/>
  </r>
  <r>
    <n v="982"/>
    <d v="2022-09-08T00:00:00"/>
    <x v="2"/>
    <s v="Q3"/>
    <x v="8"/>
    <n v="9"/>
    <n v="1751"/>
    <x v="3"/>
    <x v="1"/>
    <n v="2"/>
    <n v="578.41999999999996"/>
    <n v="0.04"/>
    <n v="555.28319999999997"/>
    <n v="1110.57"/>
    <x v="2"/>
    <n v="6"/>
    <n v="2.7"/>
  </r>
  <r>
    <n v="983"/>
    <d v="2022-09-09T00:00:00"/>
    <x v="2"/>
    <s v="Q3"/>
    <x v="8"/>
    <n v="9"/>
    <n v="1924"/>
    <x v="2"/>
    <x v="1"/>
    <n v="6"/>
    <n v="86.88"/>
    <n v="0.17"/>
    <n v="72.110399999999998"/>
    <n v="432.66"/>
    <x v="0"/>
    <n v="1"/>
    <n v="1.3"/>
  </r>
  <r>
    <n v="984"/>
    <d v="2022-09-10T00:00:00"/>
    <x v="2"/>
    <s v="Q3"/>
    <x v="8"/>
    <n v="9"/>
    <n v="1908"/>
    <x v="1"/>
    <x v="2"/>
    <n v="7"/>
    <n v="164.11"/>
    <n v="0.12"/>
    <n v="144.41680000000002"/>
    <n v="1010.92"/>
    <x v="2"/>
    <n v="8"/>
    <n v="4.2"/>
  </r>
  <r>
    <n v="985"/>
    <d v="2022-09-11T00:00:00"/>
    <x v="2"/>
    <s v="Q3"/>
    <x v="8"/>
    <n v="9"/>
    <n v="1557"/>
    <x v="1"/>
    <x v="2"/>
    <n v="7"/>
    <n v="490.97"/>
    <n v="0.17"/>
    <n v="407.50510000000003"/>
    <n v="2852.54"/>
    <x v="0"/>
    <n v="3"/>
    <n v="4.5999999999999996"/>
  </r>
  <r>
    <n v="986"/>
    <d v="2022-09-12T00:00:00"/>
    <x v="2"/>
    <s v="Q3"/>
    <x v="8"/>
    <n v="9"/>
    <n v="1546"/>
    <x v="2"/>
    <x v="2"/>
    <n v="5"/>
    <n v="376.88"/>
    <n v="0.32"/>
    <n v="256.27839999999998"/>
    <n v="1281.3900000000001"/>
    <x v="1"/>
    <n v="1"/>
    <n v="3"/>
  </r>
  <r>
    <n v="987"/>
    <d v="2022-09-13T00:00:00"/>
    <x v="2"/>
    <s v="Q3"/>
    <x v="8"/>
    <n v="9"/>
    <n v="1252"/>
    <x v="1"/>
    <x v="0"/>
    <n v="5"/>
    <n v="505.32"/>
    <n v="0.17"/>
    <n v="419.41559999999998"/>
    <n v="2097.08"/>
    <x v="1"/>
    <n v="10"/>
    <n v="3.1"/>
  </r>
  <r>
    <n v="988"/>
    <d v="2022-09-14T00:00:00"/>
    <x v="2"/>
    <s v="Q3"/>
    <x v="8"/>
    <n v="9"/>
    <n v="1389"/>
    <x v="2"/>
    <x v="1"/>
    <n v="2"/>
    <n v="316.70999999999998"/>
    <n v="0"/>
    <n v="316.70999999999998"/>
    <n v="633.41999999999996"/>
    <x v="1"/>
    <n v="1"/>
    <n v="2.6"/>
  </r>
  <r>
    <n v="989"/>
    <d v="2022-09-15T00:00:00"/>
    <x v="2"/>
    <s v="Q3"/>
    <x v="8"/>
    <n v="9"/>
    <n v="1593"/>
    <x v="1"/>
    <x v="1"/>
    <n v="4"/>
    <n v="235.54"/>
    <n v="0.15"/>
    <n v="200.209"/>
    <n v="800.84"/>
    <x v="1"/>
    <n v="1"/>
    <n v="4.4000000000000004"/>
  </r>
  <r>
    <n v="990"/>
    <d v="2022-09-16T00:00:00"/>
    <x v="2"/>
    <s v="Q3"/>
    <x v="8"/>
    <n v="9"/>
    <n v="1882"/>
    <x v="2"/>
    <x v="3"/>
    <n v="4"/>
    <n v="554.28"/>
    <n v="0.28999999999999998"/>
    <n v="393.53879999999998"/>
    <n v="1574.16"/>
    <x v="2"/>
    <n v="5"/>
    <n v="1.1000000000000001"/>
  </r>
  <r>
    <n v="991"/>
    <d v="2022-09-17T00:00:00"/>
    <x v="2"/>
    <s v="Q3"/>
    <x v="8"/>
    <n v="9"/>
    <n v="1255"/>
    <x v="1"/>
    <x v="3"/>
    <n v="1"/>
    <n v="36.21"/>
    <n v="0.27"/>
    <n v="26.433299999999999"/>
    <n v="26.43"/>
    <x v="2"/>
    <n v="5"/>
    <n v="3.5"/>
  </r>
  <r>
    <n v="992"/>
    <d v="2022-09-18T00:00:00"/>
    <x v="2"/>
    <s v="Q3"/>
    <x v="8"/>
    <n v="9"/>
    <n v="1708"/>
    <x v="2"/>
    <x v="2"/>
    <n v="1"/>
    <n v="515.84"/>
    <n v="0.18"/>
    <n v="422.98880000000003"/>
    <n v="422.99"/>
    <x v="2"/>
    <n v="1"/>
    <n v="4.5999999999999996"/>
  </r>
  <r>
    <n v="993"/>
    <d v="2022-09-19T00:00:00"/>
    <x v="2"/>
    <s v="Q3"/>
    <x v="8"/>
    <n v="9"/>
    <n v="1814"/>
    <x v="3"/>
    <x v="3"/>
    <n v="6"/>
    <n v="150.03"/>
    <n v="0.09"/>
    <n v="136.5273"/>
    <n v="819.16"/>
    <x v="2"/>
    <n v="5"/>
    <n v="1.4"/>
  </r>
  <r>
    <n v="994"/>
    <d v="2022-09-20T00:00:00"/>
    <x v="2"/>
    <s v="Q3"/>
    <x v="8"/>
    <n v="9"/>
    <n v="1920"/>
    <x v="2"/>
    <x v="0"/>
    <n v="3"/>
    <n v="511.51"/>
    <n v="0.16"/>
    <n v="429.66840000000002"/>
    <n v="1289.01"/>
    <x v="0"/>
    <n v="7"/>
    <n v="4.8"/>
  </r>
  <r>
    <n v="995"/>
    <d v="2022-09-21T00:00:00"/>
    <x v="2"/>
    <s v="Q3"/>
    <x v="8"/>
    <n v="9"/>
    <n v="1449"/>
    <x v="1"/>
    <x v="1"/>
    <n v="7"/>
    <n v="96.43"/>
    <n v="0.2"/>
    <n v="77.144000000000005"/>
    <n v="540.01"/>
    <x v="0"/>
    <n v="5"/>
    <n v="4.9000000000000004"/>
  </r>
  <r>
    <n v="996"/>
    <d v="2022-09-22T00:00:00"/>
    <x v="2"/>
    <s v="Q3"/>
    <x v="8"/>
    <n v="9"/>
    <n v="1009"/>
    <x v="1"/>
    <x v="1"/>
    <n v="1"/>
    <n v="354.43"/>
    <n v="0.35"/>
    <n v="230.37950000000001"/>
    <n v="230.38"/>
    <x v="1"/>
    <n v="9"/>
    <n v="4.7"/>
  </r>
  <r>
    <n v="997"/>
    <d v="2022-09-23T00:00:00"/>
    <x v="2"/>
    <s v="Q3"/>
    <x v="8"/>
    <n v="9"/>
    <n v="1823"/>
    <x v="3"/>
    <x v="3"/>
    <n v="4"/>
    <n v="534.54"/>
    <n v="0.23"/>
    <n v="411.59579999999994"/>
    <n v="1646.38"/>
    <x v="1"/>
    <n v="4"/>
    <n v="2.9"/>
  </r>
  <r>
    <n v="998"/>
    <d v="2022-09-24T00:00:00"/>
    <x v="2"/>
    <s v="Q3"/>
    <x v="8"/>
    <n v="9"/>
    <n v="1797"/>
    <x v="1"/>
    <x v="2"/>
    <n v="7"/>
    <n v="292.02"/>
    <n v="0.24"/>
    <n v="221.93520000000001"/>
    <n v="1553.55"/>
    <x v="1"/>
    <n v="9"/>
    <n v="2.5"/>
  </r>
  <r>
    <n v="999"/>
    <d v="2022-09-25T00:00:00"/>
    <x v="2"/>
    <s v="Q3"/>
    <x v="8"/>
    <n v="9"/>
    <n v="1241"/>
    <x v="3"/>
    <x v="3"/>
    <n v="3"/>
    <n v="451.74"/>
    <n v="0.17"/>
    <n v="374.94420000000002"/>
    <n v="1124.83"/>
    <x v="1"/>
    <n v="8"/>
    <n v="3.8"/>
  </r>
  <r>
    <n v="1000"/>
    <d v="2022-09-26T00:00:00"/>
    <x v="2"/>
    <s v="Q3"/>
    <x v="8"/>
    <n v="9"/>
    <n v="1250"/>
    <x v="3"/>
    <x v="2"/>
    <n v="1"/>
    <n v="485.73"/>
    <n v="0.12"/>
    <n v="427.44240000000002"/>
    <n v="427.44"/>
    <x v="2"/>
    <n v="1"/>
    <n v="2.2999999999999998"/>
  </r>
  <r>
    <n v="1001"/>
    <d v="2022-09-27T00:00:00"/>
    <x v="2"/>
    <s v="Q3"/>
    <x v="8"/>
    <n v="9"/>
    <n v="1876"/>
    <x v="0"/>
    <x v="0"/>
    <n v="2"/>
    <n v="445.85"/>
    <n v="0.28000000000000003"/>
    <n v="321.012"/>
    <n v="642.02"/>
    <x v="2"/>
    <n v="4"/>
    <n v="1.3"/>
  </r>
  <r>
    <n v="1002"/>
    <d v="2022-09-28T00:00:00"/>
    <x v="2"/>
    <s v="Q3"/>
    <x v="8"/>
    <n v="9"/>
    <n v="1004"/>
    <x v="2"/>
    <x v="1"/>
    <n v="5"/>
    <n v="556.32000000000005"/>
    <n v="0.17"/>
    <n v="461.74560000000002"/>
    <n v="2308.73"/>
    <x v="1"/>
    <n v="7"/>
    <n v="4.5999999999999996"/>
  </r>
  <r>
    <n v="1003"/>
    <d v="2022-09-29T00:00:00"/>
    <x v="2"/>
    <s v="Q3"/>
    <x v="8"/>
    <n v="9"/>
    <n v="1118"/>
    <x v="1"/>
    <x v="0"/>
    <n v="1"/>
    <n v="276.39999999999998"/>
    <n v="0.35"/>
    <n v="179.66"/>
    <n v="179.66"/>
    <x v="2"/>
    <n v="1"/>
    <n v="3.5"/>
  </r>
  <r>
    <n v="1004"/>
    <d v="2022-09-30T00:00:00"/>
    <x v="2"/>
    <s v="Q3"/>
    <x v="8"/>
    <n v="9"/>
    <n v="1800"/>
    <x v="3"/>
    <x v="1"/>
    <n v="1"/>
    <n v="116.28"/>
    <n v="0.16"/>
    <n v="97.675200000000004"/>
    <n v="97.68"/>
    <x v="2"/>
    <n v="8"/>
    <n v="1.8"/>
  </r>
  <r>
    <n v="1005"/>
    <d v="2022-10-01T00:00:00"/>
    <x v="2"/>
    <s v="Q4"/>
    <x v="9"/>
    <n v="10"/>
    <n v="1373"/>
    <x v="0"/>
    <x v="0"/>
    <n v="2"/>
    <n v="42.97"/>
    <n v="0.02"/>
    <n v="42.110599999999998"/>
    <n v="84.22"/>
    <x v="1"/>
    <n v="11"/>
    <n v="1.1000000000000001"/>
  </r>
  <r>
    <n v="1006"/>
    <d v="2022-10-02T00:00:00"/>
    <x v="2"/>
    <s v="Q4"/>
    <x v="9"/>
    <n v="10"/>
    <n v="1064"/>
    <x v="0"/>
    <x v="3"/>
    <n v="4"/>
    <n v="159.18"/>
    <n v="0.24"/>
    <n v="120.9768"/>
    <n v="483.91"/>
    <x v="1"/>
    <n v="2"/>
    <n v="3.9"/>
  </r>
  <r>
    <n v="1007"/>
    <d v="2022-10-03T00:00:00"/>
    <x v="2"/>
    <s v="Q4"/>
    <x v="9"/>
    <n v="10"/>
    <n v="1145"/>
    <x v="1"/>
    <x v="0"/>
    <n v="6"/>
    <n v="98.77"/>
    <n v="0.02"/>
    <n v="96.794600000000003"/>
    <n v="580.77"/>
    <x v="0"/>
    <n v="8"/>
    <n v="4.4000000000000004"/>
  </r>
  <r>
    <n v="1008"/>
    <d v="2022-10-04T00:00:00"/>
    <x v="2"/>
    <s v="Q4"/>
    <x v="9"/>
    <n v="10"/>
    <n v="1223"/>
    <x v="2"/>
    <x v="0"/>
    <n v="2"/>
    <n v="341.4"/>
    <n v="0.09"/>
    <n v="310.67399999999998"/>
    <n v="621.35"/>
    <x v="2"/>
    <n v="11"/>
    <n v="2.6"/>
  </r>
  <r>
    <n v="1009"/>
    <d v="2022-10-05T00:00:00"/>
    <x v="2"/>
    <s v="Q4"/>
    <x v="9"/>
    <n v="10"/>
    <n v="1238"/>
    <x v="1"/>
    <x v="3"/>
    <n v="6"/>
    <n v="123.19"/>
    <n v="0.12"/>
    <n v="108.4072"/>
    <n v="650.44000000000005"/>
    <x v="1"/>
    <n v="4"/>
    <n v="1.3"/>
  </r>
  <r>
    <n v="1010"/>
    <d v="2022-10-06T00:00:00"/>
    <x v="2"/>
    <s v="Q4"/>
    <x v="9"/>
    <n v="10"/>
    <n v="1176"/>
    <x v="3"/>
    <x v="1"/>
    <n v="1"/>
    <n v="37.78"/>
    <n v="0.26"/>
    <n v="27.9572"/>
    <n v="27.96"/>
    <x v="1"/>
    <n v="8"/>
    <n v="3.6"/>
  </r>
  <r>
    <n v="1011"/>
    <d v="2022-10-07T00:00:00"/>
    <x v="2"/>
    <s v="Q4"/>
    <x v="9"/>
    <n v="10"/>
    <n v="1778"/>
    <x v="1"/>
    <x v="1"/>
    <n v="4"/>
    <n v="36.049999999999997"/>
    <n v="0.17"/>
    <n v="29.921499999999998"/>
    <n v="119.69"/>
    <x v="1"/>
    <n v="1"/>
    <n v="2.2000000000000002"/>
  </r>
  <r>
    <n v="1012"/>
    <d v="2022-10-08T00:00:00"/>
    <x v="2"/>
    <s v="Q4"/>
    <x v="9"/>
    <n v="10"/>
    <n v="1852"/>
    <x v="1"/>
    <x v="3"/>
    <n v="3"/>
    <n v="501.47"/>
    <n v="0.01"/>
    <n v="496.45530000000002"/>
    <n v="1489.37"/>
    <x v="1"/>
    <n v="5"/>
    <n v="1.6"/>
  </r>
  <r>
    <n v="1013"/>
    <d v="2022-10-09T00:00:00"/>
    <x v="2"/>
    <s v="Q4"/>
    <x v="9"/>
    <n v="10"/>
    <n v="1281"/>
    <x v="3"/>
    <x v="0"/>
    <n v="1"/>
    <n v="361"/>
    <n v="0.22"/>
    <n v="281.58"/>
    <n v="281.58"/>
    <x v="0"/>
    <n v="9"/>
    <n v="3"/>
  </r>
  <r>
    <n v="1014"/>
    <d v="2022-10-10T00:00:00"/>
    <x v="2"/>
    <s v="Q4"/>
    <x v="9"/>
    <n v="10"/>
    <n v="1062"/>
    <x v="1"/>
    <x v="0"/>
    <n v="2"/>
    <n v="224.48"/>
    <n v="0.14000000000000001"/>
    <n v="193.05279999999999"/>
    <n v="386.11"/>
    <x v="1"/>
    <n v="7"/>
    <n v="2.9"/>
  </r>
  <r>
    <n v="1015"/>
    <d v="2022-10-11T00:00:00"/>
    <x v="2"/>
    <s v="Q4"/>
    <x v="9"/>
    <n v="10"/>
    <n v="1216"/>
    <x v="0"/>
    <x v="0"/>
    <n v="3"/>
    <n v="538.12"/>
    <n v="0.32"/>
    <n v="365.92160000000001"/>
    <n v="1097.76"/>
    <x v="1"/>
    <n v="3"/>
    <n v="3.1"/>
  </r>
  <r>
    <n v="1016"/>
    <d v="2022-10-12T00:00:00"/>
    <x v="2"/>
    <s v="Q4"/>
    <x v="9"/>
    <n v="10"/>
    <n v="1853"/>
    <x v="1"/>
    <x v="2"/>
    <n v="5"/>
    <n v="56.07"/>
    <n v="0.17"/>
    <n v="46.5381"/>
    <n v="232.69"/>
    <x v="1"/>
    <n v="4"/>
    <n v="4.3"/>
  </r>
  <r>
    <n v="1017"/>
    <d v="2022-10-13T00:00:00"/>
    <x v="2"/>
    <s v="Q4"/>
    <x v="9"/>
    <n v="10"/>
    <n v="1826"/>
    <x v="2"/>
    <x v="1"/>
    <n v="3"/>
    <n v="588.49"/>
    <n v="0.25"/>
    <n v="441.36750000000001"/>
    <n v="1324.1"/>
    <x v="2"/>
    <n v="10"/>
    <n v="2.9"/>
  </r>
  <r>
    <n v="1018"/>
    <d v="2022-10-14T00:00:00"/>
    <x v="2"/>
    <s v="Q4"/>
    <x v="9"/>
    <n v="10"/>
    <n v="1794"/>
    <x v="1"/>
    <x v="0"/>
    <n v="2"/>
    <n v="375.53"/>
    <n v="0.08"/>
    <n v="345.48759999999999"/>
    <n v="690.98"/>
    <x v="1"/>
    <n v="7"/>
    <n v="4.5999999999999996"/>
  </r>
  <r>
    <n v="1019"/>
    <d v="2022-10-15T00:00:00"/>
    <x v="2"/>
    <s v="Q4"/>
    <x v="9"/>
    <n v="10"/>
    <n v="1688"/>
    <x v="3"/>
    <x v="1"/>
    <n v="7"/>
    <n v="122.33"/>
    <n v="0.27"/>
    <n v="89.300899999999999"/>
    <n v="625.11"/>
    <x v="1"/>
    <n v="6"/>
    <n v="4.4000000000000004"/>
  </r>
  <r>
    <n v="1020"/>
    <d v="2022-10-16T00:00:00"/>
    <x v="2"/>
    <s v="Q4"/>
    <x v="9"/>
    <n v="10"/>
    <n v="1460"/>
    <x v="2"/>
    <x v="0"/>
    <n v="3"/>
    <n v="412.26"/>
    <n v="0.25"/>
    <n v="309.19499999999999"/>
    <n v="927.58"/>
    <x v="2"/>
    <n v="4"/>
    <n v="3.6"/>
  </r>
  <r>
    <n v="1021"/>
    <d v="2022-10-17T00:00:00"/>
    <x v="2"/>
    <s v="Q4"/>
    <x v="9"/>
    <n v="10"/>
    <n v="1928"/>
    <x v="2"/>
    <x v="3"/>
    <n v="2"/>
    <n v="461.58"/>
    <n v="0.32"/>
    <n v="313.87439999999998"/>
    <n v="627.75"/>
    <x v="1"/>
    <n v="3"/>
    <n v="1.2"/>
  </r>
  <r>
    <n v="1022"/>
    <d v="2022-10-18T00:00:00"/>
    <x v="2"/>
    <s v="Q4"/>
    <x v="9"/>
    <n v="10"/>
    <n v="1609"/>
    <x v="0"/>
    <x v="3"/>
    <n v="7"/>
    <n v="266.17"/>
    <n v="0.01"/>
    <n v="263.50830000000002"/>
    <n v="1844.56"/>
    <x v="1"/>
    <n v="11"/>
    <n v="4.5"/>
  </r>
  <r>
    <n v="1023"/>
    <d v="2022-10-19T00:00:00"/>
    <x v="2"/>
    <s v="Q4"/>
    <x v="9"/>
    <n v="10"/>
    <n v="1104"/>
    <x v="2"/>
    <x v="1"/>
    <n v="1"/>
    <n v="519.05999999999995"/>
    <n v="0.16"/>
    <n v="436.01039999999995"/>
    <n v="436.01"/>
    <x v="1"/>
    <n v="2"/>
    <n v="4.5999999999999996"/>
  </r>
  <r>
    <n v="1024"/>
    <d v="2022-10-20T00:00:00"/>
    <x v="2"/>
    <s v="Q4"/>
    <x v="9"/>
    <n v="10"/>
    <n v="1098"/>
    <x v="1"/>
    <x v="1"/>
    <n v="7"/>
    <n v="103.18"/>
    <n v="0.24"/>
    <n v="78.416800000000009"/>
    <n v="548.91999999999996"/>
    <x v="2"/>
    <n v="10"/>
    <n v="2.5"/>
  </r>
  <r>
    <n v="1025"/>
    <d v="2022-10-21T00:00:00"/>
    <x v="2"/>
    <s v="Q4"/>
    <x v="9"/>
    <n v="10"/>
    <n v="1510"/>
    <x v="1"/>
    <x v="3"/>
    <n v="4"/>
    <n v="178.12"/>
    <n v="0.03"/>
    <n v="172.7764"/>
    <n v="691.11"/>
    <x v="0"/>
    <n v="9"/>
    <n v="3.1"/>
  </r>
  <r>
    <n v="1026"/>
    <d v="2022-10-22T00:00:00"/>
    <x v="2"/>
    <s v="Q4"/>
    <x v="9"/>
    <n v="10"/>
    <n v="1384"/>
    <x v="1"/>
    <x v="2"/>
    <n v="5"/>
    <n v="69.69"/>
    <n v="0.14000000000000001"/>
    <n v="59.933399999999999"/>
    <n v="299.67"/>
    <x v="1"/>
    <n v="3"/>
    <n v="2.1"/>
  </r>
  <r>
    <n v="1027"/>
    <d v="2022-10-23T00:00:00"/>
    <x v="2"/>
    <s v="Q4"/>
    <x v="9"/>
    <n v="10"/>
    <n v="1404"/>
    <x v="1"/>
    <x v="3"/>
    <n v="7"/>
    <n v="138.36000000000001"/>
    <n v="0.33"/>
    <n v="92.7012"/>
    <n v="648.91"/>
    <x v="1"/>
    <n v="7"/>
    <n v="1.1000000000000001"/>
  </r>
  <r>
    <n v="1028"/>
    <d v="2022-10-24T00:00:00"/>
    <x v="2"/>
    <s v="Q4"/>
    <x v="9"/>
    <n v="10"/>
    <n v="1822"/>
    <x v="2"/>
    <x v="0"/>
    <n v="4"/>
    <n v="154.66"/>
    <n v="0.15"/>
    <n v="131.46100000000001"/>
    <n v="525.84"/>
    <x v="1"/>
    <n v="1"/>
    <n v="2.9"/>
  </r>
  <r>
    <n v="1029"/>
    <d v="2022-10-25T00:00:00"/>
    <x v="2"/>
    <s v="Q4"/>
    <x v="9"/>
    <n v="10"/>
    <n v="1517"/>
    <x v="1"/>
    <x v="2"/>
    <n v="4"/>
    <n v="551.82000000000005"/>
    <n v="0.34"/>
    <n v="364.20120000000003"/>
    <n v="1456.8"/>
    <x v="2"/>
    <n v="8"/>
    <n v="1.5"/>
  </r>
  <r>
    <n v="1030"/>
    <d v="2022-10-26T00:00:00"/>
    <x v="2"/>
    <s v="Q4"/>
    <x v="9"/>
    <n v="10"/>
    <n v="1475"/>
    <x v="1"/>
    <x v="3"/>
    <n v="4"/>
    <n v="60.69"/>
    <n v="0.02"/>
    <n v="59.476199999999999"/>
    <n v="237.9"/>
    <x v="2"/>
    <n v="1"/>
    <n v="1.7"/>
  </r>
  <r>
    <n v="1031"/>
    <d v="2022-10-27T00:00:00"/>
    <x v="2"/>
    <s v="Q4"/>
    <x v="9"/>
    <n v="10"/>
    <n v="1976"/>
    <x v="3"/>
    <x v="2"/>
    <n v="7"/>
    <n v="265.04000000000002"/>
    <n v="0.25"/>
    <n v="198.78000000000003"/>
    <n v="1391.46"/>
    <x v="2"/>
    <n v="2"/>
    <n v="2.9"/>
  </r>
  <r>
    <n v="1032"/>
    <d v="2022-10-28T00:00:00"/>
    <x v="2"/>
    <s v="Q4"/>
    <x v="9"/>
    <n v="10"/>
    <n v="1708"/>
    <x v="2"/>
    <x v="2"/>
    <n v="2"/>
    <n v="326.45"/>
    <n v="0.2"/>
    <n v="261.15999999999997"/>
    <n v="522.32000000000005"/>
    <x v="2"/>
    <n v="1"/>
    <n v="4.5"/>
  </r>
  <r>
    <n v="1033"/>
    <d v="2022-10-29T00:00:00"/>
    <x v="2"/>
    <s v="Q4"/>
    <x v="9"/>
    <n v="10"/>
    <n v="1862"/>
    <x v="1"/>
    <x v="2"/>
    <n v="2"/>
    <n v="540.74"/>
    <n v="0.18"/>
    <n v="443.40679999999998"/>
    <n v="886.81"/>
    <x v="0"/>
    <n v="4"/>
    <n v="4.4000000000000004"/>
  </r>
  <r>
    <n v="1034"/>
    <d v="2022-10-30T00:00:00"/>
    <x v="2"/>
    <s v="Q4"/>
    <x v="9"/>
    <n v="10"/>
    <n v="1644"/>
    <x v="2"/>
    <x v="1"/>
    <n v="5"/>
    <n v="598.65"/>
    <n v="0.34"/>
    <n v="395.10899999999998"/>
    <n v="1975.54"/>
    <x v="0"/>
    <n v="2"/>
    <n v="4.9000000000000004"/>
  </r>
  <r>
    <n v="1035"/>
    <d v="2022-10-31T00:00:00"/>
    <x v="2"/>
    <s v="Q4"/>
    <x v="9"/>
    <n v="10"/>
    <n v="1869"/>
    <x v="2"/>
    <x v="3"/>
    <n v="2"/>
    <n v="455.73"/>
    <n v="0.05"/>
    <n v="432.94350000000003"/>
    <n v="865.89"/>
    <x v="2"/>
    <n v="1"/>
    <n v="2.9"/>
  </r>
  <r>
    <n v="1036"/>
    <d v="2022-11-01T00:00:00"/>
    <x v="2"/>
    <s v="Q4"/>
    <x v="10"/>
    <n v="11"/>
    <n v="1770"/>
    <x v="2"/>
    <x v="1"/>
    <n v="6"/>
    <n v="582.91"/>
    <n v="0.31"/>
    <n v="402.2079"/>
    <n v="2413.25"/>
    <x v="2"/>
    <n v="1"/>
    <n v="3.2"/>
  </r>
  <r>
    <n v="1037"/>
    <d v="2022-11-02T00:00:00"/>
    <x v="2"/>
    <s v="Q4"/>
    <x v="10"/>
    <n v="11"/>
    <n v="1436"/>
    <x v="2"/>
    <x v="1"/>
    <n v="2"/>
    <n v="475.45"/>
    <n v="0.24"/>
    <n v="361.34199999999998"/>
    <n v="722.68"/>
    <x v="1"/>
    <n v="2"/>
    <n v="4.3"/>
  </r>
  <r>
    <n v="1038"/>
    <d v="2022-11-03T00:00:00"/>
    <x v="2"/>
    <s v="Q4"/>
    <x v="10"/>
    <n v="11"/>
    <n v="1022"/>
    <x v="3"/>
    <x v="0"/>
    <n v="2"/>
    <n v="578.47"/>
    <n v="0.09"/>
    <n v="526.40769999999998"/>
    <n v="1052.82"/>
    <x v="2"/>
    <n v="6"/>
    <n v="3.8"/>
  </r>
  <r>
    <n v="1039"/>
    <d v="2022-11-04T00:00:00"/>
    <x v="2"/>
    <s v="Q4"/>
    <x v="10"/>
    <n v="11"/>
    <n v="1996"/>
    <x v="2"/>
    <x v="0"/>
    <n v="2"/>
    <n v="428.75"/>
    <n v="0.32"/>
    <n v="291.54999999999995"/>
    <n v="583.1"/>
    <x v="2"/>
    <n v="2"/>
    <n v="1.7"/>
  </r>
  <r>
    <n v="1040"/>
    <d v="2022-11-05T00:00:00"/>
    <x v="2"/>
    <s v="Q4"/>
    <x v="10"/>
    <n v="11"/>
    <n v="1564"/>
    <x v="0"/>
    <x v="2"/>
    <n v="1"/>
    <n v="61.66"/>
    <n v="0.15"/>
    <n v="52.411000000000001"/>
    <n v="52.41"/>
    <x v="2"/>
    <n v="11"/>
    <n v="2.6"/>
  </r>
  <r>
    <n v="1041"/>
    <d v="2022-11-06T00:00:00"/>
    <x v="2"/>
    <s v="Q4"/>
    <x v="10"/>
    <n v="11"/>
    <n v="1676"/>
    <x v="0"/>
    <x v="2"/>
    <n v="5"/>
    <n v="250.12"/>
    <n v="0.28000000000000003"/>
    <n v="180.0864"/>
    <n v="900.43"/>
    <x v="1"/>
    <n v="2"/>
    <n v="4.7"/>
  </r>
  <r>
    <n v="1042"/>
    <d v="2022-11-07T00:00:00"/>
    <x v="2"/>
    <s v="Q4"/>
    <x v="10"/>
    <n v="11"/>
    <n v="1713"/>
    <x v="1"/>
    <x v="0"/>
    <n v="6"/>
    <n v="393.26"/>
    <n v="0.14000000000000001"/>
    <n v="338.20359999999999"/>
    <n v="2029.22"/>
    <x v="2"/>
    <n v="8"/>
    <n v="1.6"/>
  </r>
  <r>
    <n v="1043"/>
    <d v="2022-11-08T00:00:00"/>
    <x v="2"/>
    <s v="Q4"/>
    <x v="10"/>
    <n v="11"/>
    <n v="1457"/>
    <x v="2"/>
    <x v="0"/>
    <n v="2"/>
    <n v="220.17"/>
    <n v="0.3"/>
    <n v="154.119"/>
    <n v="308.24"/>
    <x v="2"/>
    <n v="5"/>
    <n v="1.8"/>
  </r>
  <r>
    <n v="1044"/>
    <d v="2022-11-09T00:00:00"/>
    <x v="2"/>
    <s v="Q4"/>
    <x v="10"/>
    <n v="11"/>
    <n v="1082"/>
    <x v="1"/>
    <x v="3"/>
    <n v="5"/>
    <n v="174.93"/>
    <n v="0.22"/>
    <n v="136.44540000000001"/>
    <n v="682.23"/>
    <x v="2"/>
    <n v="8"/>
    <n v="2.6"/>
  </r>
  <r>
    <n v="1045"/>
    <d v="2022-11-10T00:00:00"/>
    <x v="2"/>
    <s v="Q4"/>
    <x v="10"/>
    <n v="11"/>
    <n v="1144"/>
    <x v="3"/>
    <x v="2"/>
    <n v="3"/>
    <n v="352.78"/>
    <n v="0.05"/>
    <n v="335.14099999999996"/>
    <n v="1005.42"/>
    <x v="1"/>
    <n v="8"/>
    <n v="4.8"/>
  </r>
  <r>
    <n v="1046"/>
    <d v="2022-11-11T00:00:00"/>
    <x v="2"/>
    <s v="Q4"/>
    <x v="10"/>
    <n v="11"/>
    <n v="1084"/>
    <x v="1"/>
    <x v="2"/>
    <n v="1"/>
    <n v="561.1"/>
    <n v="0.23"/>
    <n v="432.04700000000003"/>
    <n v="432.05"/>
    <x v="1"/>
    <n v="2"/>
    <n v="1.5"/>
  </r>
  <r>
    <n v="1047"/>
    <d v="2022-11-12T00:00:00"/>
    <x v="2"/>
    <s v="Q4"/>
    <x v="10"/>
    <n v="11"/>
    <n v="1077"/>
    <x v="2"/>
    <x v="0"/>
    <n v="7"/>
    <n v="35.46"/>
    <n v="7.0000000000000007E-2"/>
    <n v="32.977800000000002"/>
    <n v="230.84"/>
    <x v="1"/>
    <n v="7"/>
    <n v="3.7"/>
  </r>
  <r>
    <n v="1048"/>
    <d v="2022-11-13T00:00:00"/>
    <x v="2"/>
    <s v="Q4"/>
    <x v="10"/>
    <n v="11"/>
    <n v="1456"/>
    <x v="1"/>
    <x v="3"/>
    <n v="2"/>
    <n v="465"/>
    <n v="0.14000000000000001"/>
    <n v="399.9"/>
    <n v="799.8"/>
    <x v="0"/>
    <n v="9"/>
    <n v="1.5"/>
  </r>
  <r>
    <n v="1049"/>
    <d v="2022-11-14T00:00:00"/>
    <x v="2"/>
    <s v="Q4"/>
    <x v="10"/>
    <n v="11"/>
    <n v="1877"/>
    <x v="3"/>
    <x v="0"/>
    <n v="6"/>
    <n v="437.8"/>
    <n v="0.06"/>
    <n v="411.53200000000004"/>
    <n v="2469.19"/>
    <x v="2"/>
    <n v="8"/>
    <n v="3.1"/>
  </r>
  <r>
    <n v="1050"/>
    <d v="2022-11-15T00:00:00"/>
    <x v="2"/>
    <s v="Q4"/>
    <x v="10"/>
    <n v="11"/>
    <n v="1000"/>
    <x v="3"/>
    <x v="0"/>
    <n v="1"/>
    <n v="578.91"/>
    <n v="0.01"/>
    <n v="573.12090000000001"/>
    <n v="573.12"/>
    <x v="1"/>
    <n v="9"/>
    <n v="3.1"/>
  </r>
  <r>
    <n v="1051"/>
    <d v="2022-11-16T00:00:00"/>
    <x v="2"/>
    <s v="Q4"/>
    <x v="10"/>
    <n v="11"/>
    <n v="1050"/>
    <x v="2"/>
    <x v="1"/>
    <n v="6"/>
    <n v="559.47"/>
    <n v="7.0000000000000007E-2"/>
    <n v="520.30709999999999"/>
    <n v="3121.84"/>
    <x v="1"/>
    <n v="8"/>
    <n v="1.2"/>
  </r>
  <r>
    <n v="1052"/>
    <d v="2022-11-17T00:00:00"/>
    <x v="2"/>
    <s v="Q4"/>
    <x v="10"/>
    <n v="11"/>
    <n v="1684"/>
    <x v="3"/>
    <x v="2"/>
    <n v="7"/>
    <n v="460.91"/>
    <n v="0.19"/>
    <n v="373.33710000000002"/>
    <n v="2613.36"/>
    <x v="2"/>
    <n v="4"/>
    <n v="4.8"/>
  </r>
  <r>
    <n v="1053"/>
    <d v="2022-11-18T00:00:00"/>
    <x v="2"/>
    <s v="Q4"/>
    <x v="10"/>
    <n v="11"/>
    <n v="1716"/>
    <x v="2"/>
    <x v="3"/>
    <n v="7"/>
    <n v="319.44"/>
    <n v="0.17"/>
    <n v="265.1352"/>
    <n v="1855.95"/>
    <x v="1"/>
    <n v="10"/>
    <n v="4.2"/>
  </r>
  <r>
    <n v="1054"/>
    <d v="2022-11-19T00:00:00"/>
    <x v="2"/>
    <s v="Q4"/>
    <x v="10"/>
    <n v="11"/>
    <n v="1771"/>
    <x v="2"/>
    <x v="1"/>
    <n v="1"/>
    <n v="134.5"/>
    <n v="0.18"/>
    <n v="110.28999999999999"/>
    <n v="110.29"/>
    <x v="0"/>
    <n v="7"/>
    <n v="2.2000000000000002"/>
  </r>
  <r>
    <n v="1055"/>
    <d v="2022-11-20T00:00:00"/>
    <x v="2"/>
    <s v="Q4"/>
    <x v="10"/>
    <n v="11"/>
    <n v="1445"/>
    <x v="0"/>
    <x v="2"/>
    <n v="3"/>
    <n v="333.96"/>
    <n v="0.09"/>
    <n v="303.90359999999998"/>
    <n v="911.71"/>
    <x v="2"/>
    <n v="9"/>
    <n v="1.5"/>
  </r>
  <r>
    <n v="1056"/>
    <d v="2022-11-21T00:00:00"/>
    <x v="2"/>
    <s v="Q4"/>
    <x v="10"/>
    <n v="11"/>
    <n v="1448"/>
    <x v="2"/>
    <x v="0"/>
    <n v="5"/>
    <n v="462.73"/>
    <n v="0.24"/>
    <n v="351.6748"/>
    <n v="1758.37"/>
    <x v="1"/>
    <n v="9"/>
    <n v="2.4"/>
  </r>
  <r>
    <n v="1057"/>
    <d v="2022-11-22T00:00:00"/>
    <x v="2"/>
    <s v="Q4"/>
    <x v="10"/>
    <n v="11"/>
    <n v="1880"/>
    <x v="2"/>
    <x v="3"/>
    <n v="1"/>
    <n v="538.97"/>
    <n v="0.25"/>
    <n v="404.22750000000002"/>
    <n v="404.23"/>
    <x v="2"/>
    <n v="4"/>
    <n v="4.5999999999999996"/>
  </r>
  <r>
    <n v="1058"/>
    <d v="2022-11-23T00:00:00"/>
    <x v="2"/>
    <s v="Q4"/>
    <x v="10"/>
    <n v="11"/>
    <n v="1487"/>
    <x v="2"/>
    <x v="2"/>
    <n v="4"/>
    <n v="476.98"/>
    <n v="0.13"/>
    <n v="414.9726"/>
    <n v="1659.89"/>
    <x v="1"/>
    <n v="7"/>
    <n v="1.5"/>
  </r>
  <r>
    <n v="1059"/>
    <d v="2022-11-24T00:00:00"/>
    <x v="2"/>
    <s v="Q4"/>
    <x v="10"/>
    <n v="11"/>
    <n v="1799"/>
    <x v="0"/>
    <x v="0"/>
    <n v="7"/>
    <n v="129.22999999999999"/>
    <n v="0.31"/>
    <n v="89.168700000000001"/>
    <n v="624.17999999999995"/>
    <x v="0"/>
    <n v="6"/>
    <n v="2.4"/>
  </r>
  <r>
    <n v="1060"/>
    <d v="2022-11-25T00:00:00"/>
    <x v="2"/>
    <s v="Q4"/>
    <x v="10"/>
    <n v="11"/>
    <n v="1033"/>
    <x v="3"/>
    <x v="1"/>
    <n v="3"/>
    <n v="365.82"/>
    <n v="0.23"/>
    <n v="281.6814"/>
    <n v="845.04"/>
    <x v="1"/>
    <n v="3"/>
    <n v="3"/>
  </r>
  <r>
    <n v="1061"/>
    <d v="2022-11-26T00:00:00"/>
    <x v="2"/>
    <s v="Q4"/>
    <x v="10"/>
    <n v="11"/>
    <n v="1347"/>
    <x v="1"/>
    <x v="3"/>
    <n v="7"/>
    <n v="209.32"/>
    <n v="0.25"/>
    <n v="156.99"/>
    <n v="1098.93"/>
    <x v="0"/>
    <n v="10"/>
    <n v="1.1000000000000001"/>
  </r>
  <r>
    <n v="1062"/>
    <d v="2022-11-27T00:00:00"/>
    <x v="2"/>
    <s v="Q4"/>
    <x v="10"/>
    <n v="11"/>
    <n v="1094"/>
    <x v="3"/>
    <x v="2"/>
    <n v="4"/>
    <n v="20.39"/>
    <n v="0.1"/>
    <n v="18.350999999999999"/>
    <n v="73.400000000000006"/>
    <x v="2"/>
    <n v="6"/>
    <n v="2.1"/>
  </r>
  <r>
    <n v="1063"/>
    <d v="2022-11-28T00:00:00"/>
    <x v="2"/>
    <s v="Q4"/>
    <x v="10"/>
    <n v="11"/>
    <n v="1071"/>
    <x v="2"/>
    <x v="1"/>
    <n v="3"/>
    <n v="132.13"/>
    <n v="0"/>
    <n v="132.13"/>
    <n v="396.39"/>
    <x v="0"/>
    <n v="8"/>
    <n v="3.4"/>
  </r>
  <r>
    <n v="1064"/>
    <d v="2022-11-29T00:00:00"/>
    <x v="2"/>
    <s v="Q4"/>
    <x v="10"/>
    <n v="11"/>
    <n v="1550"/>
    <x v="1"/>
    <x v="0"/>
    <n v="7"/>
    <n v="81.23"/>
    <n v="0.3"/>
    <n v="56.861000000000004"/>
    <n v="398.03"/>
    <x v="1"/>
    <n v="2"/>
    <n v="2.2999999999999998"/>
  </r>
  <r>
    <n v="1065"/>
    <d v="2022-11-30T00:00:00"/>
    <x v="2"/>
    <s v="Q4"/>
    <x v="10"/>
    <n v="11"/>
    <n v="1153"/>
    <x v="1"/>
    <x v="0"/>
    <n v="4"/>
    <n v="507.99"/>
    <n v="0.28999999999999998"/>
    <n v="360.67290000000003"/>
    <n v="1442.69"/>
    <x v="1"/>
    <n v="3"/>
    <n v="4.5"/>
  </r>
  <r>
    <n v="1066"/>
    <d v="2022-12-01T00:00:00"/>
    <x v="2"/>
    <s v="Q4"/>
    <x v="11"/>
    <n v="12"/>
    <n v="1249"/>
    <x v="2"/>
    <x v="2"/>
    <n v="4"/>
    <n v="166.23"/>
    <n v="0.04"/>
    <n v="159.58079999999998"/>
    <n v="638.32000000000005"/>
    <x v="2"/>
    <n v="8"/>
    <n v="4.7"/>
  </r>
  <r>
    <n v="1067"/>
    <d v="2022-12-02T00:00:00"/>
    <x v="2"/>
    <s v="Q4"/>
    <x v="11"/>
    <n v="12"/>
    <n v="1673"/>
    <x v="1"/>
    <x v="0"/>
    <n v="7"/>
    <n v="181.55"/>
    <n v="0.13"/>
    <n v="157.94850000000002"/>
    <n v="1105.6400000000001"/>
    <x v="2"/>
    <n v="4"/>
    <n v="2.8"/>
  </r>
  <r>
    <n v="1068"/>
    <d v="2022-12-03T00:00:00"/>
    <x v="2"/>
    <s v="Q4"/>
    <x v="11"/>
    <n v="12"/>
    <n v="1437"/>
    <x v="0"/>
    <x v="3"/>
    <n v="7"/>
    <n v="576.55999999999995"/>
    <n v="0.23"/>
    <n v="443.95119999999997"/>
    <n v="3107.66"/>
    <x v="1"/>
    <n v="4"/>
    <n v="3.1"/>
  </r>
  <r>
    <n v="1069"/>
    <d v="2022-12-04T00:00:00"/>
    <x v="2"/>
    <s v="Q4"/>
    <x v="11"/>
    <n v="12"/>
    <n v="1117"/>
    <x v="2"/>
    <x v="2"/>
    <n v="6"/>
    <n v="236.77"/>
    <n v="0.23"/>
    <n v="182.31290000000001"/>
    <n v="1093.8800000000001"/>
    <x v="1"/>
    <n v="2"/>
    <n v="3.5"/>
  </r>
  <r>
    <n v="1070"/>
    <d v="2022-12-05T00:00:00"/>
    <x v="2"/>
    <s v="Q4"/>
    <x v="11"/>
    <n v="12"/>
    <n v="1770"/>
    <x v="2"/>
    <x v="1"/>
    <n v="1"/>
    <n v="20.61"/>
    <n v="0.3"/>
    <n v="14.427"/>
    <n v="14.43"/>
    <x v="1"/>
    <n v="11"/>
    <n v="3.7"/>
  </r>
  <r>
    <n v="1071"/>
    <d v="2022-12-06T00:00:00"/>
    <x v="2"/>
    <s v="Q4"/>
    <x v="11"/>
    <n v="12"/>
    <n v="1890"/>
    <x v="2"/>
    <x v="2"/>
    <n v="1"/>
    <n v="181.05"/>
    <n v="0.05"/>
    <n v="171.9975"/>
    <n v="172"/>
    <x v="2"/>
    <n v="10"/>
    <n v="1.3"/>
  </r>
  <r>
    <n v="1072"/>
    <d v="2022-12-07T00:00:00"/>
    <x v="2"/>
    <s v="Q4"/>
    <x v="11"/>
    <n v="12"/>
    <n v="1305"/>
    <x v="2"/>
    <x v="2"/>
    <n v="3"/>
    <n v="84.79"/>
    <n v="0.15"/>
    <n v="72.0715"/>
    <n v="216.21"/>
    <x v="1"/>
    <n v="1"/>
    <n v="1.2"/>
  </r>
  <r>
    <n v="1073"/>
    <d v="2022-12-08T00:00:00"/>
    <x v="2"/>
    <s v="Q4"/>
    <x v="11"/>
    <n v="12"/>
    <n v="1267"/>
    <x v="0"/>
    <x v="1"/>
    <n v="5"/>
    <n v="75.14"/>
    <n v="0.03"/>
    <n v="72.885800000000003"/>
    <n v="364.43"/>
    <x v="1"/>
    <n v="7"/>
    <n v="4.5"/>
  </r>
  <r>
    <n v="1074"/>
    <d v="2022-12-09T00:00:00"/>
    <x v="2"/>
    <s v="Q4"/>
    <x v="11"/>
    <n v="12"/>
    <n v="1960"/>
    <x v="1"/>
    <x v="0"/>
    <n v="7"/>
    <n v="60.33"/>
    <n v="0.14000000000000001"/>
    <n v="51.883799999999994"/>
    <n v="363.19"/>
    <x v="1"/>
    <n v="4"/>
    <n v="1.9"/>
  </r>
  <r>
    <n v="1075"/>
    <d v="2022-12-10T00:00:00"/>
    <x v="2"/>
    <s v="Q4"/>
    <x v="11"/>
    <n v="12"/>
    <n v="1053"/>
    <x v="1"/>
    <x v="1"/>
    <n v="6"/>
    <n v="362.06"/>
    <n v="0.01"/>
    <n v="358.43939999999998"/>
    <n v="2150.64"/>
    <x v="1"/>
    <n v="6"/>
    <n v="3.3"/>
  </r>
  <r>
    <n v="1076"/>
    <d v="2022-12-11T00:00:00"/>
    <x v="2"/>
    <s v="Q4"/>
    <x v="11"/>
    <n v="12"/>
    <n v="1235"/>
    <x v="3"/>
    <x v="3"/>
    <n v="1"/>
    <n v="125.77"/>
    <n v="0.31"/>
    <n v="86.781299999999987"/>
    <n v="86.78"/>
    <x v="1"/>
    <n v="8"/>
    <n v="3.5"/>
  </r>
  <r>
    <n v="1077"/>
    <d v="2022-12-12T00:00:00"/>
    <x v="2"/>
    <s v="Q4"/>
    <x v="11"/>
    <n v="12"/>
    <n v="1388"/>
    <x v="2"/>
    <x v="0"/>
    <n v="1"/>
    <n v="226.33"/>
    <n v="0.18"/>
    <n v="185.59059999999999"/>
    <n v="185.59"/>
    <x v="0"/>
    <n v="11"/>
    <n v="1.7"/>
  </r>
  <r>
    <n v="1078"/>
    <d v="2022-12-13T00:00:00"/>
    <x v="2"/>
    <s v="Q4"/>
    <x v="11"/>
    <n v="12"/>
    <n v="1989"/>
    <x v="1"/>
    <x v="2"/>
    <n v="6"/>
    <n v="519.28"/>
    <n v="0.3"/>
    <n v="363.49599999999998"/>
    <n v="2180.98"/>
    <x v="1"/>
    <n v="7"/>
    <n v="4"/>
  </r>
  <r>
    <n v="1079"/>
    <d v="2022-12-14T00:00:00"/>
    <x v="2"/>
    <s v="Q4"/>
    <x v="11"/>
    <n v="12"/>
    <n v="1733"/>
    <x v="1"/>
    <x v="0"/>
    <n v="2"/>
    <n v="263.24"/>
    <n v="0.02"/>
    <n v="257.97520000000003"/>
    <n v="515.95000000000005"/>
    <x v="0"/>
    <n v="7"/>
    <n v="4.5"/>
  </r>
  <r>
    <n v="1080"/>
    <d v="2022-12-15T00:00:00"/>
    <x v="2"/>
    <s v="Q4"/>
    <x v="11"/>
    <n v="12"/>
    <n v="1762"/>
    <x v="1"/>
    <x v="0"/>
    <n v="6"/>
    <n v="550.67999999999995"/>
    <n v="0.08"/>
    <n v="506.62559999999996"/>
    <n v="3039.75"/>
    <x v="1"/>
    <n v="6"/>
    <n v="2.1"/>
  </r>
  <r>
    <n v="1081"/>
    <d v="2022-12-16T00:00:00"/>
    <x v="2"/>
    <s v="Q4"/>
    <x v="11"/>
    <n v="12"/>
    <n v="1824"/>
    <x v="0"/>
    <x v="3"/>
    <n v="1"/>
    <n v="306.29000000000002"/>
    <n v="0.09"/>
    <n v="278.72390000000001"/>
    <n v="278.72000000000003"/>
    <x v="1"/>
    <n v="11"/>
    <n v="4.5"/>
  </r>
  <r>
    <n v="1082"/>
    <d v="2022-12-17T00:00:00"/>
    <x v="2"/>
    <s v="Q4"/>
    <x v="11"/>
    <n v="12"/>
    <n v="1400"/>
    <x v="3"/>
    <x v="0"/>
    <n v="5"/>
    <n v="248.32"/>
    <n v="0.14000000000000001"/>
    <n v="213.55519999999999"/>
    <n v="1067.78"/>
    <x v="1"/>
    <n v="4"/>
    <n v="1.3"/>
  </r>
  <r>
    <n v="1083"/>
    <d v="2022-12-18T00:00:00"/>
    <x v="2"/>
    <s v="Q4"/>
    <x v="11"/>
    <n v="12"/>
    <n v="1623"/>
    <x v="1"/>
    <x v="0"/>
    <n v="2"/>
    <n v="453.98"/>
    <n v="0.28000000000000003"/>
    <n v="326.86559999999997"/>
    <n v="653.73"/>
    <x v="2"/>
    <n v="4"/>
    <n v="4.2"/>
  </r>
  <r>
    <n v="1084"/>
    <d v="2022-12-19T00:00:00"/>
    <x v="2"/>
    <s v="Q4"/>
    <x v="11"/>
    <n v="12"/>
    <n v="1766"/>
    <x v="3"/>
    <x v="0"/>
    <n v="4"/>
    <n v="57.81"/>
    <n v="0.14000000000000001"/>
    <n v="49.7166"/>
    <n v="198.87"/>
    <x v="2"/>
    <n v="9"/>
    <n v="3.6"/>
  </r>
  <r>
    <n v="1085"/>
    <d v="2022-12-20T00:00:00"/>
    <x v="2"/>
    <s v="Q4"/>
    <x v="11"/>
    <n v="12"/>
    <n v="1302"/>
    <x v="2"/>
    <x v="2"/>
    <n v="6"/>
    <n v="67.34"/>
    <n v="7.0000000000000007E-2"/>
    <n v="62.626200000000004"/>
    <n v="375.76"/>
    <x v="2"/>
    <n v="11"/>
    <n v="3.3"/>
  </r>
  <r>
    <n v="1086"/>
    <d v="2022-12-21T00:00:00"/>
    <x v="2"/>
    <s v="Q4"/>
    <x v="11"/>
    <n v="12"/>
    <n v="1918"/>
    <x v="2"/>
    <x v="0"/>
    <n v="4"/>
    <n v="396.4"/>
    <n v="0.02"/>
    <n v="388.47199999999998"/>
    <n v="1553.89"/>
    <x v="1"/>
    <n v="5"/>
    <n v="1.9"/>
  </r>
  <r>
    <n v="1087"/>
    <d v="2022-12-22T00:00:00"/>
    <x v="2"/>
    <s v="Q4"/>
    <x v="11"/>
    <n v="12"/>
    <n v="1206"/>
    <x v="2"/>
    <x v="1"/>
    <n v="2"/>
    <n v="299.86"/>
    <n v="0.03"/>
    <n v="290.86420000000004"/>
    <n v="581.73"/>
    <x v="0"/>
    <n v="9"/>
    <n v="2.4"/>
  </r>
  <r>
    <n v="1088"/>
    <d v="2022-12-23T00:00:00"/>
    <x v="2"/>
    <s v="Q4"/>
    <x v="11"/>
    <n v="12"/>
    <n v="1228"/>
    <x v="2"/>
    <x v="0"/>
    <n v="2"/>
    <n v="477.39"/>
    <n v="0.27"/>
    <n v="348.49469999999997"/>
    <n v="696.99"/>
    <x v="0"/>
    <n v="11"/>
    <n v="4.5999999999999996"/>
  </r>
  <r>
    <n v="1089"/>
    <d v="2022-12-24T00:00:00"/>
    <x v="2"/>
    <s v="Q4"/>
    <x v="11"/>
    <n v="12"/>
    <n v="1852"/>
    <x v="1"/>
    <x v="3"/>
    <n v="2"/>
    <n v="551.02"/>
    <n v="0.16"/>
    <n v="462.85679999999996"/>
    <n v="925.71"/>
    <x v="1"/>
    <n v="9"/>
    <n v="2.9"/>
  </r>
  <r>
    <n v="1090"/>
    <d v="2022-12-25T00:00:00"/>
    <x v="2"/>
    <s v="Q4"/>
    <x v="11"/>
    <n v="12"/>
    <n v="1909"/>
    <x v="1"/>
    <x v="0"/>
    <n v="3"/>
    <n v="242.19"/>
    <n v="0.25"/>
    <n v="181.64249999999998"/>
    <n v="544.92999999999995"/>
    <x v="2"/>
    <n v="4"/>
    <n v="3.4"/>
  </r>
  <r>
    <n v="1091"/>
    <d v="2022-12-26T00:00:00"/>
    <x v="2"/>
    <s v="Q4"/>
    <x v="11"/>
    <n v="12"/>
    <n v="1577"/>
    <x v="0"/>
    <x v="0"/>
    <n v="6"/>
    <n v="363.9"/>
    <n v="0.24"/>
    <n v="276.56399999999996"/>
    <n v="1659.38"/>
    <x v="2"/>
    <n v="2"/>
    <n v="4.7"/>
  </r>
  <r>
    <n v="1092"/>
    <d v="2022-12-27T00:00:00"/>
    <x v="2"/>
    <s v="Q4"/>
    <x v="11"/>
    <n v="12"/>
    <n v="1074"/>
    <x v="1"/>
    <x v="2"/>
    <n v="7"/>
    <n v="307.91000000000003"/>
    <n v="0.05"/>
    <n v="292.5145"/>
    <n v="2047.6"/>
    <x v="1"/>
    <n v="2"/>
    <n v="2.9"/>
  </r>
  <r>
    <n v="1093"/>
    <d v="2022-12-28T00:00:00"/>
    <x v="2"/>
    <s v="Q4"/>
    <x v="11"/>
    <n v="12"/>
    <n v="1434"/>
    <x v="1"/>
    <x v="1"/>
    <n v="5"/>
    <n v="589.24"/>
    <n v="0.05"/>
    <n v="559.77800000000002"/>
    <n v="2798.89"/>
    <x v="1"/>
    <n v="9"/>
    <n v="2.6"/>
  </r>
  <r>
    <n v="1094"/>
    <d v="2022-12-29T00:00:00"/>
    <x v="2"/>
    <s v="Q4"/>
    <x v="11"/>
    <n v="12"/>
    <n v="1102"/>
    <x v="2"/>
    <x v="0"/>
    <n v="5"/>
    <n v="501.18"/>
    <n v="0.26"/>
    <n v="370.8732"/>
    <n v="1854.37"/>
    <x v="2"/>
    <n v="9"/>
    <n v="4.5999999999999996"/>
  </r>
  <r>
    <n v="1095"/>
    <d v="2022-12-30T00:00:00"/>
    <x v="2"/>
    <s v="Q4"/>
    <x v="11"/>
    <n v="12"/>
    <n v="1421"/>
    <x v="2"/>
    <x v="1"/>
    <n v="4"/>
    <n v="548.37"/>
    <n v="0.25"/>
    <n v="411.27750000000003"/>
    <n v="1645.11"/>
    <x v="0"/>
    <n v="3"/>
    <n v="4.5999999999999996"/>
  </r>
  <r>
    <n v="1096"/>
    <d v="2022-12-31T00:00:00"/>
    <x v="2"/>
    <s v="Q4"/>
    <x v="11"/>
    <n v="12"/>
    <n v="1703"/>
    <x v="1"/>
    <x v="3"/>
    <n v="4"/>
    <n v="163.79"/>
    <n v="0.13"/>
    <n v="142.4973"/>
    <n v="569.99"/>
    <x v="1"/>
    <n v="5"/>
    <n v="2.4"/>
  </r>
  <r>
    <n v="1097"/>
    <d v="2023-01-01T00:00:00"/>
    <x v="3"/>
    <s v="Q1"/>
    <x v="0"/>
    <n v="1"/>
    <n v="1763"/>
    <x v="1"/>
    <x v="2"/>
    <n v="7"/>
    <n v="466.93"/>
    <n v="0.03"/>
    <n v="452.9221"/>
    <n v="3170.45"/>
    <x v="2"/>
    <n v="5"/>
    <n v="3.4"/>
  </r>
  <r>
    <n v="1098"/>
    <d v="2023-01-02T00:00:00"/>
    <x v="3"/>
    <s v="Q1"/>
    <x v="0"/>
    <n v="1"/>
    <n v="1737"/>
    <x v="3"/>
    <x v="1"/>
    <n v="4"/>
    <n v="170.3"/>
    <n v="0"/>
    <n v="170.3"/>
    <n v="681.2"/>
    <x v="0"/>
    <n v="2"/>
    <n v="4.9000000000000004"/>
  </r>
  <r>
    <n v="1099"/>
    <d v="2023-01-03T00:00:00"/>
    <x v="3"/>
    <s v="Q1"/>
    <x v="0"/>
    <n v="1"/>
    <n v="1805"/>
    <x v="2"/>
    <x v="2"/>
    <n v="6"/>
    <n v="137.11000000000001"/>
    <n v="0.1"/>
    <n v="123.39900000000002"/>
    <n v="740.39"/>
    <x v="1"/>
    <n v="2"/>
    <n v="1.2"/>
  </r>
  <r>
    <n v="1100"/>
    <d v="2023-01-04T00:00:00"/>
    <x v="3"/>
    <s v="Q1"/>
    <x v="0"/>
    <n v="1"/>
    <n v="1305"/>
    <x v="2"/>
    <x v="0"/>
    <n v="1"/>
    <n v="567.4"/>
    <n v="0"/>
    <n v="567.4"/>
    <n v="567.4"/>
    <x v="1"/>
    <n v="10"/>
    <n v="1.2"/>
  </r>
  <r>
    <n v="1101"/>
    <d v="2023-01-05T00:00:00"/>
    <x v="3"/>
    <s v="Q1"/>
    <x v="0"/>
    <n v="1"/>
    <n v="1097"/>
    <x v="1"/>
    <x v="3"/>
    <n v="4"/>
    <n v="26.29"/>
    <n v="0.08"/>
    <n v="24.186799999999998"/>
    <n v="96.75"/>
    <x v="2"/>
    <n v="1"/>
    <n v="3.1"/>
  </r>
  <r>
    <n v="1102"/>
    <d v="2023-01-06T00:00:00"/>
    <x v="3"/>
    <s v="Q1"/>
    <x v="0"/>
    <n v="1"/>
    <n v="1849"/>
    <x v="2"/>
    <x v="2"/>
    <n v="2"/>
    <n v="579.75"/>
    <n v="0.15"/>
    <n v="492.78750000000002"/>
    <n v="985.58"/>
    <x v="1"/>
    <n v="2"/>
    <n v="2.2000000000000002"/>
  </r>
  <r>
    <n v="1103"/>
    <d v="2023-01-07T00:00:00"/>
    <x v="3"/>
    <s v="Q1"/>
    <x v="0"/>
    <n v="1"/>
    <n v="1797"/>
    <x v="2"/>
    <x v="0"/>
    <n v="4"/>
    <n v="102.32"/>
    <n v="0.04"/>
    <n v="98.227199999999996"/>
    <n v="392.91"/>
    <x v="1"/>
    <n v="11"/>
    <n v="3.3"/>
  </r>
  <r>
    <n v="1104"/>
    <d v="2023-01-08T00:00:00"/>
    <x v="3"/>
    <s v="Q1"/>
    <x v="0"/>
    <n v="1"/>
    <n v="1334"/>
    <x v="3"/>
    <x v="1"/>
    <n v="2"/>
    <n v="494.37"/>
    <n v="0.04"/>
    <n v="474.59519999999998"/>
    <n v="949.19"/>
    <x v="1"/>
    <n v="7"/>
    <n v="3.9"/>
  </r>
  <r>
    <n v="1105"/>
    <d v="2023-01-09T00:00:00"/>
    <x v="3"/>
    <s v="Q1"/>
    <x v="0"/>
    <n v="1"/>
    <n v="1858"/>
    <x v="2"/>
    <x v="3"/>
    <n v="3"/>
    <n v="176.41"/>
    <n v="0.31"/>
    <n v="121.7229"/>
    <n v="365.17"/>
    <x v="1"/>
    <n v="1"/>
    <n v="1.3"/>
  </r>
  <r>
    <n v="1106"/>
    <d v="2023-01-10T00:00:00"/>
    <x v="3"/>
    <s v="Q1"/>
    <x v="0"/>
    <n v="1"/>
    <n v="1434"/>
    <x v="1"/>
    <x v="3"/>
    <n v="1"/>
    <n v="220.16"/>
    <n v="0.2"/>
    <n v="176.12799999999999"/>
    <n v="176.13"/>
    <x v="0"/>
    <n v="1"/>
    <n v="4.5"/>
  </r>
  <r>
    <n v="1107"/>
    <d v="2023-01-11T00:00:00"/>
    <x v="3"/>
    <s v="Q1"/>
    <x v="0"/>
    <n v="1"/>
    <n v="1446"/>
    <x v="2"/>
    <x v="1"/>
    <n v="1"/>
    <n v="141.80000000000001"/>
    <n v="0.33"/>
    <n v="95.006"/>
    <n v="95.01"/>
    <x v="2"/>
    <n v="9"/>
    <n v="2.1"/>
  </r>
  <r>
    <n v="1108"/>
    <d v="2023-01-12T00:00:00"/>
    <x v="3"/>
    <s v="Q1"/>
    <x v="0"/>
    <n v="1"/>
    <n v="1993"/>
    <x v="2"/>
    <x v="1"/>
    <n v="7"/>
    <n v="357.53"/>
    <n v="0.12"/>
    <n v="314.62639999999999"/>
    <n v="2202.38"/>
    <x v="1"/>
    <n v="2"/>
    <n v="2.5"/>
  </r>
  <r>
    <n v="1109"/>
    <d v="2023-01-13T00:00:00"/>
    <x v="3"/>
    <s v="Q1"/>
    <x v="0"/>
    <n v="1"/>
    <n v="1307"/>
    <x v="1"/>
    <x v="3"/>
    <n v="6"/>
    <n v="218.64"/>
    <n v="0.24"/>
    <n v="166.16639999999998"/>
    <n v="997"/>
    <x v="2"/>
    <n v="11"/>
    <n v="2.2999999999999998"/>
  </r>
  <r>
    <n v="1110"/>
    <d v="2023-01-14T00:00:00"/>
    <x v="3"/>
    <s v="Q1"/>
    <x v="0"/>
    <n v="1"/>
    <n v="1248"/>
    <x v="3"/>
    <x v="2"/>
    <n v="6"/>
    <n v="399.57"/>
    <n v="7.0000000000000007E-2"/>
    <n v="371.6001"/>
    <n v="2229.6"/>
    <x v="0"/>
    <n v="4"/>
    <n v="4.4000000000000004"/>
  </r>
  <r>
    <n v="1111"/>
    <d v="2023-01-15T00:00:00"/>
    <x v="3"/>
    <s v="Q1"/>
    <x v="0"/>
    <n v="1"/>
    <n v="1165"/>
    <x v="1"/>
    <x v="3"/>
    <n v="5"/>
    <n v="24.15"/>
    <n v="0.22"/>
    <n v="18.837"/>
    <n v="94.18"/>
    <x v="1"/>
    <n v="11"/>
    <n v="1.7"/>
  </r>
  <r>
    <n v="1112"/>
    <d v="2023-01-16T00:00:00"/>
    <x v="3"/>
    <s v="Q1"/>
    <x v="0"/>
    <n v="1"/>
    <n v="1480"/>
    <x v="3"/>
    <x v="1"/>
    <n v="3"/>
    <n v="52.66"/>
    <n v="0.05"/>
    <n v="50.026999999999994"/>
    <n v="150.08000000000001"/>
    <x v="1"/>
    <n v="3"/>
    <n v="1.1000000000000001"/>
  </r>
  <r>
    <n v="1113"/>
    <d v="2023-01-17T00:00:00"/>
    <x v="3"/>
    <s v="Q1"/>
    <x v="0"/>
    <n v="1"/>
    <n v="1983"/>
    <x v="2"/>
    <x v="2"/>
    <n v="7"/>
    <n v="73.3"/>
    <n v="0"/>
    <n v="73.3"/>
    <n v="513.1"/>
    <x v="0"/>
    <n v="11"/>
    <n v="4.9000000000000004"/>
  </r>
  <r>
    <n v="1114"/>
    <d v="2023-01-18T00:00:00"/>
    <x v="3"/>
    <s v="Q1"/>
    <x v="0"/>
    <n v="1"/>
    <n v="1334"/>
    <x v="3"/>
    <x v="0"/>
    <n v="6"/>
    <n v="260.11"/>
    <n v="0.33"/>
    <n v="174.27370000000002"/>
    <n v="1045.6400000000001"/>
    <x v="0"/>
    <n v="4"/>
    <n v="4.9000000000000004"/>
  </r>
  <r>
    <n v="1115"/>
    <d v="2023-01-19T00:00:00"/>
    <x v="3"/>
    <s v="Q1"/>
    <x v="0"/>
    <n v="1"/>
    <n v="1541"/>
    <x v="2"/>
    <x v="3"/>
    <n v="2"/>
    <n v="491.66"/>
    <n v="0.19"/>
    <n v="398.24459999999999"/>
    <n v="796.49"/>
    <x v="1"/>
    <n v="11"/>
    <n v="2"/>
  </r>
  <r>
    <n v="1116"/>
    <d v="2023-01-20T00:00:00"/>
    <x v="3"/>
    <s v="Q1"/>
    <x v="0"/>
    <n v="1"/>
    <n v="1758"/>
    <x v="3"/>
    <x v="1"/>
    <n v="3"/>
    <n v="534.58000000000004"/>
    <n v="0.32"/>
    <n v="363.51440000000002"/>
    <n v="1090.54"/>
    <x v="1"/>
    <n v="11"/>
    <n v="1"/>
  </r>
  <r>
    <n v="1117"/>
    <d v="2023-01-21T00:00:00"/>
    <x v="3"/>
    <s v="Q1"/>
    <x v="0"/>
    <n v="1"/>
    <n v="1105"/>
    <x v="1"/>
    <x v="0"/>
    <n v="1"/>
    <n v="158.21"/>
    <n v="0.12"/>
    <n v="139.22480000000002"/>
    <n v="139.22"/>
    <x v="1"/>
    <n v="7"/>
    <n v="3.6"/>
  </r>
  <r>
    <n v="1118"/>
    <d v="2023-01-22T00:00:00"/>
    <x v="3"/>
    <s v="Q1"/>
    <x v="0"/>
    <n v="1"/>
    <n v="1562"/>
    <x v="0"/>
    <x v="3"/>
    <n v="2"/>
    <n v="351.01"/>
    <n v="0.11"/>
    <n v="312.39889999999997"/>
    <n v="624.79999999999995"/>
    <x v="1"/>
    <n v="10"/>
    <n v="3.6"/>
  </r>
  <r>
    <n v="1119"/>
    <d v="2023-01-23T00:00:00"/>
    <x v="3"/>
    <s v="Q1"/>
    <x v="0"/>
    <n v="1"/>
    <n v="1080"/>
    <x v="1"/>
    <x v="3"/>
    <n v="7"/>
    <n v="464.49"/>
    <n v="0.14000000000000001"/>
    <n v="399.46140000000003"/>
    <n v="2796.23"/>
    <x v="2"/>
    <n v="2"/>
    <n v="4.8"/>
  </r>
  <r>
    <n v="1120"/>
    <d v="2023-01-24T00:00:00"/>
    <x v="3"/>
    <s v="Q1"/>
    <x v="0"/>
    <n v="1"/>
    <n v="1132"/>
    <x v="2"/>
    <x v="2"/>
    <n v="7"/>
    <n v="183.97"/>
    <n v="0.25"/>
    <n v="137.97749999999999"/>
    <n v="965.84"/>
    <x v="1"/>
    <n v="2"/>
    <n v="2.2000000000000002"/>
  </r>
  <r>
    <n v="1121"/>
    <d v="2023-01-25T00:00:00"/>
    <x v="3"/>
    <s v="Q1"/>
    <x v="0"/>
    <n v="1"/>
    <n v="1796"/>
    <x v="2"/>
    <x v="1"/>
    <n v="3"/>
    <n v="254.27"/>
    <n v="0.2"/>
    <n v="203.416"/>
    <n v="610.25"/>
    <x v="1"/>
    <n v="9"/>
    <n v="1.8"/>
  </r>
  <r>
    <n v="1122"/>
    <d v="2023-01-26T00:00:00"/>
    <x v="3"/>
    <s v="Q1"/>
    <x v="0"/>
    <n v="1"/>
    <n v="1899"/>
    <x v="3"/>
    <x v="0"/>
    <n v="1"/>
    <n v="321.52"/>
    <n v="0.32"/>
    <n v="218.6336"/>
    <n v="218.63"/>
    <x v="2"/>
    <n v="6"/>
    <n v="3.5"/>
  </r>
  <r>
    <n v="1123"/>
    <d v="2023-01-27T00:00:00"/>
    <x v="3"/>
    <s v="Q1"/>
    <x v="0"/>
    <n v="1"/>
    <n v="1137"/>
    <x v="1"/>
    <x v="3"/>
    <n v="6"/>
    <n v="93.9"/>
    <n v="0.01"/>
    <n v="92.961000000000013"/>
    <n v="557.77"/>
    <x v="0"/>
    <n v="11"/>
    <n v="3.3"/>
  </r>
  <r>
    <n v="1124"/>
    <d v="2023-01-28T00:00:00"/>
    <x v="3"/>
    <s v="Q1"/>
    <x v="0"/>
    <n v="1"/>
    <n v="1183"/>
    <x v="3"/>
    <x v="2"/>
    <n v="2"/>
    <n v="30.2"/>
    <n v="0.25"/>
    <n v="22.65"/>
    <n v="45.3"/>
    <x v="1"/>
    <n v="7"/>
    <n v="3.9"/>
  </r>
  <r>
    <n v="1125"/>
    <d v="2023-01-29T00:00:00"/>
    <x v="3"/>
    <s v="Q1"/>
    <x v="0"/>
    <n v="1"/>
    <n v="1400"/>
    <x v="2"/>
    <x v="0"/>
    <n v="2"/>
    <n v="104.39"/>
    <n v="0.12"/>
    <n v="91.863200000000006"/>
    <n v="183.73"/>
    <x v="1"/>
    <n v="5"/>
    <n v="4.5"/>
  </r>
  <r>
    <n v="1126"/>
    <d v="2023-01-30T00:00:00"/>
    <x v="3"/>
    <s v="Q1"/>
    <x v="0"/>
    <n v="1"/>
    <n v="1329"/>
    <x v="2"/>
    <x v="0"/>
    <n v="1"/>
    <n v="381.71"/>
    <n v="0.06"/>
    <n v="358.80739999999997"/>
    <n v="358.81"/>
    <x v="0"/>
    <n v="5"/>
    <n v="3.2"/>
  </r>
  <r>
    <n v="1127"/>
    <d v="2023-01-31T00:00:00"/>
    <x v="3"/>
    <s v="Q1"/>
    <x v="0"/>
    <n v="1"/>
    <n v="1784"/>
    <x v="2"/>
    <x v="3"/>
    <n v="2"/>
    <n v="58.07"/>
    <n v="0.18"/>
    <n v="47.617400000000004"/>
    <n v="95.23"/>
    <x v="2"/>
    <n v="4"/>
    <n v="1.6"/>
  </r>
  <r>
    <n v="1128"/>
    <d v="2023-02-01T00:00:00"/>
    <x v="3"/>
    <s v="Q1"/>
    <x v="1"/>
    <n v="2"/>
    <n v="1507"/>
    <x v="0"/>
    <x v="0"/>
    <n v="6"/>
    <n v="125.97"/>
    <n v="0.18"/>
    <n v="103.2954"/>
    <n v="619.77"/>
    <x v="1"/>
    <n v="8"/>
    <n v="3.4"/>
  </r>
  <r>
    <n v="1129"/>
    <d v="2023-02-02T00:00:00"/>
    <x v="3"/>
    <s v="Q1"/>
    <x v="1"/>
    <n v="2"/>
    <n v="1851"/>
    <x v="3"/>
    <x v="3"/>
    <n v="6"/>
    <n v="212.64"/>
    <n v="0.05"/>
    <n v="202.00799999999998"/>
    <n v="1212.05"/>
    <x v="1"/>
    <n v="7"/>
    <n v="2.5"/>
  </r>
  <r>
    <n v="1130"/>
    <d v="2023-02-03T00:00:00"/>
    <x v="3"/>
    <s v="Q1"/>
    <x v="1"/>
    <n v="2"/>
    <n v="1983"/>
    <x v="0"/>
    <x v="2"/>
    <n v="6"/>
    <n v="60.55"/>
    <n v="7.0000000000000007E-2"/>
    <n v="56.311499999999995"/>
    <n v="337.87"/>
    <x v="1"/>
    <n v="10"/>
    <n v="2.8"/>
  </r>
  <r>
    <n v="1131"/>
    <d v="2023-02-04T00:00:00"/>
    <x v="3"/>
    <s v="Q1"/>
    <x v="1"/>
    <n v="2"/>
    <n v="1068"/>
    <x v="2"/>
    <x v="2"/>
    <n v="1"/>
    <n v="127.14"/>
    <n v="0.14000000000000001"/>
    <n v="109.3404"/>
    <n v="109.34"/>
    <x v="2"/>
    <n v="2"/>
    <n v="4.8"/>
  </r>
  <r>
    <n v="1132"/>
    <d v="2023-02-05T00:00:00"/>
    <x v="3"/>
    <s v="Q1"/>
    <x v="1"/>
    <n v="2"/>
    <n v="1545"/>
    <x v="1"/>
    <x v="0"/>
    <n v="4"/>
    <n v="548.09"/>
    <n v="0.14000000000000001"/>
    <n v="471.35740000000004"/>
    <n v="1885.43"/>
    <x v="1"/>
    <n v="2"/>
    <n v="3.2"/>
  </r>
  <r>
    <n v="1133"/>
    <d v="2023-02-06T00:00:00"/>
    <x v="3"/>
    <s v="Q1"/>
    <x v="1"/>
    <n v="2"/>
    <n v="1773"/>
    <x v="3"/>
    <x v="3"/>
    <n v="4"/>
    <n v="26.29"/>
    <n v="0.11"/>
    <n v="23.398099999999999"/>
    <n v="93.59"/>
    <x v="1"/>
    <n v="6"/>
    <n v="1.6"/>
  </r>
  <r>
    <n v="1134"/>
    <d v="2023-02-07T00:00:00"/>
    <x v="3"/>
    <s v="Q1"/>
    <x v="1"/>
    <n v="2"/>
    <n v="1052"/>
    <x v="2"/>
    <x v="1"/>
    <n v="7"/>
    <n v="397.26"/>
    <n v="0.05"/>
    <n v="377.39699999999999"/>
    <n v="2641.78"/>
    <x v="1"/>
    <n v="11"/>
    <n v="2.8"/>
  </r>
  <r>
    <n v="1135"/>
    <d v="2023-02-08T00:00:00"/>
    <x v="3"/>
    <s v="Q1"/>
    <x v="1"/>
    <n v="2"/>
    <n v="1449"/>
    <x v="3"/>
    <x v="2"/>
    <n v="7"/>
    <n v="239.88"/>
    <n v="0"/>
    <n v="239.88"/>
    <n v="1679.16"/>
    <x v="1"/>
    <n v="1"/>
    <n v="1.9"/>
  </r>
  <r>
    <n v="1136"/>
    <d v="2023-02-09T00:00:00"/>
    <x v="3"/>
    <s v="Q1"/>
    <x v="1"/>
    <n v="2"/>
    <n v="1204"/>
    <x v="0"/>
    <x v="3"/>
    <n v="2"/>
    <n v="408.5"/>
    <n v="0.34"/>
    <n v="269.61"/>
    <n v="539.22"/>
    <x v="2"/>
    <n v="7"/>
    <n v="1.5"/>
  </r>
  <r>
    <n v="1137"/>
    <d v="2023-02-10T00:00:00"/>
    <x v="3"/>
    <s v="Q1"/>
    <x v="1"/>
    <n v="2"/>
    <n v="1125"/>
    <x v="0"/>
    <x v="3"/>
    <n v="6"/>
    <n v="359.38"/>
    <n v="0.33"/>
    <n v="240.78460000000001"/>
    <n v="1444.71"/>
    <x v="1"/>
    <n v="8"/>
    <n v="3.8"/>
  </r>
  <r>
    <n v="1138"/>
    <d v="2023-02-11T00:00:00"/>
    <x v="3"/>
    <s v="Q1"/>
    <x v="1"/>
    <n v="2"/>
    <n v="1746"/>
    <x v="3"/>
    <x v="3"/>
    <n v="2"/>
    <n v="145.75"/>
    <n v="0.17"/>
    <n v="120.9725"/>
    <n v="241.94"/>
    <x v="1"/>
    <n v="10"/>
    <n v="3.5"/>
  </r>
  <r>
    <n v="1139"/>
    <d v="2023-02-12T00:00:00"/>
    <x v="3"/>
    <s v="Q1"/>
    <x v="1"/>
    <n v="2"/>
    <n v="1042"/>
    <x v="2"/>
    <x v="0"/>
    <n v="1"/>
    <n v="510.62"/>
    <n v="0.35"/>
    <n v="331.90300000000002"/>
    <n v="331.9"/>
    <x v="0"/>
    <n v="8"/>
    <n v="3"/>
  </r>
  <r>
    <n v="1140"/>
    <d v="2023-02-13T00:00:00"/>
    <x v="3"/>
    <s v="Q1"/>
    <x v="1"/>
    <n v="2"/>
    <n v="1751"/>
    <x v="2"/>
    <x v="1"/>
    <n v="2"/>
    <n v="302.79000000000002"/>
    <n v="0.24"/>
    <n v="230.12040000000002"/>
    <n v="460.24"/>
    <x v="2"/>
    <n v="3"/>
    <n v="2.7"/>
  </r>
  <r>
    <n v="1141"/>
    <d v="2023-02-14T00:00:00"/>
    <x v="3"/>
    <s v="Q1"/>
    <x v="1"/>
    <n v="2"/>
    <n v="1970"/>
    <x v="0"/>
    <x v="0"/>
    <n v="5"/>
    <n v="496.18"/>
    <n v="0.02"/>
    <n v="486.25639999999999"/>
    <n v="2431.2800000000002"/>
    <x v="1"/>
    <n v="7"/>
    <n v="2.2999999999999998"/>
  </r>
  <r>
    <n v="1142"/>
    <d v="2023-02-15T00:00:00"/>
    <x v="3"/>
    <s v="Q1"/>
    <x v="1"/>
    <n v="2"/>
    <n v="1882"/>
    <x v="2"/>
    <x v="2"/>
    <n v="4"/>
    <n v="252.52"/>
    <n v="0.04"/>
    <n v="242.41920000000002"/>
    <n v="969.68"/>
    <x v="2"/>
    <n v="1"/>
    <n v="1.4"/>
  </r>
  <r>
    <n v="1143"/>
    <d v="2023-02-16T00:00:00"/>
    <x v="3"/>
    <s v="Q1"/>
    <x v="1"/>
    <n v="2"/>
    <n v="1110"/>
    <x v="3"/>
    <x v="0"/>
    <n v="2"/>
    <n v="591.04"/>
    <n v="0.32"/>
    <n v="401.90719999999999"/>
    <n v="803.81"/>
    <x v="1"/>
    <n v="11"/>
    <n v="2.2000000000000002"/>
  </r>
  <r>
    <n v="1144"/>
    <d v="2023-02-17T00:00:00"/>
    <x v="3"/>
    <s v="Q1"/>
    <x v="1"/>
    <n v="2"/>
    <n v="1760"/>
    <x v="3"/>
    <x v="3"/>
    <n v="2"/>
    <n v="465.74"/>
    <n v="0.22"/>
    <n v="363.27719999999999"/>
    <n v="726.55"/>
    <x v="2"/>
    <n v="3"/>
    <n v="4.4000000000000004"/>
  </r>
  <r>
    <n v="1145"/>
    <d v="2023-02-18T00:00:00"/>
    <x v="3"/>
    <s v="Q1"/>
    <x v="1"/>
    <n v="2"/>
    <n v="1662"/>
    <x v="1"/>
    <x v="0"/>
    <n v="3"/>
    <n v="580.08000000000004"/>
    <n v="0.3"/>
    <n v="406.05600000000004"/>
    <n v="1218.17"/>
    <x v="2"/>
    <n v="6"/>
    <n v="4.0999999999999996"/>
  </r>
  <r>
    <n v="1146"/>
    <d v="2023-02-19T00:00:00"/>
    <x v="3"/>
    <s v="Q1"/>
    <x v="1"/>
    <n v="2"/>
    <n v="1182"/>
    <x v="0"/>
    <x v="3"/>
    <n v="2"/>
    <n v="315.88"/>
    <n v="0.31"/>
    <n v="217.9572"/>
    <n v="435.91"/>
    <x v="2"/>
    <n v="9"/>
    <n v="4.9000000000000004"/>
  </r>
  <r>
    <n v="1147"/>
    <d v="2023-02-20T00:00:00"/>
    <x v="3"/>
    <s v="Q1"/>
    <x v="1"/>
    <n v="2"/>
    <n v="1847"/>
    <x v="2"/>
    <x v="1"/>
    <n v="5"/>
    <n v="292.11"/>
    <n v="0.16"/>
    <n v="245.37240000000003"/>
    <n v="1226.8599999999999"/>
    <x v="2"/>
    <n v="5"/>
    <n v="3.6"/>
  </r>
  <r>
    <n v="1148"/>
    <d v="2023-02-21T00:00:00"/>
    <x v="3"/>
    <s v="Q1"/>
    <x v="1"/>
    <n v="2"/>
    <n v="1094"/>
    <x v="2"/>
    <x v="0"/>
    <n v="4"/>
    <n v="456.94"/>
    <n v="0.02"/>
    <n v="447.80119999999999"/>
    <n v="1791.2"/>
    <x v="1"/>
    <n v="5"/>
    <n v="3.2"/>
  </r>
  <r>
    <n v="1149"/>
    <d v="2023-02-22T00:00:00"/>
    <x v="3"/>
    <s v="Q1"/>
    <x v="1"/>
    <n v="2"/>
    <n v="1970"/>
    <x v="2"/>
    <x v="0"/>
    <n v="3"/>
    <n v="529.97"/>
    <n v="7.0000000000000007E-2"/>
    <n v="492.87210000000005"/>
    <n v="1478.62"/>
    <x v="2"/>
    <n v="9"/>
    <n v="2.2000000000000002"/>
  </r>
  <r>
    <n v="1150"/>
    <d v="2023-02-23T00:00:00"/>
    <x v="3"/>
    <s v="Q1"/>
    <x v="1"/>
    <n v="2"/>
    <n v="1373"/>
    <x v="1"/>
    <x v="0"/>
    <n v="1"/>
    <n v="579.03"/>
    <n v="0.02"/>
    <n v="567.44939999999997"/>
    <n v="567.45000000000005"/>
    <x v="1"/>
    <n v="9"/>
    <n v="1.3"/>
  </r>
  <r>
    <n v="1151"/>
    <d v="2023-02-24T00:00:00"/>
    <x v="3"/>
    <s v="Q1"/>
    <x v="1"/>
    <n v="2"/>
    <n v="1911"/>
    <x v="2"/>
    <x v="3"/>
    <n v="7"/>
    <n v="204.86"/>
    <n v="7.0000000000000007E-2"/>
    <n v="190.5198"/>
    <n v="1333.64"/>
    <x v="1"/>
    <n v="6"/>
    <n v="3.5"/>
  </r>
  <r>
    <n v="1152"/>
    <d v="2023-02-25T00:00:00"/>
    <x v="3"/>
    <s v="Q1"/>
    <x v="1"/>
    <n v="2"/>
    <n v="1519"/>
    <x v="2"/>
    <x v="3"/>
    <n v="1"/>
    <n v="482.24"/>
    <n v="0.14000000000000001"/>
    <n v="414.72640000000001"/>
    <n v="414.73"/>
    <x v="0"/>
    <n v="5"/>
    <n v="3"/>
  </r>
  <r>
    <n v="1153"/>
    <d v="2023-02-26T00:00:00"/>
    <x v="3"/>
    <s v="Q1"/>
    <x v="1"/>
    <n v="2"/>
    <n v="1899"/>
    <x v="3"/>
    <x v="0"/>
    <n v="4"/>
    <n v="138.22999999999999"/>
    <n v="0.04"/>
    <n v="132.70079999999999"/>
    <n v="530.79999999999995"/>
    <x v="2"/>
    <n v="10"/>
    <n v="4"/>
  </r>
  <r>
    <n v="1154"/>
    <d v="2023-02-27T00:00:00"/>
    <x v="3"/>
    <s v="Q1"/>
    <x v="1"/>
    <n v="2"/>
    <n v="1359"/>
    <x v="0"/>
    <x v="0"/>
    <n v="7"/>
    <n v="334.16"/>
    <n v="0.06"/>
    <n v="314.11040000000003"/>
    <n v="2198.77"/>
    <x v="0"/>
    <n v="2"/>
    <n v="2.6"/>
  </r>
  <r>
    <n v="1155"/>
    <d v="2023-02-28T00:00:00"/>
    <x v="3"/>
    <s v="Q1"/>
    <x v="1"/>
    <n v="2"/>
    <n v="1899"/>
    <x v="2"/>
    <x v="1"/>
    <n v="1"/>
    <n v="120.21"/>
    <n v="0.16"/>
    <n v="100.9764"/>
    <n v="100.98"/>
    <x v="1"/>
    <n v="11"/>
    <n v="4.9000000000000004"/>
  </r>
  <r>
    <n v="1156"/>
    <d v="2023-03-01T00:00:00"/>
    <x v="3"/>
    <s v="Q1"/>
    <x v="2"/>
    <n v="3"/>
    <n v="1695"/>
    <x v="1"/>
    <x v="1"/>
    <n v="5"/>
    <n v="218.23"/>
    <n v="0.12"/>
    <n v="192.04239999999999"/>
    <n v="960.21"/>
    <x v="2"/>
    <n v="8"/>
    <n v="2.6"/>
  </r>
  <r>
    <n v="1157"/>
    <d v="2023-03-02T00:00:00"/>
    <x v="3"/>
    <s v="Q1"/>
    <x v="2"/>
    <n v="3"/>
    <n v="1280"/>
    <x v="0"/>
    <x v="2"/>
    <n v="2"/>
    <n v="559.84"/>
    <n v="0.16"/>
    <n v="470.26560000000001"/>
    <n v="940.53"/>
    <x v="1"/>
    <n v="8"/>
    <n v="2.2999999999999998"/>
  </r>
  <r>
    <n v="1158"/>
    <d v="2023-03-03T00:00:00"/>
    <x v="3"/>
    <s v="Q1"/>
    <x v="2"/>
    <n v="3"/>
    <n v="1194"/>
    <x v="2"/>
    <x v="1"/>
    <n v="4"/>
    <n v="100.46"/>
    <n v="0.15"/>
    <n v="85.390999999999991"/>
    <n v="341.56"/>
    <x v="2"/>
    <n v="7"/>
    <n v="4.5"/>
  </r>
  <r>
    <n v="1159"/>
    <d v="2023-03-04T00:00:00"/>
    <x v="3"/>
    <s v="Q1"/>
    <x v="2"/>
    <n v="3"/>
    <n v="1863"/>
    <x v="2"/>
    <x v="1"/>
    <n v="7"/>
    <n v="384.95"/>
    <n v="0.23"/>
    <n v="296.41149999999999"/>
    <n v="2074.88"/>
    <x v="1"/>
    <n v="8"/>
    <n v="2.6"/>
  </r>
  <r>
    <n v="1160"/>
    <d v="2023-03-05T00:00:00"/>
    <x v="3"/>
    <s v="Q1"/>
    <x v="2"/>
    <n v="3"/>
    <n v="1194"/>
    <x v="2"/>
    <x v="1"/>
    <n v="3"/>
    <n v="361.88"/>
    <n v="0.33"/>
    <n v="242.45959999999999"/>
    <n v="727.38"/>
    <x v="1"/>
    <n v="3"/>
    <n v="4.5"/>
  </r>
  <r>
    <n v="1161"/>
    <d v="2023-03-06T00:00:00"/>
    <x v="3"/>
    <s v="Q1"/>
    <x v="2"/>
    <n v="3"/>
    <n v="1666"/>
    <x v="1"/>
    <x v="3"/>
    <n v="2"/>
    <n v="85.63"/>
    <n v="0.04"/>
    <n v="82.204799999999992"/>
    <n v="164.41"/>
    <x v="1"/>
    <n v="3"/>
    <n v="1.1000000000000001"/>
  </r>
  <r>
    <n v="1162"/>
    <d v="2023-03-07T00:00:00"/>
    <x v="3"/>
    <s v="Q1"/>
    <x v="2"/>
    <n v="3"/>
    <n v="1092"/>
    <x v="2"/>
    <x v="1"/>
    <n v="1"/>
    <n v="205.7"/>
    <n v="0.03"/>
    <n v="199.529"/>
    <n v="199.53"/>
    <x v="2"/>
    <n v="2"/>
    <n v="3.8"/>
  </r>
  <r>
    <n v="1163"/>
    <d v="2023-03-08T00:00:00"/>
    <x v="3"/>
    <s v="Q1"/>
    <x v="2"/>
    <n v="3"/>
    <n v="1671"/>
    <x v="0"/>
    <x v="1"/>
    <n v="1"/>
    <n v="344.34"/>
    <n v="0.3"/>
    <n v="241.03799999999998"/>
    <n v="241.04"/>
    <x v="1"/>
    <n v="1"/>
    <n v="1.3"/>
  </r>
  <r>
    <n v="1164"/>
    <d v="2023-03-09T00:00:00"/>
    <x v="3"/>
    <s v="Q1"/>
    <x v="2"/>
    <n v="3"/>
    <n v="1945"/>
    <x v="1"/>
    <x v="0"/>
    <n v="3"/>
    <n v="124.5"/>
    <n v="0.18"/>
    <n v="102.09"/>
    <n v="306.27"/>
    <x v="0"/>
    <n v="3"/>
    <n v="1.6"/>
  </r>
  <r>
    <n v="1165"/>
    <d v="2023-03-10T00:00:00"/>
    <x v="3"/>
    <s v="Q1"/>
    <x v="2"/>
    <n v="3"/>
    <n v="1060"/>
    <x v="1"/>
    <x v="3"/>
    <n v="5"/>
    <n v="483.36"/>
    <n v="0.27"/>
    <n v="352.8528"/>
    <n v="1764.26"/>
    <x v="1"/>
    <n v="3"/>
    <n v="3.8"/>
  </r>
  <r>
    <n v="1166"/>
    <d v="2023-03-11T00:00:00"/>
    <x v="3"/>
    <s v="Q1"/>
    <x v="2"/>
    <n v="3"/>
    <n v="1633"/>
    <x v="2"/>
    <x v="2"/>
    <n v="3"/>
    <n v="583.71"/>
    <n v="0.08"/>
    <n v="537.01319999999998"/>
    <n v="1611.04"/>
    <x v="1"/>
    <n v="7"/>
    <n v="2.2000000000000002"/>
  </r>
  <r>
    <n v="1167"/>
    <d v="2023-03-12T00:00:00"/>
    <x v="3"/>
    <s v="Q1"/>
    <x v="2"/>
    <n v="3"/>
    <n v="1050"/>
    <x v="1"/>
    <x v="2"/>
    <n v="4"/>
    <n v="140.63"/>
    <n v="0.28999999999999998"/>
    <n v="99.84729999999999"/>
    <n v="399.39"/>
    <x v="1"/>
    <n v="10"/>
    <n v="1.8"/>
  </r>
  <r>
    <n v="1168"/>
    <d v="2023-03-13T00:00:00"/>
    <x v="3"/>
    <s v="Q1"/>
    <x v="2"/>
    <n v="3"/>
    <n v="1402"/>
    <x v="3"/>
    <x v="1"/>
    <n v="3"/>
    <n v="124.34"/>
    <n v="0.32"/>
    <n v="84.551199999999994"/>
    <n v="253.65"/>
    <x v="0"/>
    <n v="9"/>
    <n v="4.2"/>
  </r>
  <r>
    <n v="1169"/>
    <d v="2023-03-14T00:00:00"/>
    <x v="3"/>
    <s v="Q1"/>
    <x v="2"/>
    <n v="3"/>
    <n v="1788"/>
    <x v="3"/>
    <x v="2"/>
    <n v="1"/>
    <n v="281.14"/>
    <n v="0.22"/>
    <n v="219.28919999999999"/>
    <n v="219.29"/>
    <x v="1"/>
    <n v="1"/>
    <n v="4.8"/>
  </r>
  <r>
    <n v="1170"/>
    <d v="2023-03-15T00:00:00"/>
    <x v="3"/>
    <s v="Q1"/>
    <x v="2"/>
    <n v="3"/>
    <n v="1004"/>
    <x v="3"/>
    <x v="2"/>
    <n v="5"/>
    <n v="452.44"/>
    <n v="0.04"/>
    <n v="434.3424"/>
    <n v="2171.71"/>
    <x v="1"/>
    <n v="8"/>
    <n v="1.9"/>
  </r>
  <r>
    <n v="1171"/>
    <d v="2023-03-16T00:00:00"/>
    <x v="3"/>
    <s v="Q1"/>
    <x v="2"/>
    <n v="3"/>
    <n v="1465"/>
    <x v="1"/>
    <x v="2"/>
    <n v="5"/>
    <n v="179.74"/>
    <n v="0.31"/>
    <n v="124.0206"/>
    <n v="620.1"/>
    <x v="2"/>
    <n v="1"/>
    <n v="2.2999999999999998"/>
  </r>
  <r>
    <n v="1172"/>
    <d v="2023-03-17T00:00:00"/>
    <x v="3"/>
    <s v="Q1"/>
    <x v="2"/>
    <n v="3"/>
    <n v="1603"/>
    <x v="0"/>
    <x v="1"/>
    <n v="6"/>
    <n v="26.63"/>
    <n v="0.28000000000000003"/>
    <n v="19.1736"/>
    <n v="115.04"/>
    <x v="1"/>
    <n v="3"/>
    <n v="3.9"/>
  </r>
  <r>
    <n v="1173"/>
    <d v="2023-03-18T00:00:00"/>
    <x v="3"/>
    <s v="Q1"/>
    <x v="2"/>
    <n v="3"/>
    <n v="1681"/>
    <x v="3"/>
    <x v="2"/>
    <n v="3"/>
    <n v="331.61"/>
    <n v="0.26"/>
    <n v="245.3914"/>
    <n v="736.17"/>
    <x v="2"/>
    <n v="4"/>
    <n v="4.3"/>
  </r>
  <r>
    <n v="1174"/>
    <d v="2023-03-19T00:00:00"/>
    <x v="3"/>
    <s v="Q1"/>
    <x v="2"/>
    <n v="3"/>
    <n v="1828"/>
    <x v="3"/>
    <x v="1"/>
    <n v="4"/>
    <n v="574.61"/>
    <n v="0.01"/>
    <n v="568.86390000000006"/>
    <n v="2275.46"/>
    <x v="1"/>
    <n v="11"/>
    <n v="5"/>
  </r>
  <r>
    <n v="1175"/>
    <d v="2023-03-20T00:00:00"/>
    <x v="3"/>
    <s v="Q1"/>
    <x v="2"/>
    <n v="3"/>
    <n v="1533"/>
    <x v="2"/>
    <x v="0"/>
    <n v="1"/>
    <n v="243.9"/>
    <n v="0.28000000000000003"/>
    <n v="175.608"/>
    <n v="175.61"/>
    <x v="2"/>
    <n v="8"/>
    <n v="2.1"/>
  </r>
  <r>
    <n v="1176"/>
    <d v="2023-03-21T00:00:00"/>
    <x v="3"/>
    <s v="Q1"/>
    <x v="2"/>
    <n v="3"/>
    <n v="1404"/>
    <x v="2"/>
    <x v="0"/>
    <n v="2"/>
    <n v="260.77999999999997"/>
    <n v="0.05"/>
    <n v="247.74099999999999"/>
    <n v="495.48"/>
    <x v="1"/>
    <n v="1"/>
    <n v="3.2"/>
  </r>
  <r>
    <n v="1177"/>
    <d v="2023-03-22T00:00:00"/>
    <x v="3"/>
    <s v="Q1"/>
    <x v="2"/>
    <n v="3"/>
    <n v="1837"/>
    <x v="2"/>
    <x v="2"/>
    <n v="5"/>
    <n v="581.80999999999995"/>
    <n v="0.08"/>
    <n v="535.26519999999994"/>
    <n v="2676.33"/>
    <x v="2"/>
    <n v="2"/>
    <n v="1.5"/>
  </r>
  <r>
    <n v="1178"/>
    <d v="2023-03-23T00:00:00"/>
    <x v="3"/>
    <s v="Q1"/>
    <x v="2"/>
    <n v="3"/>
    <n v="1512"/>
    <x v="3"/>
    <x v="0"/>
    <n v="3"/>
    <n v="421.35"/>
    <n v="0.2"/>
    <n v="337.08000000000004"/>
    <n v="1011.24"/>
    <x v="2"/>
    <n v="11"/>
    <n v="2.2999999999999998"/>
  </r>
  <r>
    <n v="1179"/>
    <d v="2023-03-24T00:00:00"/>
    <x v="3"/>
    <s v="Q1"/>
    <x v="2"/>
    <n v="3"/>
    <n v="1644"/>
    <x v="1"/>
    <x v="1"/>
    <n v="6"/>
    <n v="435.72"/>
    <n v="0.09"/>
    <n v="396.5052"/>
    <n v="2379.0300000000002"/>
    <x v="2"/>
    <n v="5"/>
    <n v="1.2"/>
  </r>
  <r>
    <n v="1180"/>
    <d v="2023-03-25T00:00:00"/>
    <x v="3"/>
    <s v="Q1"/>
    <x v="2"/>
    <n v="3"/>
    <n v="1232"/>
    <x v="1"/>
    <x v="0"/>
    <n v="4"/>
    <n v="344.18"/>
    <n v="0.23"/>
    <n v="265.01859999999999"/>
    <n v="1060.07"/>
    <x v="2"/>
    <n v="6"/>
    <n v="1.8"/>
  </r>
  <r>
    <n v="1181"/>
    <d v="2023-03-26T00:00:00"/>
    <x v="3"/>
    <s v="Q1"/>
    <x v="2"/>
    <n v="3"/>
    <n v="1523"/>
    <x v="0"/>
    <x v="2"/>
    <n v="4"/>
    <n v="585.15"/>
    <n v="0.21"/>
    <n v="462.26850000000002"/>
    <n v="1849.07"/>
    <x v="0"/>
    <n v="5"/>
    <n v="3"/>
  </r>
  <r>
    <n v="1182"/>
    <d v="2023-03-27T00:00:00"/>
    <x v="3"/>
    <s v="Q1"/>
    <x v="2"/>
    <n v="3"/>
    <n v="1345"/>
    <x v="0"/>
    <x v="1"/>
    <n v="7"/>
    <n v="417.99"/>
    <n v="0.04"/>
    <n v="401.2704"/>
    <n v="2808.89"/>
    <x v="1"/>
    <n v="3"/>
    <n v="1.7"/>
  </r>
  <r>
    <n v="1183"/>
    <d v="2023-03-28T00:00:00"/>
    <x v="3"/>
    <s v="Q1"/>
    <x v="2"/>
    <n v="3"/>
    <n v="1045"/>
    <x v="0"/>
    <x v="3"/>
    <n v="1"/>
    <n v="538.59"/>
    <n v="0.23"/>
    <n v="414.71430000000004"/>
    <n v="414.71"/>
    <x v="1"/>
    <n v="10"/>
    <n v="4.5999999999999996"/>
  </r>
  <r>
    <n v="1184"/>
    <d v="2023-03-29T00:00:00"/>
    <x v="3"/>
    <s v="Q1"/>
    <x v="2"/>
    <n v="3"/>
    <n v="1545"/>
    <x v="2"/>
    <x v="1"/>
    <n v="5"/>
    <n v="424.14"/>
    <n v="0.32"/>
    <n v="288.41520000000003"/>
    <n v="1442.08"/>
    <x v="2"/>
    <n v="7"/>
    <n v="3.8"/>
  </r>
  <r>
    <n v="1185"/>
    <d v="2023-03-30T00:00:00"/>
    <x v="3"/>
    <s v="Q1"/>
    <x v="2"/>
    <n v="3"/>
    <n v="1944"/>
    <x v="3"/>
    <x v="0"/>
    <n v="1"/>
    <n v="445.04"/>
    <n v="0.06"/>
    <n v="418.33760000000001"/>
    <n v="418.34"/>
    <x v="2"/>
    <n v="1"/>
    <n v="1.1000000000000001"/>
  </r>
  <r>
    <n v="1186"/>
    <d v="2023-03-31T00:00:00"/>
    <x v="3"/>
    <s v="Q1"/>
    <x v="2"/>
    <n v="3"/>
    <n v="1077"/>
    <x v="2"/>
    <x v="3"/>
    <n v="6"/>
    <n v="184.89"/>
    <n v="0.21"/>
    <n v="146.06309999999999"/>
    <n v="876.38"/>
    <x v="1"/>
    <n v="2"/>
    <n v="4.5"/>
  </r>
  <r>
    <n v="1187"/>
    <d v="2023-04-01T00:00:00"/>
    <x v="3"/>
    <s v="Q2"/>
    <x v="3"/>
    <n v="4"/>
    <n v="1729"/>
    <x v="2"/>
    <x v="1"/>
    <n v="2"/>
    <n v="192.54"/>
    <n v="0.12"/>
    <n v="169.43520000000001"/>
    <n v="338.87"/>
    <x v="2"/>
    <n v="11"/>
    <n v="4.9000000000000004"/>
  </r>
  <r>
    <n v="1188"/>
    <d v="2023-04-02T00:00:00"/>
    <x v="3"/>
    <s v="Q2"/>
    <x v="3"/>
    <n v="4"/>
    <n v="1812"/>
    <x v="2"/>
    <x v="3"/>
    <n v="2"/>
    <n v="473.05"/>
    <n v="0.16"/>
    <n v="397.36200000000002"/>
    <n v="794.72"/>
    <x v="1"/>
    <n v="9"/>
    <n v="3"/>
  </r>
  <r>
    <n v="1189"/>
    <d v="2023-04-03T00:00:00"/>
    <x v="3"/>
    <s v="Q2"/>
    <x v="3"/>
    <n v="4"/>
    <n v="1922"/>
    <x v="2"/>
    <x v="3"/>
    <n v="2"/>
    <n v="188.57"/>
    <n v="0.1"/>
    <n v="169.71299999999999"/>
    <n v="339.43"/>
    <x v="2"/>
    <n v="4"/>
    <n v="2.2999999999999998"/>
  </r>
  <r>
    <n v="1190"/>
    <d v="2023-04-04T00:00:00"/>
    <x v="3"/>
    <s v="Q2"/>
    <x v="3"/>
    <n v="4"/>
    <n v="1072"/>
    <x v="1"/>
    <x v="3"/>
    <n v="4"/>
    <n v="344.22"/>
    <n v="0.12"/>
    <n v="302.91360000000003"/>
    <n v="1211.6500000000001"/>
    <x v="0"/>
    <n v="8"/>
    <n v="2.1"/>
  </r>
  <r>
    <n v="1191"/>
    <d v="2023-04-05T00:00:00"/>
    <x v="3"/>
    <s v="Q2"/>
    <x v="3"/>
    <n v="4"/>
    <n v="1793"/>
    <x v="3"/>
    <x v="1"/>
    <n v="5"/>
    <n v="160.87"/>
    <n v="0.01"/>
    <n v="159.26130000000001"/>
    <n v="796.31"/>
    <x v="2"/>
    <n v="9"/>
    <n v="1.3"/>
  </r>
  <r>
    <n v="1192"/>
    <d v="2023-04-06T00:00:00"/>
    <x v="3"/>
    <s v="Q2"/>
    <x v="3"/>
    <n v="4"/>
    <n v="1248"/>
    <x v="2"/>
    <x v="0"/>
    <n v="1"/>
    <n v="492.94"/>
    <n v="0.34"/>
    <n v="325.34039999999999"/>
    <n v="325.33999999999997"/>
    <x v="1"/>
    <n v="7"/>
    <n v="3"/>
  </r>
  <r>
    <n v="1193"/>
    <d v="2023-04-07T00:00:00"/>
    <x v="3"/>
    <s v="Q2"/>
    <x v="3"/>
    <n v="4"/>
    <n v="1046"/>
    <x v="3"/>
    <x v="1"/>
    <n v="1"/>
    <n v="79.64"/>
    <n v="0.22"/>
    <n v="62.119199999999999"/>
    <n v="62.12"/>
    <x v="2"/>
    <n v="1"/>
    <n v="1.2"/>
  </r>
  <r>
    <n v="1194"/>
    <d v="2023-04-08T00:00:00"/>
    <x v="3"/>
    <s v="Q2"/>
    <x v="3"/>
    <n v="4"/>
    <n v="1120"/>
    <x v="1"/>
    <x v="0"/>
    <n v="6"/>
    <n v="500.23"/>
    <n v="0.18"/>
    <n v="410.18860000000001"/>
    <n v="2461.13"/>
    <x v="2"/>
    <n v="5"/>
    <n v="3"/>
  </r>
  <r>
    <n v="1195"/>
    <d v="2023-04-09T00:00:00"/>
    <x v="3"/>
    <s v="Q2"/>
    <x v="3"/>
    <n v="4"/>
    <n v="1213"/>
    <x v="2"/>
    <x v="1"/>
    <n v="2"/>
    <n v="367.6"/>
    <n v="0.13"/>
    <n v="319.81200000000001"/>
    <n v="639.62"/>
    <x v="1"/>
    <n v="6"/>
    <n v="2"/>
  </r>
  <r>
    <n v="1196"/>
    <d v="2023-04-10T00:00:00"/>
    <x v="3"/>
    <s v="Q2"/>
    <x v="3"/>
    <n v="4"/>
    <n v="1238"/>
    <x v="1"/>
    <x v="1"/>
    <n v="5"/>
    <n v="124.34"/>
    <n v="0.19"/>
    <n v="100.7154"/>
    <n v="503.58"/>
    <x v="2"/>
    <n v="11"/>
    <n v="2.9"/>
  </r>
  <r>
    <n v="1197"/>
    <d v="2023-04-11T00:00:00"/>
    <x v="3"/>
    <s v="Q2"/>
    <x v="3"/>
    <n v="4"/>
    <n v="1055"/>
    <x v="2"/>
    <x v="1"/>
    <n v="5"/>
    <n v="332.09"/>
    <n v="0.13"/>
    <n v="288.91829999999999"/>
    <n v="1444.59"/>
    <x v="0"/>
    <n v="8"/>
    <n v="2.7"/>
  </r>
  <r>
    <n v="1198"/>
    <d v="2023-04-12T00:00:00"/>
    <x v="3"/>
    <s v="Q2"/>
    <x v="3"/>
    <n v="4"/>
    <n v="1349"/>
    <x v="1"/>
    <x v="0"/>
    <n v="6"/>
    <n v="180.26"/>
    <n v="0.13"/>
    <n v="156.8262"/>
    <n v="940.96"/>
    <x v="1"/>
    <n v="10"/>
    <n v="2.2000000000000002"/>
  </r>
  <r>
    <n v="1199"/>
    <d v="2023-04-13T00:00:00"/>
    <x v="3"/>
    <s v="Q2"/>
    <x v="3"/>
    <n v="4"/>
    <n v="1106"/>
    <x v="1"/>
    <x v="1"/>
    <n v="3"/>
    <n v="204.23"/>
    <n v="0.16"/>
    <n v="171.5532"/>
    <n v="514.66"/>
    <x v="1"/>
    <n v="8"/>
    <n v="2.8"/>
  </r>
  <r>
    <n v="1200"/>
    <d v="2023-04-14T00:00:00"/>
    <x v="3"/>
    <s v="Q2"/>
    <x v="3"/>
    <n v="4"/>
    <n v="1830"/>
    <x v="2"/>
    <x v="3"/>
    <n v="5"/>
    <n v="220.64"/>
    <n v="0.1"/>
    <n v="198.57599999999999"/>
    <n v="992.88"/>
    <x v="1"/>
    <n v="9"/>
    <n v="2.9"/>
  </r>
  <r>
    <n v="1201"/>
    <d v="2023-04-15T00:00:00"/>
    <x v="3"/>
    <s v="Q2"/>
    <x v="3"/>
    <n v="4"/>
    <n v="1047"/>
    <x v="2"/>
    <x v="1"/>
    <n v="5"/>
    <n v="52.04"/>
    <n v="0.06"/>
    <n v="48.9176"/>
    <n v="244.59"/>
    <x v="2"/>
    <n v="9"/>
    <n v="4.3"/>
  </r>
  <r>
    <n v="1202"/>
    <d v="2023-04-16T00:00:00"/>
    <x v="3"/>
    <s v="Q2"/>
    <x v="3"/>
    <n v="4"/>
    <n v="1572"/>
    <x v="1"/>
    <x v="3"/>
    <n v="1"/>
    <n v="591.79"/>
    <n v="0.19"/>
    <n v="479.34989999999993"/>
    <n v="479.35"/>
    <x v="0"/>
    <n v="4"/>
    <n v="3.7"/>
  </r>
  <r>
    <n v="1203"/>
    <d v="2023-04-17T00:00:00"/>
    <x v="3"/>
    <s v="Q2"/>
    <x v="3"/>
    <n v="4"/>
    <n v="1336"/>
    <x v="0"/>
    <x v="2"/>
    <n v="6"/>
    <n v="33.450000000000003"/>
    <n v="0.28999999999999998"/>
    <n v="23.749500000000005"/>
    <n v="142.5"/>
    <x v="2"/>
    <n v="6"/>
    <n v="2.7"/>
  </r>
  <r>
    <n v="1204"/>
    <d v="2023-04-18T00:00:00"/>
    <x v="3"/>
    <s v="Q2"/>
    <x v="3"/>
    <n v="4"/>
    <n v="1025"/>
    <x v="2"/>
    <x v="2"/>
    <n v="5"/>
    <n v="402.56"/>
    <n v="0.05"/>
    <n v="382.43200000000002"/>
    <n v="1912.16"/>
    <x v="1"/>
    <n v="3"/>
    <n v="4.5999999999999996"/>
  </r>
  <r>
    <n v="1205"/>
    <d v="2023-04-19T00:00:00"/>
    <x v="3"/>
    <s v="Q2"/>
    <x v="3"/>
    <n v="4"/>
    <n v="1803"/>
    <x v="3"/>
    <x v="0"/>
    <n v="5"/>
    <n v="232.17"/>
    <n v="0.01"/>
    <n v="229.84829999999999"/>
    <n v="1149.24"/>
    <x v="2"/>
    <n v="1"/>
    <n v="4"/>
  </r>
  <r>
    <n v="1206"/>
    <d v="2023-04-20T00:00:00"/>
    <x v="3"/>
    <s v="Q2"/>
    <x v="3"/>
    <n v="4"/>
    <n v="1256"/>
    <x v="3"/>
    <x v="0"/>
    <n v="1"/>
    <n v="392.92"/>
    <n v="0.09"/>
    <n v="357.55720000000002"/>
    <n v="357.56"/>
    <x v="2"/>
    <n v="6"/>
    <n v="1.3"/>
  </r>
  <r>
    <n v="1207"/>
    <d v="2023-04-21T00:00:00"/>
    <x v="3"/>
    <s v="Q2"/>
    <x v="3"/>
    <n v="4"/>
    <n v="1007"/>
    <x v="0"/>
    <x v="2"/>
    <n v="5"/>
    <n v="223.41"/>
    <n v="0.34"/>
    <n v="147.45060000000001"/>
    <n v="737.25"/>
    <x v="2"/>
    <n v="1"/>
    <n v="1.6"/>
  </r>
  <r>
    <n v="1208"/>
    <d v="2023-04-22T00:00:00"/>
    <x v="3"/>
    <s v="Q2"/>
    <x v="3"/>
    <n v="4"/>
    <n v="1624"/>
    <x v="3"/>
    <x v="1"/>
    <n v="1"/>
    <n v="409.14"/>
    <n v="0.28999999999999998"/>
    <n v="290.48939999999999"/>
    <n v="290.49"/>
    <x v="1"/>
    <n v="9"/>
    <n v="1.3"/>
  </r>
  <r>
    <n v="1209"/>
    <d v="2023-04-23T00:00:00"/>
    <x v="3"/>
    <s v="Q2"/>
    <x v="3"/>
    <n v="4"/>
    <n v="1866"/>
    <x v="1"/>
    <x v="1"/>
    <n v="3"/>
    <n v="441.6"/>
    <n v="0.21"/>
    <n v="348.86400000000003"/>
    <n v="1046.5899999999999"/>
    <x v="2"/>
    <n v="11"/>
    <n v="2.2999999999999998"/>
  </r>
  <r>
    <n v="1210"/>
    <d v="2023-04-24T00:00:00"/>
    <x v="3"/>
    <s v="Q2"/>
    <x v="3"/>
    <n v="4"/>
    <n v="1252"/>
    <x v="3"/>
    <x v="1"/>
    <n v="4"/>
    <n v="418.97"/>
    <n v="0.33"/>
    <n v="280.7099"/>
    <n v="1122.8399999999999"/>
    <x v="1"/>
    <n v="6"/>
    <n v="2.7"/>
  </r>
  <r>
    <n v="1211"/>
    <d v="2023-04-25T00:00:00"/>
    <x v="3"/>
    <s v="Q2"/>
    <x v="3"/>
    <n v="4"/>
    <n v="1691"/>
    <x v="0"/>
    <x v="2"/>
    <n v="7"/>
    <n v="81.67"/>
    <n v="0.16"/>
    <n v="68.602800000000002"/>
    <n v="480.22"/>
    <x v="1"/>
    <n v="1"/>
    <n v="3"/>
  </r>
  <r>
    <n v="1212"/>
    <d v="2023-04-26T00:00:00"/>
    <x v="3"/>
    <s v="Q2"/>
    <x v="3"/>
    <n v="4"/>
    <n v="1718"/>
    <x v="1"/>
    <x v="3"/>
    <n v="1"/>
    <n v="399.28"/>
    <n v="0.34"/>
    <n v="263.52479999999997"/>
    <n v="263.52"/>
    <x v="2"/>
    <n v="11"/>
    <n v="4.4000000000000004"/>
  </r>
  <r>
    <n v="1213"/>
    <d v="2023-04-27T00:00:00"/>
    <x v="3"/>
    <s v="Q2"/>
    <x v="3"/>
    <n v="4"/>
    <n v="1302"/>
    <x v="2"/>
    <x v="0"/>
    <n v="1"/>
    <n v="178.79"/>
    <n v="0.1"/>
    <n v="160.911"/>
    <n v="160.91"/>
    <x v="0"/>
    <n v="3"/>
    <n v="1.1000000000000001"/>
  </r>
  <r>
    <n v="1214"/>
    <d v="2023-04-28T00:00:00"/>
    <x v="3"/>
    <s v="Q2"/>
    <x v="3"/>
    <n v="4"/>
    <n v="1638"/>
    <x v="2"/>
    <x v="3"/>
    <n v="5"/>
    <n v="31.85"/>
    <n v="0.08"/>
    <n v="29.302"/>
    <n v="146.51"/>
    <x v="1"/>
    <n v="1"/>
    <n v="2.7"/>
  </r>
  <r>
    <n v="1215"/>
    <d v="2023-04-29T00:00:00"/>
    <x v="3"/>
    <s v="Q2"/>
    <x v="3"/>
    <n v="4"/>
    <n v="1055"/>
    <x v="3"/>
    <x v="2"/>
    <n v="1"/>
    <n v="257.68"/>
    <n v="0.22"/>
    <n v="200.99040000000002"/>
    <n v="200.99"/>
    <x v="0"/>
    <n v="2"/>
    <n v="2.6"/>
  </r>
  <r>
    <n v="1216"/>
    <d v="2023-04-30T00:00:00"/>
    <x v="3"/>
    <s v="Q2"/>
    <x v="3"/>
    <n v="4"/>
    <n v="1725"/>
    <x v="3"/>
    <x v="3"/>
    <n v="6"/>
    <n v="268.62"/>
    <n v="0.13"/>
    <n v="233.6994"/>
    <n v="1402.2"/>
    <x v="1"/>
    <n v="6"/>
    <n v="4.8"/>
  </r>
  <r>
    <n v="1217"/>
    <d v="2023-05-01T00:00:00"/>
    <x v="3"/>
    <s v="Q2"/>
    <x v="4"/>
    <n v="5"/>
    <n v="1525"/>
    <x v="2"/>
    <x v="1"/>
    <n v="2"/>
    <n v="288.3"/>
    <n v="0.22"/>
    <n v="224.87400000000002"/>
    <n v="449.75"/>
    <x v="2"/>
    <n v="7"/>
    <n v="2"/>
  </r>
  <r>
    <n v="1218"/>
    <d v="2023-05-02T00:00:00"/>
    <x v="3"/>
    <s v="Q2"/>
    <x v="4"/>
    <n v="5"/>
    <n v="1473"/>
    <x v="1"/>
    <x v="1"/>
    <n v="2"/>
    <n v="427.32"/>
    <n v="0.11"/>
    <n v="380.31479999999999"/>
    <n v="760.63"/>
    <x v="1"/>
    <n v="1"/>
    <n v="1.5"/>
  </r>
  <r>
    <n v="1219"/>
    <d v="2023-05-03T00:00:00"/>
    <x v="3"/>
    <s v="Q2"/>
    <x v="4"/>
    <n v="5"/>
    <n v="1027"/>
    <x v="1"/>
    <x v="3"/>
    <n v="3"/>
    <n v="195.67"/>
    <n v="0.22"/>
    <n v="152.62259999999998"/>
    <n v="457.87"/>
    <x v="1"/>
    <n v="10"/>
    <n v="1.6"/>
  </r>
  <r>
    <n v="1220"/>
    <d v="2023-05-04T00:00:00"/>
    <x v="3"/>
    <s v="Q2"/>
    <x v="4"/>
    <n v="5"/>
    <n v="1982"/>
    <x v="2"/>
    <x v="2"/>
    <n v="1"/>
    <n v="199.44"/>
    <n v="0.1"/>
    <n v="179.49599999999998"/>
    <n v="179.5"/>
    <x v="2"/>
    <n v="5"/>
    <n v="3.1"/>
  </r>
  <r>
    <n v="1221"/>
    <d v="2023-05-05T00:00:00"/>
    <x v="3"/>
    <s v="Q2"/>
    <x v="4"/>
    <n v="5"/>
    <n v="1077"/>
    <x v="0"/>
    <x v="3"/>
    <n v="6"/>
    <n v="50.42"/>
    <n v="0.02"/>
    <n v="49.4116"/>
    <n v="296.47000000000003"/>
    <x v="2"/>
    <n v="6"/>
    <n v="2.6"/>
  </r>
  <r>
    <n v="1222"/>
    <d v="2023-05-06T00:00:00"/>
    <x v="3"/>
    <s v="Q2"/>
    <x v="4"/>
    <n v="5"/>
    <n v="1215"/>
    <x v="2"/>
    <x v="1"/>
    <n v="5"/>
    <n v="416.79"/>
    <n v="0.32"/>
    <n v="283.41719999999998"/>
    <n v="1417.09"/>
    <x v="2"/>
    <n v="4"/>
    <n v="4"/>
  </r>
  <r>
    <n v="1223"/>
    <d v="2023-05-07T00:00:00"/>
    <x v="3"/>
    <s v="Q2"/>
    <x v="4"/>
    <n v="5"/>
    <n v="1385"/>
    <x v="2"/>
    <x v="1"/>
    <n v="5"/>
    <n v="347.18"/>
    <n v="0.31"/>
    <n v="239.55420000000001"/>
    <n v="1197.77"/>
    <x v="2"/>
    <n v="6"/>
    <n v="2.2999999999999998"/>
  </r>
  <r>
    <n v="1224"/>
    <d v="2023-05-08T00:00:00"/>
    <x v="3"/>
    <s v="Q2"/>
    <x v="4"/>
    <n v="5"/>
    <n v="1364"/>
    <x v="1"/>
    <x v="2"/>
    <n v="7"/>
    <n v="219.41"/>
    <n v="0.34"/>
    <n v="144.81059999999999"/>
    <n v="1013.67"/>
    <x v="2"/>
    <n v="5"/>
    <n v="1.5"/>
  </r>
  <r>
    <n v="1225"/>
    <d v="2023-05-09T00:00:00"/>
    <x v="3"/>
    <s v="Q2"/>
    <x v="4"/>
    <n v="5"/>
    <n v="1665"/>
    <x v="3"/>
    <x v="3"/>
    <n v="4"/>
    <n v="427.54"/>
    <n v="0.25"/>
    <n v="320.65500000000003"/>
    <n v="1282.6199999999999"/>
    <x v="0"/>
    <n v="11"/>
    <n v="2.5"/>
  </r>
  <r>
    <n v="1226"/>
    <d v="2023-05-10T00:00:00"/>
    <x v="3"/>
    <s v="Q2"/>
    <x v="4"/>
    <n v="5"/>
    <n v="1525"/>
    <x v="2"/>
    <x v="1"/>
    <n v="3"/>
    <n v="329.35"/>
    <n v="0.24"/>
    <n v="250.30600000000004"/>
    <n v="750.92"/>
    <x v="2"/>
    <n v="7"/>
    <n v="4.5"/>
  </r>
  <r>
    <n v="1227"/>
    <d v="2023-05-11T00:00:00"/>
    <x v="3"/>
    <s v="Q2"/>
    <x v="4"/>
    <n v="5"/>
    <n v="1698"/>
    <x v="3"/>
    <x v="1"/>
    <n v="6"/>
    <n v="289.51"/>
    <n v="0.2"/>
    <n v="231.608"/>
    <n v="1389.65"/>
    <x v="1"/>
    <n v="4"/>
    <n v="2.6"/>
  </r>
  <r>
    <n v="1228"/>
    <d v="2023-05-12T00:00:00"/>
    <x v="3"/>
    <s v="Q2"/>
    <x v="4"/>
    <n v="5"/>
    <n v="1311"/>
    <x v="1"/>
    <x v="3"/>
    <n v="6"/>
    <n v="314.12"/>
    <n v="0.04"/>
    <n v="301.55520000000001"/>
    <n v="1809.33"/>
    <x v="1"/>
    <n v="1"/>
    <n v="4.3"/>
  </r>
  <r>
    <n v="1229"/>
    <d v="2023-05-13T00:00:00"/>
    <x v="3"/>
    <s v="Q2"/>
    <x v="4"/>
    <n v="5"/>
    <n v="1882"/>
    <x v="2"/>
    <x v="3"/>
    <n v="7"/>
    <n v="387.26"/>
    <n v="7.0000000000000007E-2"/>
    <n v="360.15179999999998"/>
    <n v="2521.06"/>
    <x v="1"/>
    <n v="2"/>
    <n v="2.5"/>
  </r>
  <r>
    <n v="1230"/>
    <d v="2023-05-14T00:00:00"/>
    <x v="3"/>
    <s v="Q2"/>
    <x v="4"/>
    <n v="5"/>
    <n v="1006"/>
    <x v="2"/>
    <x v="0"/>
    <n v="7"/>
    <n v="401.1"/>
    <n v="0.1"/>
    <n v="360.99"/>
    <n v="2526.9299999999998"/>
    <x v="2"/>
    <n v="6"/>
    <n v="2.1"/>
  </r>
  <r>
    <n v="1231"/>
    <d v="2023-05-15T00:00:00"/>
    <x v="3"/>
    <s v="Q2"/>
    <x v="4"/>
    <n v="5"/>
    <n v="1002"/>
    <x v="1"/>
    <x v="2"/>
    <n v="5"/>
    <n v="184.04"/>
    <n v="0.31"/>
    <n v="126.98759999999999"/>
    <n v="634.94000000000005"/>
    <x v="1"/>
    <n v="10"/>
    <n v="4.0999999999999996"/>
  </r>
  <r>
    <n v="1232"/>
    <d v="2023-05-16T00:00:00"/>
    <x v="3"/>
    <s v="Q2"/>
    <x v="4"/>
    <n v="5"/>
    <n v="1622"/>
    <x v="2"/>
    <x v="2"/>
    <n v="4"/>
    <n v="97.33"/>
    <n v="0.06"/>
    <n v="91.490200000000002"/>
    <n v="365.96"/>
    <x v="1"/>
    <n v="11"/>
    <n v="1.8"/>
  </r>
  <r>
    <n v="1233"/>
    <d v="2023-05-17T00:00:00"/>
    <x v="3"/>
    <s v="Q2"/>
    <x v="4"/>
    <n v="5"/>
    <n v="1918"/>
    <x v="0"/>
    <x v="3"/>
    <n v="5"/>
    <n v="106.63"/>
    <n v="0.32"/>
    <n v="72.508399999999995"/>
    <n v="362.54"/>
    <x v="1"/>
    <n v="2"/>
    <n v="1.9"/>
  </r>
  <r>
    <n v="1234"/>
    <d v="2023-05-18T00:00:00"/>
    <x v="3"/>
    <s v="Q2"/>
    <x v="4"/>
    <n v="5"/>
    <n v="1749"/>
    <x v="3"/>
    <x v="2"/>
    <n v="4"/>
    <n v="389.04"/>
    <n v="0.18"/>
    <n v="319.01280000000003"/>
    <n v="1276.05"/>
    <x v="2"/>
    <n v="5"/>
    <n v="1.2"/>
  </r>
  <r>
    <n v="1235"/>
    <d v="2023-05-19T00:00:00"/>
    <x v="3"/>
    <s v="Q2"/>
    <x v="4"/>
    <n v="5"/>
    <n v="1362"/>
    <x v="0"/>
    <x v="1"/>
    <n v="2"/>
    <n v="525.63"/>
    <n v="0.25"/>
    <n v="394.22249999999997"/>
    <n v="788.44"/>
    <x v="1"/>
    <n v="4"/>
    <n v="1.8"/>
  </r>
  <r>
    <n v="1236"/>
    <d v="2023-05-20T00:00:00"/>
    <x v="3"/>
    <s v="Q2"/>
    <x v="4"/>
    <n v="5"/>
    <n v="1750"/>
    <x v="2"/>
    <x v="3"/>
    <n v="6"/>
    <n v="254.56"/>
    <n v="0.04"/>
    <n v="244.3776"/>
    <n v="1466.27"/>
    <x v="1"/>
    <n v="7"/>
    <n v="2.5"/>
  </r>
  <r>
    <n v="1237"/>
    <d v="2023-05-21T00:00:00"/>
    <x v="3"/>
    <s v="Q2"/>
    <x v="4"/>
    <n v="5"/>
    <n v="1507"/>
    <x v="0"/>
    <x v="3"/>
    <n v="7"/>
    <n v="114.17"/>
    <n v="0.09"/>
    <n v="103.8947"/>
    <n v="727.26"/>
    <x v="2"/>
    <n v="4"/>
    <n v="2.6"/>
  </r>
  <r>
    <n v="1238"/>
    <d v="2023-05-22T00:00:00"/>
    <x v="3"/>
    <s v="Q2"/>
    <x v="4"/>
    <n v="5"/>
    <n v="1273"/>
    <x v="1"/>
    <x v="3"/>
    <n v="2"/>
    <n v="457.61"/>
    <n v="0.34"/>
    <n v="302.02260000000001"/>
    <n v="604.04999999999995"/>
    <x v="2"/>
    <n v="7"/>
    <n v="2.7"/>
  </r>
  <r>
    <n v="1239"/>
    <d v="2023-05-23T00:00:00"/>
    <x v="3"/>
    <s v="Q2"/>
    <x v="4"/>
    <n v="5"/>
    <n v="1505"/>
    <x v="2"/>
    <x v="0"/>
    <n v="5"/>
    <n v="502.01"/>
    <n v="0.09"/>
    <n v="456.82909999999998"/>
    <n v="2284.15"/>
    <x v="1"/>
    <n v="11"/>
    <n v="2.9"/>
  </r>
  <r>
    <n v="1240"/>
    <d v="2023-05-24T00:00:00"/>
    <x v="3"/>
    <s v="Q2"/>
    <x v="4"/>
    <n v="5"/>
    <n v="1805"/>
    <x v="2"/>
    <x v="2"/>
    <n v="3"/>
    <n v="530.14"/>
    <n v="0.1"/>
    <n v="477.12599999999998"/>
    <n v="1431.38"/>
    <x v="2"/>
    <n v="8"/>
    <n v="3.3"/>
  </r>
  <r>
    <n v="1241"/>
    <d v="2023-05-25T00:00:00"/>
    <x v="3"/>
    <s v="Q2"/>
    <x v="4"/>
    <n v="5"/>
    <n v="1738"/>
    <x v="2"/>
    <x v="0"/>
    <n v="1"/>
    <n v="370"/>
    <n v="7.0000000000000007E-2"/>
    <n v="344.1"/>
    <n v="344.1"/>
    <x v="1"/>
    <n v="7"/>
    <n v="1.8"/>
  </r>
  <r>
    <n v="1242"/>
    <d v="2023-05-26T00:00:00"/>
    <x v="3"/>
    <s v="Q2"/>
    <x v="4"/>
    <n v="5"/>
    <n v="1882"/>
    <x v="3"/>
    <x v="1"/>
    <n v="3"/>
    <n v="518.53"/>
    <n v="0.05"/>
    <n v="492.6035"/>
    <n v="1477.81"/>
    <x v="0"/>
    <n v="2"/>
    <n v="3.5"/>
  </r>
  <r>
    <n v="1243"/>
    <d v="2023-05-27T00:00:00"/>
    <x v="3"/>
    <s v="Q2"/>
    <x v="4"/>
    <n v="5"/>
    <n v="1014"/>
    <x v="1"/>
    <x v="2"/>
    <n v="3"/>
    <n v="24.02"/>
    <n v="0.08"/>
    <n v="22.098399999999998"/>
    <n v="66.3"/>
    <x v="1"/>
    <n v="11"/>
    <n v="2.2999999999999998"/>
  </r>
  <r>
    <n v="1244"/>
    <d v="2023-05-28T00:00:00"/>
    <x v="3"/>
    <s v="Q2"/>
    <x v="4"/>
    <n v="5"/>
    <n v="1191"/>
    <x v="2"/>
    <x v="0"/>
    <n v="1"/>
    <n v="77.73"/>
    <n v="0.22"/>
    <n v="60.629400000000004"/>
    <n v="60.63"/>
    <x v="0"/>
    <n v="1"/>
    <n v="3.9"/>
  </r>
  <r>
    <n v="1245"/>
    <d v="2023-05-29T00:00:00"/>
    <x v="3"/>
    <s v="Q2"/>
    <x v="4"/>
    <n v="5"/>
    <n v="1984"/>
    <x v="1"/>
    <x v="3"/>
    <n v="6"/>
    <n v="69.16"/>
    <n v="0.16"/>
    <n v="58.094399999999993"/>
    <n v="348.57"/>
    <x v="0"/>
    <n v="5"/>
    <n v="3.2"/>
  </r>
  <r>
    <n v="1246"/>
    <d v="2023-05-30T00:00:00"/>
    <x v="3"/>
    <s v="Q2"/>
    <x v="4"/>
    <n v="5"/>
    <n v="1630"/>
    <x v="2"/>
    <x v="0"/>
    <n v="2"/>
    <n v="431.87"/>
    <n v="0.19"/>
    <n v="349.81470000000002"/>
    <n v="699.63"/>
    <x v="2"/>
    <n v="7"/>
    <n v="3.2"/>
  </r>
  <r>
    <n v="1247"/>
    <d v="2023-05-31T00:00:00"/>
    <x v="3"/>
    <s v="Q2"/>
    <x v="4"/>
    <n v="5"/>
    <n v="1484"/>
    <x v="1"/>
    <x v="3"/>
    <n v="2"/>
    <n v="55.71"/>
    <n v="0.04"/>
    <n v="53.4816"/>
    <n v="106.96"/>
    <x v="1"/>
    <n v="1"/>
    <n v="3.7"/>
  </r>
  <r>
    <n v="1248"/>
    <d v="2023-06-01T00:00:00"/>
    <x v="3"/>
    <s v="Q2"/>
    <x v="5"/>
    <n v="6"/>
    <n v="1027"/>
    <x v="1"/>
    <x v="0"/>
    <n v="6"/>
    <n v="305.37"/>
    <n v="0.28000000000000003"/>
    <n v="219.8664"/>
    <n v="1319.2"/>
    <x v="2"/>
    <n v="11"/>
    <n v="2.2999999999999998"/>
  </r>
  <r>
    <n v="1249"/>
    <d v="2023-06-02T00:00:00"/>
    <x v="3"/>
    <s v="Q2"/>
    <x v="5"/>
    <n v="6"/>
    <n v="1713"/>
    <x v="3"/>
    <x v="0"/>
    <n v="1"/>
    <n v="291.52999999999997"/>
    <n v="0.27"/>
    <n v="212.81689999999998"/>
    <n v="212.82"/>
    <x v="1"/>
    <n v="8"/>
    <n v="2.7"/>
  </r>
  <r>
    <n v="1250"/>
    <d v="2023-06-03T00:00:00"/>
    <x v="3"/>
    <s v="Q2"/>
    <x v="5"/>
    <n v="6"/>
    <n v="1038"/>
    <x v="3"/>
    <x v="0"/>
    <n v="4"/>
    <n v="196.76"/>
    <n v="0.01"/>
    <n v="194.79239999999999"/>
    <n v="779.17"/>
    <x v="0"/>
    <n v="3"/>
    <n v="3.3"/>
  </r>
  <r>
    <n v="1251"/>
    <d v="2023-06-04T00:00:00"/>
    <x v="3"/>
    <s v="Q2"/>
    <x v="5"/>
    <n v="6"/>
    <n v="1952"/>
    <x v="1"/>
    <x v="3"/>
    <n v="3"/>
    <n v="524.19000000000005"/>
    <n v="0.13"/>
    <n v="456.04530000000005"/>
    <n v="1368.14"/>
    <x v="2"/>
    <n v="7"/>
    <n v="2.7"/>
  </r>
  <r>
    <n v="1252"/>
    <d v="2023-06-05T00:00:00"/>
    <x v="3"/>
    <s v="Q2"/>
    <x v="5"/>
    <n v="6"/>
    <n v="1272"/>
    <x v="1"/>
    <x v="0"/>
    <n v="5"/>
    <n v="114.7"/>
    <n v="0.02"/>
    <n v="112.40600000000001"/>
    <n v="562.03"/>
    <x v="0"/>
    <n v="3"/>
    <n v="2.8"/>
  </r>
  <r>
    <n v="1253"/>
    <d v="2023-06-06T00:00:00"/>
    <x v="3"/>
    <s v="Q2"/>
    <x v="5"/>
    <n v="6"/>
    <n v="1230"/>
    <x v="1"/>
    <x v="2"/>
    <n v="2"/>
    <n v="221.19"/>
    <n v="0.28000000000000003"/>
    <n v="159.2568"/>
    <n v="318.51"/>
    <x v="2"/>
    <n v="4"/>
    <n v="2.1"/>
  </r>
  <r>
    <n v="1254"/>
    <d v="2023-06-07T00:00:00"/>
    <x v="3"/>
    <s v="Q2"/>
    <x v="5"/>
    <n v="6"/>
    <n v="1085"/>
    <x v="3"/>
    <x v="2"/>
    <n v="6"/>
    <n v="467.89"/>
    <n v="0.26"/>
    <n v="346.23860000000002"/>
    <n v="2077.4299999999998"/>
    <x v="2"/>
    <n v="8"/>
    <n v="2.1"/>
  </r>
  <r>
    <n v="1255"/>
    <d v="2023-06-08T00:00:00"/>
    <x v="3"/>
    <s v="Q2"/>
    <x v="5"/>
    <n v="6"/>
    <n v="1473"/>
    <x v="2"/>
    <x v="2"/>
    <n v="5"/>
    <n v="32.799999999999997"/>
    <n v="0.32"/>
    <n v="22.303999999999998"/>
    <n v="111.52"/>
    <x v="2"/>
    <n v="2"/>
    <n v="3.8"/>
  </r>
  <r>
    <n v="1256"/>
    <d v="2023-06-09T00:00:00"/>
    <x v="3"/>
    <s v="Q2"/>
    <x v="5"/>
    <n v="6"/>
    <n v="1125"/>
    <x v="2"/>
    <x v="3"/>
    <n v="7"/>
    <n v="408.68"/>
    <n v="0.08"/>
    <n v="375.98559999999998"/>
    <n v="2631.9"/>
    <x v="1"/>
    <n v="6"/>
    <n v="1"/>
  </r>
  <r>
    <n v="1257"/>
    <d v="2023-06-10T00:00:00"/>
    <x v="3"/>
    <s v="Q2"/>
    <x v="5"/>
    <n v="6"/>
    <n v="1811"/>
    <x v="2"/>
    <x v="3"/>
    <n v="1"/>
    <n v="492.59"/>
    <n v="0.16"/>
    <n v="413.7756"/>
    <n v="413.78"/>
    <x v="2"/>
    <n v="10"/>
    <n v="1.4"/>
  </r>
  <r>
    <n v="1258"/>
    <d v="2023-06-11T00:00:00"/>
    <x v="3"/>
    <s v="Q2"/>
    <x v="5"/>
    <n v="6"/>
    <n v="1536"/>
    <x v="1"/>
    <x v="2"/>
    <n v="5"/>
    <n v="560.38"/>
    <n v="0.06"/>
    <n v="526.75720000000001"/>
    <n v="2633.79"/>
    <x v="2"/>
    <n v="9"/>
    <n v="4.8"/>
  </r>
  <r>
    <n v="1259"/>
    <d v="2023-06-12T00:00:00"/>
    <x v="3"/>
    <s v="Q2"/>
    <x v="5"/>
    <n v="6"/>
    <n v="1144"/>
    <x v="1"/>
    <x v="2"/>
    <n v="5"/>
    <n v="527.63"/>
    <n v="0.13"/>
    <n v="459.03809999999999"/>
    <n v="2295.19"/>
    <x v="0"/>
    <n v="10"/>
    <n v="1.7"/>
  </r>
  <r>
    <n v="1260"/>
    <d v="2023-06-13T00:00:00"/>
    <x v="3"/>
    <s v="Q2"/>
    <x v="5"/>
    <n v="6"/>
    <n v="1524"/>
    <x v="3"/>
    <x v="2"/>
    <n v="3"/>
    <n v="201.84"/>
    <n v="0.18"/>
    <n v="165.50880000000001"/>
    <n v="496.53"/>
    <x v="2"/>
    <n v="9"/>
    <n v="2.7"/>
  </r>
  <r>
    <n v="1261"/>
    <d v="2023-06-14T00:00:00"/>
    <x v="3"/>
    <s v="Q2"/>
    <x v="5"/>
    <n v="6"/>
    <n v="1211"/>
    <x v="2"/>
    <x v="1"/>
    <n v="1"/>
    <n v="358.02"/>
    <n v="0.02"/>
    <n v="350.8596"/>
    <n v="350.86"/>
    <x v="0"/>
    <n v="5"/>
    <n v="4.4000000000000004"/>
  </r>
  <r>
    <n v="1262"/>
    <d v="2023-06-15T00:00:00"/>
    <x v="3"/>
    <s v="Q2"/>
    <x v="5"/>
    <n v="6"/>
    <n v="1024"/>
    <x v="1"/>
    <x v="2"/>
    <n v="5"/>
    <n v="60.22"/>
    <n v="0.25"/>
    <n v="45.164999999999999"/>
    <n v="225.82"/>
    <x v="0"/>
    <n v="3"/>
    <n v="1"/>
  </r>
  <r>
    <n v="1263"/>
    <d v="2023-06-16T00:00:00"/>
    <x v="3"/>
    <s v="Q2"/>
    <x v="5"/>
    <n v="6"/>
    <n v="1579"/>
    <x v="3"/>
    <x v="0"/>
    <n v="2"/>
    <n v="165.85"/>
    <n v="0.19"/>
    <n v="134.33850000000001"/>
    <n v="268.68"/>
    <x v="2"/>
    <n v="6"/>
    <n v="4.7"/>
  </r>
  <r>
    <n v="1264"/>
    <d v="2023-06-17T00:00:00"/>
    <x v="3"/>
    <s v="Q2"/>
    <x v="5"/>
    <n v="6"/>
    <n v="1393"/>
    <x v="3"/>
    <x v="1"/>
    <n v="1"/>
    <n v="70.12"/>
    <n v="0.28999999999999998"/>
    <n v="49.785200000000003"/>
    <n v="49.79"/>
    <x v="1"/>
    <n v="9"/>
    <n v="1.2"/>
  </r>
  <r>
    <n v="1265"/>
    <d v="2023-06-18T00:00:00"/>
    <x v="3"/>
    <s v="Q2"/>
    <x v="5"/>
    <n v="6"/>
    <n v="1066"/>
    <x v="1"/>
    <x v="1"/>
    <n v="2"/>
    <n v="199.38"/>
    <n v="0.1"/>
    <n v="179.44200000000001"/>
    <n v="358.88"/>
    <x v="2"/>
    <n v="6"/>
    <n v="1.7"/>
  </r>
  <r>
    <n v="1266"/>
    <d v="2023-06-19T00:00:00"/>
    <x v="3"/>
    <s v="Q2"/>
    <x v="5"/>
    <n v="6"/>
    <n v="1232"/>
    <x v="1"/>
    <x v="3"/>
    <n v="6"/>
    <n v="526.98"/>
    <n v="0.32"/>
    <n v="358.34640000000002"/>
    <n v="2150.08"/>
    <x v="1"/>
    <n v="4"/>
    <n v="1.1000000000000001"/>
  </r>
  <r>
    <n v="1267"/>
    <d v="2023-06-20T00:00:00"/>
    <x v="3"/>
    <s v="Q2"/>
    <x v="5"/>
    <n v="6"/>
    <n v="1108"/>
    <x v="2"/>
    <x v="0"/>
    <n v="6"/>
    <n v="218.09"/>
    <n v="0.35"/>
    <n v="141.75850000000003"/>
    <n v="850.55"/>
    <x v="1"/>
    <n v="11"/>
    <n v="3.1"/>
  </r>
  <r>
    <n v="1268"/>
    <d v="2023-06-21T00:00:00"/>
    <x v="3"/>
    <s v="Q2"/>
    <x v="5"/>
    <n v="6"/>
    <n v="1145"/>
    <x v="0"/>
    <x v="3"/>
    <n v="7"/>
    <n v="343.71"/>
    <n v="0.32"/>
    <n v="233.72279999999998"/>
    <n v="1636.06"/>
    <x v="1"/>
    <n v="5"/>
    <n v="4.8"/>
  </r>
  <r>
    <n v="1269"/>
    <d v="2023-06-22T00:00:00"/>
    <x v="3"/>
    <s v="Q2"/>
    <x v="5"/>
    <n v="6"/>
    <n v="1110"/>
    <x v="2"/>
    <x v="3"/>
    <n v="4"/>
    <n v="268.52999999999997"/>
    <n v="0.27"/>
    <n v="196.02689999999996"/>
    <n v="784.11"/>
    <x v="0"/>
    <n v="7"/>
    <n v="4.4000000000000004"/>
  </r>
  <r>
    <n v="1270"/>
    <d v="2023-06-23T00:00:00"/>
    <x v="3"/>
    <s v="Q2"/>
    <x v="5"/>
    <n v="6"/>
    <n v="1227"/>
    <x v="0"/>
    <x v="0"/>
    <n v="6"/>
    <n v="283.47000000000003"/>
    <n v="0.28000000000000003"/>
    <n v="204.09840000000003"/>
    <n v="1224.5899999999999"/>
    <x v="1"/>
    <n v="10"/>
    <n v="3.6"/>
  </r>
  <r>
    <n v="1271"/>
    <d v="2023-06-24T00:00:00"/>
    <x v="3"/>
    <s v="Q2"/>
    <x v="5"/>
    <n v="6"/>
    <n v="1110"/>
    <x v="3"/>
    <x v="3"/>
    <n v="5"/>
    <n v="582.20000000000005"/>
    <n v="0.2"/>
    <n v="465.76000000000005"/>
    <n v="2328.8000000000002"/>
    <x v="2"/>
    <n v="3"/>
    <n v="1.7"/>
  </r>
  <r>
    <n v="1272"/>
    <d v="2023-06-25T00:00:00"/>
    <x v="3"/>
    <s v="Q2"/>
    <x v="5"/>
    <n v="6"/>
    <n v="1469"/>
    <x v="1"/>
    <x v="0"/>
    <n v="1"/>
    <n v="188.25"/>
    <n v="7.0000000000000007E-2"/>
    <n v="175.07249999999999"/>
    <n v="175.07"/>
    <x v="0"/>
    <n v="9"/>
    <n v="4.5"/>
  </r>
  <r>
    <n v="1273"/>
    <d v="2023-06-26T00:00:00"/>
    <x v="3"/>
    <s v="Q2"/>
    <x v="5"/>
    <n v="6"/>
    <n v="1033"/>
    <x v="2"/>
    <x v="0"/>
    <n v="6"/>
    <n v="381.98"/>
    <n v="0.24"/>
    <n v="290.3048"/>
    <n v="1741.83"/>
    <x v="2"/>
    <n v="1"/>
    <n v="4"/>
  </r>
  <r>
    <n v="1274"/>
    <d v="2023-06-27T00:00:00"/>
    <x v="3"/>
    <s v="Q2"/>
    <x v="5"/>
    <n v="6"/>
    <n v="1622"/>
    <x v="1"/>
    <x v="3"/>
    <n v="2"/>
    <n v="260.74"/>
    <n v="0.25"/>
    <n v="195.55500000000001"/>
    <n v="391.11"/>
    <x v="2"/>
    <n v="8"/>
    <n v="2.1"/>
  </r>
  <r>
    <n v="1275"/>
    <d v="2023-06-28T00:00:00"/>
    <x v="3"/>
    <s v="Q2"/>
    <x v="5"/>
    <n v="6"/>
    <n v="1775"/>
    <x v="1"/>
    <x v="2"/>
    <n v="5"/>
    <n v="50.77"/>
    <n v="0.34"/>
    <n v="33.508200000000002"/>
    <n v="167.54"/>
    <x v="2"/>
    <n v="5"/>
    <n v="4.2"/>
  </r>
  <r>
    <n v="1276"/>
    <d v="2023-06-29T00:00:00"/>
    <x v="3"/>
    <s v="Q2"/>
    <x v="5"/>
    <n v="6"/>
    <n v="1935"/>
    <x v="2"/>
    <x v="3"/>
    <n v="6"/>
    <n v="301.26"/>
    <n v="0.19"/>
    <n v="244.0206"/>
    <n v="1464.12"/>
    <x v="1"/>
    <n v="10"/>
    <n v="4.5"/>
  </r>
  <r>
    <n v="1277"/>
    <d v="2023-06-30T00:00:00"/>
    <x v="3"/>
    <s v="Q2"/>
    <x v="5"/>
    <n v="6"/>
    <n v="1368"/>
    <x v="3"/>
    <x v="1"/>
    <n v="3"/>
    <n v="490.81"/>
    <n v="0.09"/>
    <n v="446.63710000000003"/>
    <n v="1339.91"/>
    <x v="1"/>
    <n v="9"/>
    <n v="3.8"/>
  </r>
  <r>
    <n v="1278"/>
    <d v="2023-07-01T00:00:00"/>
    <x v="3"/>
    <s v="Q3"/>
    <x v="6"/>
    <n v="7"/>
    <n v="1747"/>
    <x v="0"/>
    <x v="3"/>
    <n v="2"/>
    <n v="72.77"/>
    <n v="0.24"/>
    <n v="55.305199999999999"/>
    <n v="110.61"/>
    <x v="0"/>
    <n v="2"/>
    <n v="1.4"/>
  </r>
  <r>
    <n v="1279"/>
    <d v="2023-07-02T00:00:00"/>
    <x v="3"/>
    <s v="Q3"/>
    <x v="6"/>
    <n v="7"/>
    <n v="1594"/>
    <x v="1"/>
    <x v="0"/>
    <n v="7"/>
    <n v="55.71"/>
    <n v="0.34"/>
    <n v="36.768599999999999"/>
    <n v="257.38"/>
    <x v="1"/>
    <n v="1"/>
    <n v="4.9000000000000004"/>
  </r>
  <r>
    <n v="1280"/>
    <d v="2023-07-03T00:00:00"/>
    <x v="3"/>
    <s v="Q3"/>
    <x v="6"/>
    <n v="7"/>
    <n v="1553"/>
    <x v="3"/>
    <x v="1"/>
    <n v="7"/>
    <n v="104.87"/>
    <n v="0.06"/>
    <n v="98.577800000000011"/>
    <n v="690.04"/>
    <x v="2"/>
    <n v="10"/>
    <n v="1.3"/>
  </r>
  <r>
    <n v="1281"/>
    <d v="2023-07-04T00:00:00"/>
    <x v="3"/>
    <s v="Q3"/>
    <x v="6"/>
    <n v="7"/>
    <n v="1424"/>
    <x v="2"/>
    <x v="0"/>
    <n v="7"/>
    <n v="462.17"/>
    <n v="0.11"/>
    <n v="411.3313"/>
    <n v="2879.32"/>
    <x v="2"/>
    <n v="7"/>
    <n v="3.6"/>
  </r>
  <r>
    <n v="1282"/>
    <d v="2023-07-05T00:00:00"/>
    <x v="3"/>
    <s v="Q3"/>
    <x v="6"/>
    <n v="7"/>
    <n v="1612"/>
    <x v="1"/>
    <x v="2"/>
    <n v="2"/>
    <n v="438.54"/>
    <n v="0.19"/>
    <n v="355.2174"/>
    <n v="710.43"/>
    <x v="1"/>
    <n v="10"/>
    <n v="1.4"/>
  </r>
  <r>
    <n v="1283"/>
    <d v="2023-07-06T00:00:00"/>
    <x v="3"/>
    <s v="Q3"/>
    <x v="6"/>
    <n v="7"/>
    <n v="1517"/>
    <x v="2"/>
    <x v="2"/>
    <n v="7"/>
    <n v="345.54"/>
    <n v="0.06"/>
    <n v="324.80760000000004"/>
    <n v="2273.65"/>
    <x v="0"/>
    <n v="11"/>
    <n v="4.5999999999999996"/>
  </r>
  <r>
    <n v="1284"/>
    <d v="2023-07-07T00:00:00"/>
    <x v="3"/>
    <s v="Q3"/>
    <x v="6"/>
    <n v="7"/>
    <n v="1691"/>
    <x v="1"/>
    <x v="1"/>
    <n v="4"/>
    <n v="288.91000000000003"/>
    <n v="0.01"/>
    <n v="286.02090000000004"/>
    <n v="1144.08"/>
    <x v="2"/>
    <n v="9"/>
    <n v="2.4"/>
  </r>
  <r>
    <n v="1285"/>
    <d v="2023-07-08T00:00:00"/>
    <x v="3"/>
    <s v="Q3"/>
    <x v="6"/>
    <n v="7"/>
    <n v="1281"/>
    <x v="0"/>
    <x v="2"/>
    <n v="3"/>
    <n v="534.66999999999996"/>
    <n v="0.12"/>
    <n v="470.50959999999998"/>
    <n v="1411.53"/>
    <x v="1"/>
    <n v="5"/>
    <n v="3"/>
  </r>
  <r>
    <n v="1286"/>
    <d v="2023-07-09T00:00:00"/>
    <x v="3"/>
    <s v="Q3"/>
    <x v="6"/>
    <n v="7"/>
    <n v="1319"/>
    <x v="3"/>
    <x v="2"/>
    <n v="4"/>
    <n v="463.52"/>
    <n v="0.3"/>
    <n v="324.464"/>
    <n v="1297.8599999999999"/>
    <x v="0"/>
    <n v="11"/>
    <n v="1.7"/>
  </r>
  <r>
    <n v="1287"/>
    <d v="2023-07-10T00:00:00"/>
    <x v="3"/>
    <s v="Q3"/>
    <x v="6"/>
    <n v="7"/>
    <n v="1737"/>
    <x v="2"/>
    <x v="3"/>
    <n v="6"/>
    <n v="489.99"/>
    <n v="0.02"/>
    <n v="480.1902"/>
    <n v="2881.14"/>
    <x v="2"/>
    <n v="4"/>
    <n v="3.2"/>
  </r>
  <r>
    <n v="1288"/>
    <d v="2023-07-11T00:00:00"/>
    <x v="3"/>
    <s v="Q3"/>
    <x v="6"/>
    <n v="7"/>
    <n v="1442"/>
    <x v="1"/>
    <x v="3"/>
    <n v="3"/>
    <n v="490.76"/>
    <n v="0.15"/>
    <n v="417.14600000000002"/>
    <n v="1251.44"/>
    <x v="2"/>
    <n v="4"/>
    <n v="4.8"/>
  </r>
  <r>
    <n v="1289"/>
    <d v="2023-07-12T00:00:00"/>
    <x v="3"/>
    <s v="Q3"/>
    <x v="6"/>
    <n v="7"/>
    <n v="1951"/>
    <x v="1"/>
    <x v="2"/>
    <n v="2"/>
    <n v="390.99"/>
    <n v="0.27"/>
    <n v="285.42270000000002"/>
    <n v="570.85"/>
    <x v="2"/>
    <n v="8"/>
    <n v="4.5999999999999996"/>
  </r>
  <r>
    <n v="1290"/>
    <d v="2023-07-13T00:00:00"/>
    <x v="3"/>
    <s v="Q3"/>
    <x v="6"/>
    <n v="7"/>
    <n v="1314"/>
    <x v="1"/>
    <x v="2"/>
    <n v="4"/>
    <n v="282.94"/>
    <n v="0.33"/>
    <n v="189.56979999999999"/>
    <n v="758.28"/>
    <x v="1"/>
    <n v="1"/>
    <n v="1.3"/>
  </r>
  <r>
    <n v="1291"/>
    <d v="2023-07-14T00:00:00"/>
    <x v="3"/>
    <s v="Q3"/>
    <x v="6"/>
    <n v="7"/>
    <n v="1876"/>
    <x v="3"/>
    <x v="3"/>
    <n v="5"/>
    <n v="520.84"/>
    <n v="0.34"/>
    <n v="343.75440000000003"/>
    <n v="1718.77"/>
    <x v="2"/>
    <n v="1"/>
    <n v="2.5"/>
  </r>
  <r>
    <n v="1292"/>
    <d v="2023-07-15T00:00:00"/>
    <x v="3"/>
    <s v="Q3"/>
    <x v="6"/>
    <n v="7"/>
    <n v="1965"/>
    <x v="3"/>
    <x v="2"/>
    <n v="3"/>
    <n v="556.71"/>
    <n v="0.15"/>
    <n v="473.20350000000002"/>
    <n v="1419.61"/>
    <x v="1"/>
    <n v="8"/>
    <n v="2.1"/>
  </r>
  <r>
    <n v="1293"/>
    <d v="2023-07-16T00:00:00"/>
    <x v="3"/>
    <s v="Q3"/>
    <x v="6"/>
    <n v="7"/>
    <n v="1740"/>
    <x v="1"/>
    <x v="2"/>
    <n v="2"/>
    <n v="28.93"/>
    <n v="0.33"/>
    <n v="19.383099999999999"/>
    <n v="38.770000000000003"/>
    <x v="2"/>
    <n v="2"/>
    <n v="2.9"/>
  </r>
  <r>
    <n v="1294"/>
    <d v="2023-07-17T00:00:00"/>
    <x v="3"/>
    <s v="Q3"/>
    <x v="6"/>
    <n v="7"/>
    <n v="1376"/>
    <x v="1"/>
    <x v="0"/>
    <n v="1"/>
    <n v="45.16"/>
    <n v="0.01"/>
    <n v="44.708399999999997"/>
    <n v="44.71"/>
    <x v="2"/>
    <n v="10"/>
    <n v="4.3"/>
  </r>
  <r>
    <n v="1295"/>
    <d v="2023-07-18T00:00:00"/>
    <x v="3"/>
    <s v="Q3"/>
    <x v="6"/>
    <n v="7"/>
    <n v="1288"/>
    <x v="2"/>
    <x v="2"/>
    <n v="3"/>
    <n v="575.86"/>
    <n v="0.26"/>
    <n v="426.13639999999998"/>
    <n v="1278.4100000000001"/>
    <x v="0"/>
    <n v="6"/>
    <n v="4"/>
  </r>
  <r>
    <n v="1296"/>
    <d v="2023-07-19T00:00:00"/>
    <x v="3"/>
    <s v="Q3"/>
    <x v="6"/>
    <n v="7"/>
    <n v="1436"/>
    <x v="2"/>
    <x v="1"/>
    <n v="3"/>
    <n v="177.14"/>
    <n v="0.22"/>
    <n v="138.16919999999999"/>
    <n v="414.51"/>
    <x v="2"/>
    <n v="2"/>
    <n v="2.4"/>
  </r>
  <r>
    <n v="1297"/>
    <d v="2023-07-20T00:00:00"/>
    <x v="3"/>
    <s v="Q3"/>
    <x v="6"/>
    <n v="7"/>
    <n v="1661"/>
    <x v="1"/>
    <x v="0"/>
    <n v="6"/>
    <n v="525.91999999999996"/>
    <n v="0.09"/>
    <n v="478.58719999999994"/>
    <n v="2871.52"/>
    <x v="1"/>
    <n v="5"/>
    <n v="2.5"/>
  </r>
  <r>
    <n v="1298"/>
    <d v="2023-07-21T00:00:00"/>
    <x v="3"/>
    <s v="Q3"/>
    <x v="6"/>
    <n v="7"/>
    <n v="1276"/>
    <x v="1"/>
    <x v="1"/>
    <n v="5"/>
    <n v="242.45"/>
    <n v="0.18"/>
    <n v="198.809"/>
    <n v="994.04"/>
    <x v="0"/>
    <n v="3"/>
    <n v="3.6"/>
  </r>
  <r>
    <n v="1299"/>
    <d v="2023-07-22T00:00:00"/>
    <x v="3"/>
    <s v="Q3"/>
    <x v="6"/>
    <n v="7"/>
    <n v="1709"/>
    <x v="3"/>
    <x v="2"/>
    <n v="6"/>
    <n v="84.67"/>
    <n v="0.05"/>
    <n v="80.436499999999995"/>
    <n v="482.62"/>
    <x v="2"/>
    <n v="7"/>
    <n v="1.8"/>
  </r>
  <r>
    <n v="1300"/>
    <d v="2023-07-23T00:00:00"/>
    <x v="3"/>
    <s v="Q3"/>
    <x v="6"/>
    <n v="7"/>
    <n v="1581"/>
    <x v="3"/>
    <x v="3"/>
    <n v="7"/>
    <n v="62.06"/>
    <n v="0.31"/>
    <n v="42.821399999999997"/>
    <n v="299.75"/>
    <x v="2"/>
    <n v="9"/>
    <n v="1.4"/>
  </r>
  <r>
    <n v="1301"/>
    <d v="2023-07-24T00:00:00"/>
    <x v="3"/>
    <s v="Q3"/>
    <x v="6"/>
    <n v="7"/>
    <n v="1502"/>
    <x v="2"/>
    <x v="0"/>
    <n v="3"/>
    <n v="106.56"/>
    <n v="0.13"/>
    <n v="92.7072"/>
    <n v="278.12"/>
    <x v="1"/>
    <n v="2"/>
    <n v="2"/>
  </r>
  <r>
    <n v="1302"/>
    <d v="2023-07-25T00:00:00"/>
    <x v="3"/>
    <s v="Q3"/>
    <x v="6"/>
    <n v="7"/>
    <n v="1623"/>
    <x v="1"/>
    <x v="3"/>
    <n v="3"/>
    <n v="161.19"/>
    <n v="0.22"/>
    <n v="125.7282"/>
    <n v="377.18"/>
    <x v="0"/>
    <n v="7"/>
    <n v="1.5"/>
  </r>
  <r>
    <n v="1303"/>
    <d v="2023-07-26T00:00:00"/>
    <x v="3"/>
    <s v="Q3"/>
    <x v="6"/>
    <n v="7"/>
    <n v="1515"/>
    <x v="2"/>
    <x v="0"/>
    <n v="7"/>
    <n v="300.77999999999997"/>
    <n v="0.06"/>
    <n v="282.73319999999995"/>
    <n v="1979.13"/>
    <x v="0"/>
    <n v="8"/>
    <n v="2.4"/>
  </r>
  <r>
    <n v="1304"/>
    <d v="2023-07-27T00:00:00"/>
    <x v="3"/>
    <s v="Q3"/>
    <x v="6"/>
    <n v="7"/>
    <n v="1349"/>
    <x v="2"/>
    <x v="3"/>
    <n v="5"/>
    <n v="425.38"/>
    <n v="7.0000000000000007E-2"/>
    <n v="395.60339999999997"/>
    <n v="1978.02"/>
    <x v="2"/>
    <n v="10"/>
    <n v="4.8"/>
  </r>
  <r>
    <n v="1305"/>
    <d v="2023-07-28T00:00:00"/>
    <x v="3"/>
    <s v="Q3"/>
    <x v="6"/>
    <n v="7"/>
    <n v="1842"/>
    <x v="3"/>
    <x v="0"/>
    <n v="5"/>
    <n v="592.04"/>
    <n v="0.35"/>
    <n v="384.82600000000002"/>
    <n v="1924.13"/>
    <x v="0"/>
    <n v="8"/>
    <n v="1.5"/>
  </r>
  <r>
    <n v="1306"/>
    <d v="2023-07-29T00:00:00"/>
    <x v="3"/>
    <s v="Q3"/>
    <x v="6"/>
    <n v="7"/>
    <n v="1445"/>
    <x v="2"/>
    <x v="0"/>
    <n v="4"/>
    <n v="273.27999999999997"/>
    <n v="0.26"/>
    <n v="202.22719999999998"/>
    <n v="808.91"/>
    <x v="1"/>
    <n v="7"/>
    <n v="4.3"/>
  </r>
  <r>
    <n v="1307"/>
    <d v="2023-07-30T00:00:00"/>
    <x v="3"/>
    <s v="Q3"/>
    <x v="6"/>
    <n v="7"/>
    <n v="1829"/>
    <x v="1"/>
    <x v="1"/>
    <n v="2"/>
    <n v="318.14"/>
    <n v="0.34"/>
    <n v="209.97239999999999"/>
    <n v="419.94"/>
    <x v="0"/>
    <n v="4"/>
    <n v="3.1"/>
  </r>
  <r>
    <n v="1308"/>
    <d v="2023-07-31T00:00:00"/>
    <x v="3"/>
    <s v="Q3"/>
    <x v="6"/>
    <n v="7"/>
    <n v="1349"/>
    <x v="2"/>
    <x v="3"/>
    <n v="2"/>
    <n v="320.26"/>
    <n v="0.1"/>
    <n v="288.23399999999998"/>
    <n v="576.47"/>
    <x v="2"/>
    <n v="4"/>
    <n v="3.5"/>
  </r>
  <r>
    <n v="1309"/>
    <d v="2023-08-01T00:00:00"/>
    <x v="3"/>
    <s v="Q3"/>
    <x v="7"/>
    <n v="8"/>
    <n v="1606"/>
    <x v="0"/>
    <x v="1"/>
    <n v="4"/>
    <n v="330.57"/>
    <n v="0.06"/>
    <n v="310.73579999999998"/>
    <n v="1242.94"/>
    <x v="1"/>
    <n v="10"/>
    <n v="1.7"/>
  </r>
  <r>
    <n v="1310"/>
    <d v="2023-08-02T00:00:00"/>
    <x v="3"/>
    <s v="Q3"/>
    <x v="7"/>
    <n v="8"/>
    <n v="1663"/>
    <x v="1"/>
    <x v="1"/>
    <n v="2"/>
    <n v="317.88"/>
    <n v="0.18"/>
    <n v="260.66160000000002"/>
    <n v="521.32000000000005"/>
    <x v="2"/>
    <n v="9"/>
    <n v="1.6"/>
  </r>
  <r>
    <n v="1311"/>
    <d v="2023-08-03T00:00:00"/>
    <x v="3"/>
    <s v="Q3"/>
    <x v="7"/>
    <n v="8"/>
    <n v="1822"/>
    <x v="2"/>
    <x v="3"/>
    <n v="3"/>
    <n v="20.13"/>
    <n v="0.17"/>
    <n v="16.707899999999999"/>
    <n v="50.12"/>
    <x v="2"/>
    <n v="10"/>
    <n v="1.7"/>
  </r>
  <r>
    <n v="1312"/>
    <d v="2023-08-04T00:00:00"/>
    <x v="3"/>
    <s v="Q3"/>
    <x v="7"/>
    <n v="8"/>
    <n v="1136"/>
    <x v="1"/>
    <x v="0"/>
    <n v="4"/>
    <n v="16.010000000000002"/>
    <n v="0.06"/>
    <n v="15.049400000000002"/>
    <n v="60.2"/>
    <x v="1"/>
    <n v="9"/>
    <n v="3.7"/>
  </r>
  <r>
    <n v="1313"/>
    <d v="2023-08-05T00:00:00"/>
    <x v="3"/>
    <s v="Q3"/>
    <x v="7"/>
    <n v="8"/>
    <n v="1758"/>
    <x v="3"/>
    <x v="1"/>
    <n v="4"/>
    <n v="72.13"/>
    <n v="0.26"/>
    <n v="53.376199999999997"/>
    <n v="213.5"/>
    <x v="1"/>
    <n v="5"/>
    <n v="4"/>
  </r>
  <r>
    <n v="1314"/>
    <d v="2023-08-06T00:00:00"/>
    <x v="3"/>
    <s v="Q3"/>
    <x v="7"/>
    <n v="8"/>
    <n v="1898"/>
    <x v="0"/>
    <x v="3"/>
    <n v="2"/>
    <n v="74.41"/>
    <n v="0.13"/>
    <n v="64.736699999999999"/>
    <n v="129.47"/>
    <x v="1"/>
    <n v="7"/>
    <n v="4.7"/>
  </r>
  <r>
    <n v="1315"/>
    <d v="2023-08-07T00:00:00"/>
    <x v="3"/>
    <s v="Q3"/>
    <x v="7"/>
    <n v="8"/>
    <n v="1242"/>
    <x v="2"/>
    <x v="0"/>
    <n v="1"/>
    <n v="427.36"/>
    <n v="7.0000000000000007E-2"/>
    <n v="397.44479999999999"/>
    <n v="397.44"/>
    <x v="1"/>
    <n v="7"/>
    <n v="2.6"/>
  </r>
  <r>
    <n v="1316"/>
    <d v="2023-08-08T00:00:00"/>
    <x v="3"/>
    <s v="Q3"/>
    <x v="7"/>
    <n v="8"/>
    <n v="1542"/>
    <x v="0"/>
    <x v="1"/>
    <n v="2"/>
    <n v="134.88"/>
    <n v="0.12"/>
    <n v="118.6944"/>
    <n v="237.39"/>
    <x v="1"/>
    <n v="9"/>
    <n v="2.8"/>
  </r>
  <r>
    <n v="1317"/>
    <d v="2023-08-09T00:00:00"/>
    <x v="3"/>
    <s v="Q3"/>
    <x v="7"/>
    <n v="8"/>
    <n v="1039"/>
    <x v="0"/>
    <x v="1"/>
    <n v="6"/>
    <n v="538.41"/>
    <n v="0.2"/>
    <n v="430.72799999999995"/>
    <n v="2584.37"/>
    <x v="1"/>
    <n v="7"/>
    <n v="2.9"/>
  </r>
  <r>
    <n v="1318"/>
    <d v="2023-08-10T00:00:00"/>
    <x v="3"/>
    <s v="Q3"/>
    <x v="7"/>
    <n v="8"/>
    <n v="1228"/>
    <x v="0"/>
    <x v="1"/>
    <n v="1"/>
    <n v="558.23"/>
    <n v="0.25"/>
    <n v="418.67250000000001"/>
    <n v="418.67"/>
    <x v="1"/>
    <n v="8"/>
    <n v="2.1"/>
  </r>
  <r>
    <n v="1319"/>
    <d v="2023-08-11T00:00:00"/>
    <x v="3"/>
    <s v="Q3"/>
    <x v="7"/>
    <n v="8"/>
    <n v="1547"/>
    <x v="1"/>
    <x v="0"/>
    <n v="4"/>
    <n v="585.9"/>
    <n v="0.17"/>
    <n v="486.29699999999997"/>
    <n v="1945.19"/>
    <x v="0"/>
    <n v="7"/>
    <n v="2.2999999999999998"/>
  </r>
  <r>
    <n v="1320"/>
    <d v="2023-08-12T00:00:00"/>
    <x v="3"/>
    <s v="Q3"/>
    <x v="7"/>
    <n v="8"/>
    <n v="1919"/>
    <x v="1"/>
    <x v="1"/>
    <n v="1"/>
    <n v="564.36"/>
    <n v="0.18"/>
    <n v="462.77520000000004"/>
    <n v="462.78"/>
    <x v="2"/>
    <n v="11"/>
    <n v="4.4000000000000004"/>
  </r>
  <r>
    <n v="1321"/>
    <d v="2023-08-13T00:00:00"/>
    <x v="3"/>
    <s v="Q3"/>
    <x v="7"/>
    <n v="8"/>
    <n v="1222"/>
    <x v="1"/>
    <x v="0"/>
    <n v="3"/>
    <n v="174.05"/>
    <n v="0.05"/>
    <n v="165.34750000000003"/>
    <n v="496.04"/>
    <x v="1"/>
    <n v="4"/>
    <n v="2.4"/>
  </r>
  <r>
    <n v="1322"/>
    <d v="2023-08-14T00:00:00"/>
    <x v="3"/>
    <s v="Q3"/>
    <x v="7"/>
    <n v="8"/>
    <n v="1005"/>
    <x v="3"/>
    <x v="2"/>
    <n v="5"/>
    <n v="313.22000000000003"/>
    <n v="0.32"/>
    <n v="212.9896"/>
    <n v="1064.95"/>
    <x v="0"/>
    <n v="2"/>
    <n v="4.5"/>
  </r>
  <r>
    <n v="1323"/>
    <d v="2023-08-15T00:00:00"/>
    <x v="3"/>
    <s v="Q3"/>
    <x v="7"/>
    <n v="8"/>
    <n v="1321"/>
    <x v="1"/>
    <x v="1"/>
    <n v="1"/>
    <n v="117.64"/>
    <n v="0.33"/>
    <n v="78.818799999999996"/>
    <n v="78.819999999999993"/>
    <x v="2"/>
    <n v="3"/>
    <n v="2.2000000000000002"/>
  </r>
  <r>
    <n v="1324"/>
    <d v="2023-08-16T00:00:00"/>
    <x v="3"/>
    <s v="Q3"/>
    <x v="7"/>
    <n v="8"/>
    <n v="1467"/>
    <x v="3"/>
    <x v="2"/>
    <n v="6"/>
    <n v="486.63"/>
    <n v="0.24"/>
    <n v="369.83879999999999"/>
    <n v="2219.0300000000002"/>
    <x v="2"/>
    <n v="7"/>
    <n v="2.4"/>
  </r>
  <r>
    <n v="1325"/>
    <d v="2023-08-17T00:00:00"/>
    <x v="3"/>
    <s v="Q3"/>
    <x v="7"/>
    <n v="8"/>
    <n v="1731"/>
    <x v="1"/>
    <x v="3"/>
    <n v="5"/>
    <n v="534.73"/>
    <n v="0.01"/>
    <n v="529.3827"/>
    <n v="2646.91"/>
    <x v="2"/>
    <n v="11"/>
    <n v="3.2"/>
  </r>
  <r>
    <n v="1326"/>
    <d v="2023-08-18T00:00:00"/>
    <x v="3"/>
    <s v="Q3"/>
    <x v="7"/>
    <n v="8"/>
    <n v="1074"/>
    <x v="3"/>
    <x v="1"/>
    <n v="3"/>
    <n v="513"/>
    <n v="0.19"/>
    <n v="415.53"/>
    <n v="1246.5899999999999"/>
    <x v="1"/>
    <n v="11"/>
    <n v="1.4"/>
  </r>
  <r>
    <n v="1327"/>
    <d v="2023-08-19T00:00:00"/>
    <x v="3"/>
    <s v="Q3"/>
    <x v="7"/>
    <n v="8"/>
    <n v="1003"/>
    <x v="3"/>
    <x v="3"/>
    <n v="6"/>
    <n v="268.52"/>
    <n v="0.22"/>
    <n v="209.44559999999998"/>
    <n v="1256.67"/>
    <x v="1"/>
    <n v="9"/>
    <n v="4.7"/>
  </r>
  <r>
    <n v="1328"/>
    <d v="2023-08-20T00:00:00"/>
    <x v="3"/>
    <s v="Q3"/>
    <x v="7"/>
    <n v="8"/>
    <n v="1846"/>
    <x v="2"/>
    <x v="3"/>
    <n v="7"/>
    <n v="458.82"/>
    <n v="0.35"/>
    <n v="298.233"/>
    <n v="2087.63"/>
    <x v="1"/>
    <n v="11"/>
    <n v="4.3"/>
  </r>
  <r>
    <n v="1329"/>
    <d v="2023-08-21T00:00:00"/>
    <x v="3"/>
    <s v="Q3"/>
    <x v="7"/>
    <n v="8"/>
    <n v="1645"/>
    <x v="3"/>
    <x v="3"/>
    <n v="5"/>
    <n v="72.08"/>
    <n v="0.35"/>
    <n v="46.852000000000004"/>
    <n v="234.26"/>
    <x v="2"/>
    <n v="2"/>
    <n v="3.7"/>
  </r>
  <r>
    <n v="1330"/>
    <d v="2023-08-22T00:00:00"/>
    <x v="3"/>
    <s v="Q3"/>
    <x v="7"/>
    <n v="8"/>
    <n v="1117"/>
    <x v="1"/>
    <x v="2"/>
    <n v="7"/>
    <n v="38.54"/>
    <n v="0.3"/>
    <n v="26.978000000000002"/>
    <n v="188.85"/>
    <x v="2"/>
    <n v="7"/>
    <n v="5"/>
  </r>
  <r>
    <n v="1331"/>
    <d v="2023-08-23T00:00:00"/>
    <x v="3"/>
    <s v="Q3"/>
    <x v="7"/>
    <n v="8"/>
    <n v="1880"/>
    <x v="3"/>
    <x v="0"/>
    <n v="3"/>
    <n v="455.64"/>
    <n v="0.02"/>
    <n v="446.52719999999999"/>
    <n v="1339.58"/>
    <x v="2"/>
    <n v="4"/>
    <n v="1.1000000000000001"/>
  </r>
  <r>
    <n v="1332"/>
    <d v="2023-08-24T00:00:00"/>
    <x v="3"/>
    <s v="Q3"/>
    <x v="7"/>
    <n v="8"/>
    <n v="1605"/>
    <x v="1"/>
    <x v="2"/>
    <n v="5"/>
    <n v="263.83"/>
    <n v="0.33"/>
    <n v="176.76609999999999"/>
    <n v="883.83"/>
    <x v="1"/>
    <n v="7"/>
    <n v="2.6"/>
  </r>
  <r>
    <n v="1333"/>
    <d v="2023-08-25T00:00:00"/>
    <x v="3"/>
    <s v="Q3"/>
    <x v="7"/>
    <n v="8"/>
    <n v="1503"/>
    <x v="1"/>
    <x v="2"/>
    <n v="5"/>
    <n v="597.4"/>
    <n v="0.21"/>
    <n v="471.94599999999997"/>
    <n v="2359.73"/>
    <x v="2"/>
    <n v="5"/>
    <n v="4.4000000000000004"/>
  </r>
  <r>
    <n v="1334"/>
    <d v="2023-08-26T00:00:00"/>
    <x v="3"/>
    <s v="Q3"/>
    <x v="7"/>
    <n v="8"/>
    <n v="1997"/>
    <x v="0"/>
    <x v="3"/>
    <n v="2"/>
    <n v="71.89"/>
    <n v="0.28000000000000003"/>
    <n v="51.760800000000003"/>
    <n v="103.52"/>
    <x v="2"/>
    <n v="7"/>
    <n v="2.7"/>
  </r>
  <r>
    <n v="1335"/>
    <d v="2023-08-27T00:00:00"/>
    <x v="3"/>
    <s v="Q3"/>
    <x v="7"/>
    <n v="8"/>
    <n v="1946"/>
    <x v="2"/>
    <x v="1"/>
    <n v="6"/>
    <n v="515.54"/>
    <n v="0.14000000000000001"/>
    <n v="443.36439999999993"/>
    <n v="2660.19"/>
    <x v="0"/>
    <n v="6"/>
    <n v="1"/>
  </r>
  <r>
    <n v="1336"/>
    <d v="2023-08-28T00:00:00"/>
    <x v="3"/>
    <s v="Q3"/>
    <x v="7"/>
    <n v="8"/>
    <n v="1573"/>
    <x v="3"/>
    <x v="0"/>
    <n v="6"/>
    <n v="295.79000000000002"/>
    <n v="0.11"/>
    <n v="263.25310000000002"/>
    <n v="1579.52"/>
    <x v="1"/>
    <n v="2"/>
    <n v="1.6"/>
  </r>
  <r>
    <n v="1337"/>
    <d v="2023-08-29T00:00:00"/>
    <x v="3"/>
    <s v="Q3"/>
    <x v="7"/>
    <n v="8"/>
    <n v="1440"/>
    <x v="1"/>
    <x v="3"/>
    <n v="1"/>
    <n v="498.88"/>
    <n v="0.16"/>
    <n v="419.05919999999998"/>
    <n v="419.06"/>
    <x v="0"/>
    <n v="7"/>
    <n v="2.7"/>
  </r>
  <r>
    <n v="1338"/>
    <d v="2023-08-30T00:00:00"/>
    <x v="3"/>
    <s v="Q3"/>
    <x v="7"/>
    <n v="8"/>
    <n v="1193"/>
    <x v="1"/>
    <x v="0"/>
    <n v="7"/>
    <n v="493.02"/>
    <n v="0.05"/>
    <n v="468.36899999999997"/>
    <n v="3278.58"/>
    <x v="0"/>
    <n v="5"/>
    <n v="3.7"/>
  </r>
  <r>
    <n v="1339"/>
    <d v="2023-08-31T00:00:00"/>
    <x v="3"/>
    <s v="Q3"/>
    <x v="7"/>
    <n v="8"/>
    <n v="1846"/>
    <x v="2"/>
    <x v="2"/>
    <n v="7"/>
    <n v="550.86"/>
    <n v="0.12"/>
    <n v="484.7568"/>
    <n v="3393.3"/>
    <x v="2"/>
    <n v="9"/>
    <n v="1.7"/>
  </r>
  <r>
    <n v="1340"/>
    <d v="2023-09-01T00:00:00"/>
    <x v="3"/>
    <s v="Q3"/>
    <x v="8"/>
    <n v="9"/>
    <n v="1714"/>
    <x v="1"/>
    <x v="0"/>
    <n v="6"/>
    <n v="189.24"/>
    <n v="0.3"/>
    <n v="132.46800000000002"/>
    <n v="794.81"/>
    <x v="2"/>
    <n v="11"/>
    <n v="2.8"/>
  </r>
  <r>
    <n v="1341"/>
    <d v="2023-09-02T00:00:00"/>
    <x v="3"/>
    <s v="Q3"/>
    <x v="8"/>
    <n v="9"/>
    <n v="1391"/>
    <x v="2"/>
    <x v="0"/>
    <n v="6"/>
    <n v="570.63"/>
    <n v="0.01"/>
    <n v="564.92369999999994"/>
    <n v="3389.54"/>
    <x v="1"/>
    <n v="1"/>
    <n v="1.1000000000000001"/>
  </r>
  <r>
    <n v="1342"/>
    <d v="2023-09-03T00:00:00"/>
    <x v="3"/>
    <s v="Q3"/>
    <x v="8"/>
    <n v="9"/>
    <n v="1025"/>
    <x v="2"/>
    <x v="1"/>
    <n v="5"/>
    <n v="103.73"/>
    <n v="0.05"/>
    <n v="98.543500000000009"/>
    <n v="492.72"/>
    <x v="0"/>
    <n v="1"/>
    <n v="2.9"/>
  </r>
  <r>
    <n v="1343"/>
    <d v="2023-09-04T00:00:00"/>
    <x v="3"/>
    <s v="Q3"/>
    <x v="8"/>
    <n v="9"/>
    <n v="1434"/>
    <x v="2"/>
    <x v="3"/>
    <n v="7"/>
    <n v="62.95"/>
    <n v="0.04"/>
    <n v="60.432000000000002"/>
    <n v="423.02"/>
    <x v="1"/>
    <n v="2"/>
    <n v="4.5999999999999996"/>
  </r>
  <r>
    <n v="1344"/>
    <d v="2023-09-05T00:00:00"/>
    <x v="3"/>
    <s v="Q3"/>
    <x v="8"/>
    <n v="9"/>
    <n v="1172"/>
    <x v="2"/>
    <x v="0"/>
    <n v="4"/>
    <n v="267.5"/>
    <n v="0.14000000000000001"/>
    <n v="230.05"/>
    <n v="920.2"/>
    <x v="2"/>
    <n v="8"/>
    <n v="3.4"/>
  </r>
  <r>
    <n v="1345"/>
    <d v="2023-09-06T00:00:00"/>
    <x v="3"/>
    <s v="Q3"/>
    <x v="8"/>
    <n v="9"/>
    <n v="1299"/>
    <x v="0"/>
    <x v="0"/>
    <n v="2"/>
    <n v="499.57"/>
    <n v="0.35"/>
    <n v="324.72050000000002"/>
    <n v="649.44000000000005"/>
    <x v="1"/>
    <n v="11"/>
    <n v="2.8"/>
  </r>
  <r>
    <n v="1346"/>
    <d v="2023-09-07T00:00:00"/>
    <x v="3"/>
    <s v="Q3"/>
    <x v="8"/>
    <n v="9"/>
    <n v="1644"/>
    <x v="0"/>
    <x v="2"/>
    <n v="1"/>
    <n v="291.95"/>
    <n v="0.06"/>
    <n v="274.43299999999999"/>
    <n v="274.43"/>
    <x v="1"/>
    <n v="9"/>
    <n v="1.6"/>
  </r>
  <r>
    <n v="1347"/>
    <d v="2023-09-08T00:00:00"/>
    <x v="3"/>
    <s v="Q3"/>
    <x v="8"/>
    <n v="9"/>
    <n v="1325"/>
    <x v="1"/>
    <x v="2"/>
    <n v="2"/>
    <n v="500.13"/>
    <n v="0.05"/>
    <n v="475.12349999999998"/>
    <n v="950.25"/>
    <x v="2"/>
    <n v="11"/>
    <n v="1.8"/>
  </r>
  <r>
    <n v="1348"/>
    <d v="2023-09-09T00:00:00"/>
    <x v="3"/>
    <s v="Q3"/>
    <x v="8"/>
    <n v="9"/>
    <n v="1409"/>
    <x v="3"/>
    <x v="0"/>
    <n v="1"/>
    <n v="441.87"/>
    <n v="0.32"/>
    <n v="300.47159999999997"/>
    <n v="300.47000000000003"/>
    <x v="0"/>
    <n v="11"/>
    <n v="1.3"/>
  </r>
  <r>
    <n v="1349"/>
    <d v="2023-09-10T00:00:00"/>
    <x v="3"/>
    <s v="Q3"/>
    <x v="8"/>
    <n v="9"/>
    <n v="1117"/>
    <x v="2"/>
    <x v="3"/>
    <n v="3"/>
    <n v="137.52000000000001"/>
    <n v="0.31"/>
    <n v="94.888800000000003"/>
    <n v="284.67"/>
    <x v="2"/>
    <n v="7"/>
    <n v="4"/>
  </r>
  <r>
    <n v="1350"/>
    <d v="2023-09-11T00:00:00"/>
    <x v="3"/>
    <s v="Q3"/>
    <x v="8"/>
    <n v="9"/>
    <n v="1835"/>
    <x v="3"/>
    <x v="0"/>
    <n v="5"/>
    <n v="570.1"/>
    <n v="0.01"/>
    <n v="564.399"/>
    <n v="2822"/>
    <x v="0"/>
    <n v="1"/>
    <n v="1.3"/>
  </r>
  <r>
    <n v="1351"/>
    <d v="2023-09-12T00:00:00"/>
    <x v="3"/>
    <s v="Q3"/>
    <x v="8"/>
    <n v="9"/>
    <n v="1786"/>
    <x v="3"/>
    <x v="0"/>
    <n v="6"/>
    <n v="50.56"/>
    <n v="0.26"/>
    <n v="37.414400000000001"/>
    <n v="224.49"/>
    <x v="2"/>
    <n v="7"/>
    <n v="2.5"/>
  </r>
  <r>
    <n v="1352"/>
    <d v="2023-09-13T00:00:00"/>
    <x v="3"/>
    <s v="Q3"/>
    <x v="8"/>
    <n v="9"/>
    <n v="1723"/>
    <x v="0"/>
    <x v="1"/>
    <n v="6"/>
    <n v="540.49"/>
    <n v="0.23"/>
    <n v="416.1773"/>
    <n v="2497.06"/>
    <x v="1"/>
    <n v="8"/>
    <n v="4"/>
  </r>
  <r>
    <n v="1353"/>
    <d v="2023-09-14T00:00:00"/>
    <x v="3"/>
    <s v="Q3"/>
    <x v="8"/>
    <n v="9"/>
    <n v="1224"/>
    <x v="1"/>
    <x v="3"/>
    <n v="4"/>
    <n v="193.1"/>
    <n v="0.27"/>
    <n v="140.96299999999999"/>
    <n v="563.85"/>
    <x v="1"/>
    <n v="7"/>
    <n v="3.9"/>
  </r>
  <r>
    <n v="1354"/>
    <d v="2023-09-15T00:00:00"/>
    <x v="3"/>
    <s v="Q3"/>
    <x v="8"/>
    <n v="9"/>
    <n v="1531"/>
    <x v="3"/>
    <x v="1"/>
    <n v="7"/>
    <n v="307.58999999999997"/>
    <n v="0.17"/>
    <n v="255.29969999999997"/>
    <n v="1787.1"/>
    <x v="2"/>
    <n v="5"/>
    <n v="3.3"/>
  </r>
  <r>
    <n v="1355"/>
    <d v="2023-09-16T00:00:00"/>
    <x v="3"/>
    <s v="Q3"/>
    <x v="8"/>
    <n v="9"/>
    <n v="1112"/>
    <x v="2"/>
    <x v="3"/>
    <n v="7"/>
    <n v="262.08"/>
    <n v="0.35"/>
    <n v="170.35199999999998"/>
    <n v="1192.46"/>
    <x v="1"/>
    <n v="7"/>
    <n v="3.3"/>
  </r>
  <r>
    <n v="1356"/>
    <d v="2023-09-17T00:00:00"/>
    <x v="3"/>
    <s v="Q3"/>
    <x v="8"/>
    <n v="9"/>
    <n v="1139"/>
    <x v="0"/>
    <x v="3"/>
    <n v="2"/>
    <n v="115.52"/>
    <n v="0.02"/>
    <n v="113.20959999999999"/>
    <n v="226.42"/>
    <x v="2"/>
    <n v="10"/>
    <n v="1.4"/>
  </r>
  <r>
    <n v="1357"/>
    <d v="2023-09-18T00:00:00"/>
    <x v="3"/>
    <s v="Q3"/>
    <x v="8"/>
    <n v="9"/>
    <n v="1558"/>
    <x v="2"/>
    <x v="3"/>
    <n v="2"/>
    <n v="224.52"/>
    <n v="0.08"/>
    <n v="206.55840000000001"/>
    <n v="413.12"/>
    <x v="1"/>
    <n v="11"/>
    <n v="1.7"/>
  </r>
  <r>
    <n v="1358"/>
    <d v="2023-09-19T00:00:00"/>
    <x v="3"/>
    <s v="Q3"/>
    <x v="8"/>
    <n v="9"/>
    <n v="1000"/>
    <x v="1"/>
    <x v="1"/>
    <n v="2"/>
    <n v="127.87"/>
    <n v="0.14000000000000001"/>
    <n v="109.9682"/>
    <n v="219.94"/>
    <x v="1"/>
    <n v="2"/>
    <n v="3.1"/>
  </r>
  <r>
    <n v="1359"/>
    <d v="2023-09-20T00:00:00"/>
    <x v="3"/>
    <s v="Q3"/>
    <x v="8"/>
    <n v="9"/>
    <n v="1089"/>
    <x v="3"/>
    <x v="1"/>
    <n v="7"/>
    <n v="134.27000000000001"/>
    <n v="0.16"/>
    <n v="112.7868"/>
    <n v="789.51"/>
    <x v="2"/>
    <n v="9"/>
    <n v="2.4"/>
  </r>
  <r>
    <n v="1360"/>
    <d v="2023-09-21T00:00:00"/>
    <x v="3"/>
    <s v="Q3"/>
    <x v="8"/>
    <n v="9"/>
    <n v="1653"/>
    <x v="3"/>
    <x v="1"/>
    <n v="6"/>
    <n v="124.43"/>
    <n v="0.32"/>
    <n v="84.612400000000008"/>
    <n v="507.67"/>
    <x v="2"/>
    <n v="2"/>
    <n v="1.1000000000000001"/>
  </r>
  <r>
    <n v="1361"/>
    <d v="2023-09-22T00:00:00"/>
    <x v="3"/>
    <s v="Q3"/>
    <x v="8"/>
    <n v="9"/>
    <n v="1319"/>
    <x v="2"/>
    <x v="2"/>
    <n v="7"/>
    <n v="301.08"/>
    <n v="0.2"/>
    <n v="240.86399999999998"/>
    <n v="1686.05"/>
    <x v="1"/>
    <n v="2"/>
    <n v="4.2"/>
  </r>
  <r>
    <n v="1362"/>
    <d v="2023-09-23T00:00:00"/>
    <x v="3"/>
    <s v="Q3"/>
    <x v="8"/>
    <n v="9"/>
    <n v="1549"/>
    <x v="0"/>
    <x v="1"/>
    <n v="2"/>
    <n v="481.79"/>
    <n v="0.02"/>
    <n v="472.1542"/>
    <n v="944.31"/>
    <x v="1"/>
    <n v="5"/>
    <n v="3.6"/>
  </r>
  <r>
    <n v="1363"/>
    <d v="2023-09-24T00:00:00"/>
    <x v="3"/>
    <s v="Q3"/>
    <x v="8"/>
    <n v="9"/>
    <n v="1804"/>
    <x v="2"/>
    <x v="2"/>
    <n v="5"/>
    <n v="347.85"/>
    <n v="0.14000000000000001"/>
    <n v="299.15100000000001"/>
    <n v="1495.76"/>
    <x v="1"/>
    <n v="8"/>
    <n v="2.2999999999999998"/>
  </r>
  <r>
    <n v="1364"/>
    <d v="2023-09-25T00:00:00"/>
    <x v="3"/>
    <s v="Q3"/>
    <x v="8"/>
    <n v="9"/>
    <n v="1893"/>
    <x v="1"/>
    <x v="2"/>
    <n v="1"/>
    <n v="537.53"/>
    <n v="0.15"/>
    <n v="456.90049999999997"/>
    <n v="456.9"/>
    <x v="1"/>
    <n v="6"/>
    <n v="1.4"/>
  </r>
  <r>
    <n v="1365"/>
    <d v="2023-09-26T00:00:00"/>
    <x v="3"/>
    <s v="Q3"/>
    <x v="8"/>
    <n v="9"/>
    <n v="1138"/>
    <x v="2"/>
    <x v="2"/>
    <n v="6"/>
    <n v="387.38"/>
    <n v="0.34"/>
    <n v="255.67079999999999"/>
    <n v="1534.02"/>
    <x v="2"/>
    <n v="9"/>
    <n v="3.4"/>
  </r>
  <r>
    <n v="1366"/>
    <d v="2023-09-27T00:00:00"/>
    <x v="3"/>
    <s v="Q3"/>
    <x v="8"/>
    <n v="9"/>
    <n v="1510"/>
    <x v="2"/>
    <x v="0"/>
    <n v="5"/>
    <n v="418.26"/>
    <n v="0.21"/>
    <n v="330.42539999999997"/>
    <n v="1652.13"/>
    <x v="2"/>
    <n v="6"/>
    <n v="2.4"/>
  </r>
  <r>
    <n v="1367"/>
    <d v="2023-09-28T00:00:00"/>
    <x v="3"/>
    <s v="Q3"/>
    <x v="8"/>
    <n v="9"/>
    <n v="1867"/>
    <x v="1"/>
    <x v="0"/>
    <n v="3"/>
    <n v="405.55"/>
    <n v="0.22"/>
    <n v="316.32900000000001"/>
    <n v="948.99"/>
    <x v="1"/>
    <n v="5"/>
    <n v="2"/>
  </r>
  <r>
    <n v="1368"/>
    <d v="2023-09-29T00:00:00"/>
    <x v="3"/>
    <s v="Q3"/>
    <x v="8"/>
    <n v="9"/>
    <n v="1844"/>
    <x v="1"/>
    <x v="0"/>
    <n v="5"/>
    <n v="277.93"/>
    <n v="0.25"/>
    <n v="208.44749999999999"/>
    <n v="1042.24"/>
    <x v="1"/>
    <n v="1"/>
    <n v="3.9"/>
  </r>
  <r>
    <n v="1369"/>
    <d v="2023-09-30T00:00:00"/>
    <x v="3"/>
    <s v="Q3"/>
    <x v="8"/>
    <n v="9"/>
    <n v="1258"/>
    <x v="2"/>
    <x v="2"/>
    <n v="5"/>
    <n v="418.26"/>
    <n v="0.27"/>
    <n v="305.32979999999998"/>
    <n v="1526.65"/>
    <x v="1"/>
    <n v="8"/>
    <n v="2.2999999999999998"/>
  </r>
  <r>
    <n v="1370"/>
    <d v="2023-10-01T00:00:00"/>
    <x v="3"/>
    <s v="Q4"/>
    <x v="9"/>
    <n v="10"/>
    <n v="1672"/>
    <x v="2"/>
    <x v="2"/>
    <n v="3"/>
    <n v="55.78"/>
    <n v="0.22"/>
    <n v="43.508400000000002"/>
    <n v="130.53"/>
    <x v="1"/>
    <n v="3"/>
    <n v="1.5"/>
  </r>
  <r>
    <n v="1371"/>
    <d v="2023-10-02T00:00:00"/>
    <x v="3"/>
    <s v="Q4"/>
    <x v="9"/>
    <n v="10"/>
    <n v="1901"/>
    <x v="1"/>
    <x v="3"/>
    <n v="5"/>
    <n v="518.01"/>
    <n v="0.08"/>
    <n v="476.56919999999997"/>
    <n v="2382.85"/>
    <x v="2"/>
    <n v="2"/>
    <n v="2.9"/>
  </r>
  <r>
    <n v="1372"/>
    <d v="2023-10-03T00:00:00"/>
    <x v="3"/>
    <s v="Q4"/>
    <x v="9"/>
    <n v="10"/>
    <n v="1689"/>
    <x v="3"/>
    <x v="2"/>
    <n v="1"/>
    <n v="470.02"/>
    <n v="0.31"/>
    <n v="324.31380000000001"/>
    <n v="324.31"/>
    <x v="1"/>
    <n v="7"/>
    <n v="4.3"/>
  </r>
  <r>
    <n v="1373"/>
    <d v="2023-10-04T00:00:00"/>
    <x v="3"/>
    <s v="Q4"/>
    <x v="9"/>
    <n v="10"/>
    <n v="1009"/>
    <x v="0"/>
    <x v="0"/>
    <n v="6"/>
    <n v="158.46"/>
    <n v="0.26"/>
    <n v="117.2604"/>
    <n v="703.56"/>
    <x v="1"/>
    <n v="11"/>
    <n v="4.4000000000000004"/>
  </r>
  <r>
    <n v="1374"/>
    <d v="2023-10-05T00:00:00"/>
    <x v="3"/>
    <s v="Q4"/>
    <x v="9"/>
    <n v="10"/>
    <n v="1260"/>
    <x v="2"/>
    <x v="2"/>
    <n v="4"/>
    <n v="464.3"/>
    <n v="0.26"/>
    <n v="343.58199999999999"/>
    <n v="1374.33"/>
    <x v="2"/>
    <n v="2"/>
    <n v="4.4000000000000004"/>
  </r>
  <r>
    <n v="1375"/>
    <d v="2023-10-06T00:00:00"/>
    <x v="3"/>
    <s v="Q4"/>
    <x v="9"/>
    <n v="10"/>
    <n v="1918"/>
    <x v="1"/>
    <x v="2"/>
    <n v="7"/>
    <n v="22.4"/>
    <n v="0.35"/>
    <n v="14.559999999999999"/>
    <n v="101.92"/>
    <x v="1"/>
    <n v="1"/>
    <n v="2.7"/>
  </r>
  <r>
    <n v="1376"/>
    <d v="2023-10-07T00:00:00"/>
    <x v="3"/>
    <s v="Q4"/>
    <x v="9"/>
    <n v="10"/>
    <n v="1649"/>
    <x v="2"/>
    <x v="3"/>
    <n v="3"/>
    <n v="142.09"/>
    <n v="0.28000000000000003"/>
    <n v="102.3048"/>
    <n v="306.91000000000003"/>
    <x v="2"/>
    <n v="11"/>
    <n v="4.2"/>
  </r>
  <r>
    <n v="1377"/>
    <d v="2023-10-08T00:00:00"/>
    <x v="3"/>
    <s v="Q4"/>
    <x v="9"/>
    <n v="10"/>
    <n v="1171"/>
    <x v="2"/>
    <x v="2"/>
    <n v="6"/>
    <n v="53.11"/>
    <n v="0.28999999999999998"/>
    <n v="37.708100000000002"/>
    <n v="226.25"/>
    <x v="2"/>
    <n v="2"/>
    <n v="4.4000000000000004"/>
  </r>
  <r>
    <n v="1378"/>
    <d v="2023-10-09T00:00:00"/>
    <x v="3"/>
    <s v="Q4"/>
    <x v="9"/>
    <n v="10"/>
    <n v="1897"/>
    <x v="3"/>
    <x v="1"/>
    <n v="2"/>
    <n v="471.43"/>
    <n v="0.33"/>
    <n v="315.85810000000004"/>
    <n v="631.72"/>
    <x v="1"/>
    <n v="6"/>
    <n v="2.8"/>
  </r>
  <r>
    <n v="1379"/>
    <d v="2023-10-10T00:00:00"/>
    <x v="3"/>
    <s v="Q4"/>
    <x v="9"/>
    <n v="10"/>
    <n v="1012"/>
    <x v="1"/>
    <x v="3"/>
    <n v="1"/>
    <n v="457.19"/>
    <n v="0.05"/>
    <n v="434.33049999999997"/>
    <n v="434.33"/>
    <x v="2"/>
    <n v="2"/>
    <n v="2.2999999999999998"/>
  </r>
  <r>
    <n v="1380"/>
    <d v="2023-10-11T00:00:00"/>
    <x v="3"/>
    <s v="Q4"/>
    <x v="9"/>
    <n v="10"/>
    <n v="1167"/>
    <x v="2"/>
    <x v="2"/>
    <n v="4"/>
    <n v="490.98"/>
    <n v="0.17"/>
    <n v="407.51339999999999"/>
    <n v="1630.05"/>
    <x v="2"/>
    <n v="1"/>
    <n v="3.8"/>
  </r>
  <r>
    <n v="1381"/>
    <d v="2023-10-12T00:00:00"/>
    <x v="3"/>
    <s v="Q4"/>
    <x v="9"/>
    <n v="10"/>
    <n v="1641"/>
    <x v="2"/>
    <x v="2"/>
    <n v="1"/>
    <n v="17.62"/>
    <n v="0.2"/>
    <n v="14.096"/>
    <n v="14.1"/>
    <x v="2"/>
    <n v="1"/>
    <n v="4.5999999999999996"/>
  </r>
  <r>
    <n v="1382"/>
    <d v="2023-10-13T00:00:00"/>
    <x v="3"/>
    <s v="Q4"/>
    <x v="9"/>
    <n v="10"/>
    <n v="1595"/>
    <x v="2"/>
    <x v="3"/>
    <n v="1"/>
    <n v="308.22000000000003"/>
    <n v="0.12"/>
    <n v="271.23360000000002"/>
    <n v="271.23"/>
    <x v="2"/>
    <n v="4"/>
    <n v="4.9000000000000004"/>
  </r>
  <r>
    <n v="1383"/>
    <d v="2023-10-14T00:00:00"/>
    <x v="3"/>
    <s v="Q4"/>
    <x v="9"/>
    <n v="10"/>
    <n v="1320"/>
    <x v="3"/>
    <x v="2"/>
    <n v="2"/>
    <n v="427.33"/>
    <n v="0.28999999999999998"/>
    <n v="303.40429999999998"/>
    <n v="606.80999999999995"/>
    <x v="0"/>
    <n v="8"/>
    <n v="2.2000000000000002"/>
  </r>
  <r>
    <n v="1384"/>
    <d v="2023-10-15T00:00:00"/>
    <x v="3"/>
    <s v="Q4"/>
    <x v="9"/>
    <n v="10"/>
    <n v="1318"/>
    <x v="0"/>
    <x v="0"/>
    <n v="4"/>
    <n v="105.91"/>
    <n v="0.27"/>
    <n v="77.314300000000003"/>
    <n v="309.26"/>
    <x v="0"/>
    <n v="6"/>
    <n v="4.8"/>
  </r>
  <r>
    <n v="1385"/>
    <d v="2023-10-16T00:00:00"/>
    <x v="3"/>
    <s v="Q4"/>
    <x v="9"/>
    <n v="10"/>
    <n v="1612"/>
    <x v="2"/>
    <x v="1"/>
    <n v="7"/>
    <n v="395.13"/>
    <n v="0.25"/>
    <n v="296.34749999999997"/>
    <n v="2074.4299999999998"/>
    <x v="2"/>
    <n v="4"/>
    <n v="3"/>
  </r>
  <r>
    <n v="1386"/>
    <d v="2023-10-17T00:00:00"/>
    <x v="3"/>
    <s v="Q4"/>
    <x v="9"/>
    <n v="10"/>
    <n v="1328"/>
    <x v="2"/>
    <x v="1"/>
    <n v="1"/>
    <n v="64.2"/>
    <n v="0.35"/>
    <n v="41.730000000000004"/>
    <n v="41.73"/>
    <x v="0"/>
    <n v="6"/>
    <n v="2.2000000000000002"/>
  </r>
  <r>
    <n v="1387"/>
    <d v="2023-10-18T00:00:00"/>
    <x v="3"/>
    <s v="Q4"/>
    <x v="9"/>
    <n v="10"/>
    <n v="1784"/>
    <x v="0"/>
    <x v="0"/>
    <n v="2"/>
    <n v="121.08"/>
    <n v="0.09"/>
    <n v="110.1828"/>
    <n v="220.37"/>
    <x v="1"/>
    <n v="6"/>
    <n v="5"/>
  </r>
  <r>
    <n v="1388"/>
    <d v="2023-10-19T00:00:00"/>
    <x v="3"/>
    <s v="Q4"/>
    <x v="9"/>
    <n v="10"/>
    <n v="1776"/>
    <x v="0"/>
    <x v="2"/>
    <n v="3"/>
    <n v="293.33999999999997"/>
    <n v="0.26"/>
    <n v="217.07159999999999"/>
    <n v="651.21"/>
    <x v="2"/>
    <n v="9"/>
    <n v="4.5"/>
  </r>
  <r>
    <n v="1389"/>
    <d v="2023-10-20T00:00:00"/>
    <x v="3"/>
    <s v="Q4"/>
    <x v="9"/>
    <n v="10"/>
    <n v="1970"/>
    <x v="1"/>
    <x v="2"/>
    <n v="2"/>
    <n v="397.34"/>
    <n v="0.19"/>
    <n v="321.84539999999998"/>
    <n v="643.69000000000005"/>
    <x v="1"/>
    <n v="4"/>
    <n v="3.8"/>
  </r>
  <r>
    <n v="1390"/>
    <d v="2023-10-21T00:00:00"/>
    <x v="3"/>
    <s v="Q4"/>
    <x v="9"/>
    <n v="10"/>
    <n v="1910"/>
    <x v="2"/>
    <x v="1"/>
    <n v="5"/>
    <n v="100.33"/>
    <n v="0.11"/>
    <n v="89.293700000000001"/>
    <n v="446.47"/>
    <x v="1"/>
    <n v="6"/>
    <n v="4.5999999999999996"/>
  </r>
  <r>
    <n v="1391"/>
    <d v="2023-10-22T00:00:00"/>
    <x v="3"/>
    <s v="Q4"/>
    <x v="9"/>
    <n v="10"/>
    <n v="1919"/>
    <x v="2"/>
    <x v="2"/>
    <n v="6"/>
    <n v="123.36"/>
    <n v="0.06"/>
    <n v="115.9584"/>
    <n v="695.75"/>
    <x v="2"/>
    <n v="10"/>
    <n v="3.7"/>
  </r>
  <r>
    <n v="1392"/>
    <d v="2023-10-23T00:00:00"/>
    <x v="3"/>
    <s v="Q4"/>
    <x v="9"/>
    <n v="10"/>
    <n v="1549"/>
    <x v="1"/>
    <x v="1"/>
    <n v="2"/>
    <n v="134.6"/>
    <n v="0.31"/>
    <n v="92.873999999999995"/>
    <n v="185.75"/>
    <x v="2"/>
    <n v="1"/>
    <n v="2.8"/>
  </r>
  <r>
    <n v="1393"/>
    <d v="2023-10-24T00:00:00"/>
    <x v="3"/>
    <s v="Q4"/>
    <x v="9"/>
    <n v="10"/>
    <n v="1418"/>
    <x v="1"/>
    <x v="1"/>
    <n v="2"/>
    <n v="154.63999999999999"/>
    <n v="0.21"/>
    <n v="122.16559999999998"/>
    <n v="244.33"/>
    <x v="1"/>
    <n v="7"/>
    <n v="4.8"/>
  </r>
  <r>
    <n v="1394"/>
    <d v="2023-10-25T00:00:00"/>
    <x v="3"/>
    <s v="Q4"/>
    <x v="9"/>
    <n v="10"/>
    <n v="1605"/>
    <x v="2"/>
    <x v="0"/>
    <n v="2"/>
    <n v="147.53"/>
    <n v="0.28999999999999998"/>
    <n v="104.74630000000001"/>
    <n v="209.49"/>
    <x v="2"/>
    <n v="7"/>
    <n v="4.9000000000000004"/>
  </r>
  <r>
    <n v="1395"/>
    <d v="2023-10-26T00:00:00"/>
    <x v="3"/>
    <s v="Q4"/>
    <x v="9"/>
    <n v="10"/>
    <n v="1094"/>
    <x v="1"/>
    <x v="1"/>
    <n v="7"/>
    <n v="246.16"/>
    <n v="0.19"/>
    <n v="199.3896"/>
    <n v="1395.73"/>
    <x v="2"/>
    <n v="11"/>
    <n v="2.2999999999999998"/>
  </r>
  <r>
    <n v="1396"/>
    <d v="2023-10-27T00:00:00"/>
    <x v="3"/>
    <s v="Q4"/>
    <x v="9"/>
    <n v="10"/>
    <n v="1816"/>
    <x v="2"/>
    <x v="2"/>
    <n v="1"/>
    <n v="397.47"/>
    <n v="0.08"/>
    <n v="365.67240000000004"/>
    <n v="365.67"/>
    <x v="1"/>
    <n v="1"/>
    <n v="2.4"/>
  </r>
  <r>
    <n v="1397"/>
    <d v="2023-10-28T00:00:00"/>
    <x v="3"/>
    <s v="Q4"/>
    <x v="9"/>
    <n v="10"/>
    <n v="1580"/>
    <x v="3"/>
    <x v="2"/>
    <n v="7"/>
    <n v="271.25"/>
    <n v="0.12"/>
    <n v="238.7"/>
    <n v="1670.9"/>
    <x v="1"/>
    <n v="8"/>
    <n v="2.5"/>
  </r>
  <r>
    <n v="1398"/>
    <d v="2023-10-29T00:00:00"/>
    <x v="3"/>
    <s v="Q4"/>
    <x v="9"/>
    <n v="10"/>
    <n v="1317"/>
    <x v="2"/>
    <x v="3"/>
    <n v="4"/>
    <n v="468.94"/>
    <n v="0.13"/>
    <n v="407.9778"/>
    <n v="1631.91"/>
    <x v="1"/>
    <n v="5"/>
    <n v="4.3"/>
  </r>
  <r>
    <n v="1399"/>
    <d v="2023-10-30T00:00:00"/>
    <x v="3"/>
    <s v="Q4"/>
    <x v="9"/>
    <n v="10"/>
    <n v="1955"/>
    <x v="2"/>
    <x v="2"/>
    <n v="2"/>
    <n v="435.77"/>
    <n v="0.34"/>
    <n v="287.60820000000001"/>
    <n v="575.22"/>
    <x v="1"/>
    <n v="9"/>
    <n v="4.2"/>
  </r>
  <r>
    <n v="1400"/>
    <d v="2023-10-31T00:00:00"/>
    <x v="3"/>
    <s v="Q4"/>
    <x v="9"/>
    <n v="10"/>
    <n v="1235"/>
    <x v="1"/>
    <x v="3"/>
    <n v="2"/>
    <n v="89.02"/>
    <n v="0"/>
    <n v="89.02"/>
    <n v="178.04"/>
    <x v="2"/>
    <n v="8"/>
    <n v="4.9000000000000004"/>
  </r>
  <r>
    <n v="1401"/>
    <d v="2023-11-01T00:00:00"/>
    <x v="3"/>
    <s v="Q4"/>
    <x v="10"/>
    <n v="11"/>
    <n v="1945"/>
    <x v="1"/>
    <x v="1"/>
    <n v="5"/>
    <n v="43.57"/>
    <n v="0.34"/>
    <n v="28.7562"/>
    <n v="143.78"/>
    <x v="1"/>
    <n v="3"/>
    <n v="2.9"/>
  </r>
  <r>
    <n v="1402"/>
    <d v="2023-11-02T00:00:00"/>
    <x v="3"/>
    <s v="Q4"/>
    <x v="10"/>
    <n v="11"/>
    <n v="1333"/>
    <x v="0"/>
    <x v="2"/>
    <n v="5"/>
    <n v="528.6"/>
    <n v="0.34"/>
    <n v="348.87599999999998"/>
    <n v="1744.38"/>
    <x v="1"/>
    <n v="1"/>
    <n v="3.9"/>
  </r>
  <r>
    <n v="1403"/>
    <d v="2023-11-03T00:00:00"/>
    <x v="3"/>
    <s v="Q4"/>
    <x v="10"/>
    <n v="11"/>
    <n v="1884"/>
    <x v="1"/>
    <x v="0"/>
    <n v="3"/>
    <n v="61.7"/>
    <n v="0.35"/>
    <n v="40.105000000000004"/>
    <n v="120.32"/>
    <x v="2"/>
    <n v="3"/>
    <n v="4.4000000000000004"/>
  </r>
  <r>
    <n v="1404"/>
    <d v="2023-11-04T00:00:00"/>
    <x v="3"/>
    <s v="Q4"/>
    <x v="10"/>
    <n v="11"/>
    <n v="1375"/>
    <x v="2"/>
    <x v="0"/>
    <n v="3"/>
    <n v="101.78"/>
    <n v="0.17"/>
    <n v="84.477400000000003"/>
    <n v="253.43"/>
    <x v="2"/>
    <n v="2"/>
    <n v="1.9"/>
  </r>
  <r>
    <n v="1405"/>
    <d v="2023-11-05T00:00:00"/>
    <x v="3"/>
    <s v="Q4"/>
    <x v="10"/>
    <n v="11"/>
    <n v="1458"/>
    <x v="3"/>
    <x v="0"/>
    <n v="5"/>
    <n v="27.95"/>
    <n v="0.34"/>
    <n v="18.446999999999999"/>
    <n v="92.23"/>
    <x v="1"/>
    <n v="2"/>
    <n v="3.5"/>
  </r>
  <r>
    <n v="1406"/>
    <d v="2023-11-06T00:00:00"/>
    <x v="3"/>
    <s v="Q4"/>
    <x v="10"/>
    <n v="11"/>
    <n v="1136"/>
    <x v="2"/>
    <x v="1"/>
    <n v="4"/>
    <n v="382.58"/>
    <n v="0.14000000000000001"/>
    <n v="329.0188"/>
    <n v="1316.08"/>
    <x v="1"/>
    <n v="11"/>
    <n v="3.2"/>
  </r>
  <r>
    <n v="1407"/>
    <d v="2023-11-07T00:00:00"/>
    <x v="3"/>
    <s v="Q4"/>
    <x v="10"/>
    <n v="11"/>
    <n v="1929"/>
    <x v="0"/>
    <x v="1"/>
    <n v="3"/>
    <n v="355.69"/>
    <n v="0.01"/>
    <n v="352.13310000000001"/>
    <n v="1056.4000000000001"/>
    <x v="1"/>
    <n v="4"/>
    <n v="4"/>
  </r>
  <r>
    <n v="1408"/>
    <d v="2023-11-08T00:00:00"/>
    <x v="3"/>
    <s v="Q4"/>
    <x v="10"/>
    <n v="11"/>
    <n v="1587"/>
    <x v="1"/>
    <x v="3"/>
    <n v="6"/>
    <n v="592.34"/>
    <n v="0.08"/>
    <n v="544.95280000000002"/>
    <n v="3269.72"/>
    <x v="2"/>
    <n v="2"/>
    <n v="3.8"/>
  </r>
  <r>
    <n v="1409"/>
    <d v="2023-11-09T00:00:00"/>
    <x v="3"/>
    <s v="Q4"/>
    <x v="10"/>
    <n v="11"/>
    <n v="1994"/>
    <x v="1"/>
    <x v="0"/>
    <n v="6"/>
    <n v="533.86"/>
    <n v="0.33"/>
    <n v="357.68619999999999"/>
    <n v="2146.12"/>
    <x v="0"/>
    <n v="8"/>
    <n v="4.3"/>
  </r>
  <r>
    <n v="1410"/>
    <d v="2023-11-10T00:00:00"/>
    <x v="3"/>
    <s v="Q4"/>
    <x v="10"/>
    <n v="11"/>
    <n v="1546"/>
    <x v="2"/>
    <x v="3"/>
    <n v="4"/>
    <n v="255.34"/>
    <n v="0"/>
    <n v="255.34"/>
    <n v="1021.36"/>
    <x v="2"/>
    <n v="5"/>
    <n v="2.2000000000000002"/>
  </r>
  <r>
    <n v="1411"/>
    <d v="2023-11-11T00:00:00"/>
    <x v="3"/>
    <s v="Q4"/>
    <x v="10"/>
    <n v="11"/>
    <n v="1512"/>
    <x v="1"/>
    <x v="3"/>
    <n v="5"/>
    <n v="232.38"/>
    <n v="0.19"/>
    <n v="188.2278"/>
    <n v="941.14"/>
    <x v="1"/>
    <n v="1"/>
    <n v="1.9"/>
  </r>
  <r>
    <n v="1412"/>
    <d v="2023-11-12T00:00:00"/>
    <x v="3"/>
    <s v="Q4"/>
    <x v="10"/>
    <n v="11"/>
    <n v="1295"/>
    <x v="3"/>
    <x v="2"/>
    <n v="3"/>
    <n v="188.66"/>
    <n v="0.03"/>
    <n v="183.00020000000001"/>
    <n v="549"/>
    <x v="2"/>
    <n v="6"/>
    <n v="4.2"/>
  </r>
  <r>
    <n v="1413"/>
    <d v="2023-11-13T00:00:00"/>
    <x v="3"/>
    <s v="Q4"/>
    <x v="10"/>
    <n v="11"/>
    <n v="1319"/>
    <x v="3"/>
    <x v="2"/>
    <n v="2"/>
    <n v="104.16"/>
    <n v="0.1"/>
    <n v="93.744"/>
    <n v="187.49"/>
    <x v="1"/>
    <n v="7"/>
    <n v="2.4"/>
  </r>
  <r>
    <n v="1414"/>
    <d v="2023-11-14T00:00:00"/>
    <x v="3"/>
    <s v="Q4"/>
    <x v="10"/>
    <n v="11"/>
    <n v="1917"/>
    <x v="2"/>
    <x v="0"/>
    <n v="5"/>
    <n v="95.78"/>
    <n v="0.03"/>
    <n v="92.906599999999997"/>
    <n v="464.53"/>
    <x v="1"/>
    <n v="1"/>
    <n v="2.2000000000000002"/>
  </r>
  <r>
    <n v="1415"/>
    <d v="2023-11-15T00:00:00"/>
    <x v="3"/>
    <s v="Q4"/>
    <x v="10"/>
    <n v="11"/>
    <n v="1571"/>
    <x v="2"/>
    <x v="1"/>
    <n v="3"/>
    <n v="92.39"/>
    <n v="0.3"/>
    <n v="64.673000000000002"/>
    <n v="194.02"/>
    <x v="1"/>
    <n v="3"/>
    <n v="2.2999999999999998"/>
  </r>
  <r>
    <n v="1416"/>
    <d v="2023-11-16T00:00:00"/>
    <x v="3"/>
    <s v="Q4"/>
    <x v="10"/>
    <n v="11"/>
    <n v="1831"/>
    <x v="3"/>
    <x v="2"/>
    <n v="4"/>
    <n v="81.760000000000005"/>
    <n v="0.21"/>
    <n v="64.590400000000002"/>
    <n v="258.36"/>
    <x v="2"/>
    <n v="9"/>
    <n v="1.3"/>
  </r>
  <r>
    <n v="1417"/>
    <d v="2023-11-17T00:00:00"/>
    <x v="3"/>
    <s v="Q4"/>
    <x v="10"/>
    <n v="11"/>
    <n v="1348"/>
    <x v="0"/>
    <x v="1"/>
    <n v="6"/>
    <n v="155.69999999999999"/>
    <n v="0.32"/>
    <n v="105.87599999999999"/>
    <n v="635.26"/>
    <x v="2"/>
    <n v="7"/>
    <n v="4.0999999999999996"/>
  </r>
  <r>
    <n v="1418"/>
    <d v="2023-11-18T00:00:00"/>
    <x v="3"/>
    <s v="Q4"/>
    <x v="10"/>
    <n v="11"/>
    <n v="1839"/>
    <x v="2"/>
    <x v="3"/>
    <n v="4"/>
    <n v="194.4"/>
    <n v="0.24"/>
    <n v="147.744"/>
    <n v="590.98"/>
    <x v="2"/>
    <n v="4"/>
    <n v="3.9"/>
  </r>
  <r>
    <n v="1419"/>
    <d v="2023-11-19T00:00:00"/>
    <x v="3"/>
    <s v="Q4"/>
    <x v="10"/>
    <n v="11"/>
    <n v="1778"/>
    <x v="1"/>
    <x v="3"/>
    <n v="3"/>
    <n v="577.52"/>
    <n v="0.34"/>
    <n v="381.16319999999996"/>
    <n v="1143.49"/>
    <x v="2"/>
    <n v="6"/>
    <n v="3.2"/>
  </r>
  <r>
    <n v="1420"/>
    <d v="2023-11-20T00:00:00"/>
    <x v="3"/>
    <s v="Q4"/>
    <x v="10"/>
    <n v="11"/>
    <n v="1872"/>
    <x v="2"/>
    <x v="3"/>
    <n v="4"/>
    <n v="353.41"/>
    <n v="0.18"/>
    <n v="289.7962"/>
    <n v="1159.18"/>
    <x v="1"/>
    <n v="6"/>
    <n v="3.9"/>
  </r>
  <r>
    <n v="1421"/>
    <d v="2023-11-21T00:00:00"/>
    <x v="3"/>
    <s v="Q4"/>
    <x v="10"/>
    <n v="11"/>
    <n v="1228"/>
    <x v="0"/>
    <x v="3"/>
    <n v="3"/>
    <n v="592.74"/>
    <n v="0.22"/>
    <n v="462.3372"/>
    <n v="1387.01"/>
    <x v="1"/>
    <n v="3"/>
    <n v="2.5"/>
  </r>
  <r>
    <n v="1422"/>
    <d v="2023-11-22T00:00:00"/>
    <x v="3"/>
    <s v="Q4"/>
    <x v="10"/>
    <n v="11"/>
    <n v="1269"/>
    <x v="2"/>
    <x v="0"/>
    <n v="3"/>
    <n v="232.89"/>
    <n v="0.2"/>
    <n v="186.31199999999998"/>
    <n v="558.94000000000005"/>
    <x v="2"/>
    <n v="2"/>
    <n v="2.2000000000000002"/>
  </r>
  <r>
    <n v="1423"/>
    <d v="2023-11-23T00:00:00"/>
    <x v="3"/>
    <s v="Q4"/>
    <x v="10"/>
    <n v="11"/>
    <n v="1827"/>
    <x v="2"/>
    <x v="3"/>
    <n v="4"/>
    <n v="282.70999999999998"/>
    <n v="0.17"/>
    <n v="234.64929999999998"/>
    <n v="938.6"/>
    <x v="2"/>
    <n v="5"/>
    <n v="4.4000000000000004"/>
  </r>
  <r>
    <n v="1424"/>
    <d v="2023-11-24T00:00:00"/>
    <x v="3"/>
    <s v="Q4"/>
    <x v="10"/>
    <n v="11"/>
    <n v="1797"/>
    <x v="3"/>
    <x v="2"/>
    <n v="1"/>
    <n v="204.88"/>
    <n v="0.3"/>
    <n v="143.416"/>
    <n v="143.41999999999999"/>
    <x v="2"/>
    <n v="8"/>
    <n v="2.7"/>
  </r>
  <r>
    <n v="1425"/>
    <d v="2023-11-25T00:00:00"/>
    <x v="3"/>
    <s v="Q4"/>
    <x v="10"/>
    <n v="11"/>
    <n v="1290"/>
    <x v="2"/>
    <x v="3"/>
    <n v="2"/>
    <n v="121.99"/>
    <n v="0.23"/>
    <n v="93.932299999999998"/>
    <n v="187.86"/>
    <x v="1"/>
    <n v="3"/>
    <n v="1.8"/>
  </r>
  <r>
    <n v="1426"/>
    <d v="2023-11-26T00:00:00"/>
    <x v="3"/>
    <s v="Q4"/>
    <x v="10"/>
    <n v="11"/>
    <n v="1724"/>
    <x v="1"/>
    <x v="1"/>
    <n v="5"/>
    <n v="98.75"/>
    <n v="0.28000000000000003"/>
    <n v="71.099999999999994"/>
    <n v="355.5"/>
    <x v="2"/>
    <n v="5"/>
    <n v="4"/>
  </r>
  <r>
    <n v="1427"/>
    <d v="2023-11-27T00:00:00"/>
    <x v="3"/>
    <s v="Q4"/>
    <x v="10"/>
    <n v="11"/>
    <n v="1164"/>
    <x v="1"/>
    <x v="2"/>
    <n v="6"/>
    <n v="567.87"/>
    <n v="0.28000000000000003"/>
    <n v="408.8664"/>
    <n v="2453.1999999999998"/>
    <x v="1"/>
    <n v="3"/>
    <n v="2.2999999999999998"/>
  </r>
  <r>
    <n v="1428"/>
    <d v="2023-11-28T00:00:00"/>
    <x v="3"/>
    <s v="Q4"/>
    <x v="10"/>
    <n v="11"/>
    <n v="1004"/>
    <x v="2"/>
    <x v="1"/>
    <n v="2"/>
    <n v="592.28"/>
    <n v="7.0000000000000007E-2"/>
    <n v="550.82039999999995"/>
    <n v="1101.6400000000001"/>
    <x v="2"/>
    <n v="7"/>
    <n v="1.8"/>
  </r>
  <r>
    <n v="1429"/>
    <d v="2023-11-29T00:00:00"/>
    <x v="3"/>
    <s v="Q4"/>
    <x v="10"/>
    <n v="11"/>
    <n v="1850"/>
    <x v="1"/>
    <x v="1"/>
    <n v="5"/>
    <n v="41.27"/>
    <n v="0.23"/>
    <n v="31.777900000000002"/>
    <n v="158.88999999999999"/>
    <x v="2"/>
    <n v="6"/>
    <n v="1.1000000000000001"/>
  </r>
  <r>
    <n v="1430"/>
    <d v="2023-11-30T00:00:00"/>
    <x v="3"/>
    <s v="Q4"/>
    <x v="10"/>
    <n v="11"/>
    <n v="1378"/>
    <x v="1"/>
    <x v="0"/>
    <n v="5"/>
    <n v="102.95"/>
    <n v="7.0000000000000007E-2"/>
    <n v="95.743499999999997"/>
    <n v="478.72"/>
    <x v="0"/>
    <n v="6"/>
    <n v="4.9000000000000004"/>
  </r>
  <r>
    <n v="1431"/>
    <d v="2023-12-01T00:00:00"/>
    <x v="3"/>
    <s v="Q4"/>
    <x v="11"/>
    <n v="12"/>
    <n v="1077"/>
    <x v="2"/>
    <x v="0"/>
    <n v="6"/>
    <n v="262.76"/>
    <n v="0.2"/>
    <n v="210.208"/>
    <n v="1261.25"/>
    <x v="1"/>
    <n v="1"/>
    <n v="2.9"/>
  </r>
  <r>
    <n v="1432"/>
    <d v="2023-12-02T00:00:00"/>
    <x v="3"/>
    <s v="Q4"/>
    <x v="11"/>
    <n v="12"/>
    <n v="1409"/>
    <x v="1"/>
    <x v="1"/>
    <n v="2"/>
    <n v="124.01"/>
    <n v="0.24"/>
    <n v="94.247600000000006"/>
    <n v="188.5"/>
    <x v="2"/>
    <n v="2"/>
    <n v="1.6"/>
  </r>
  <r>
    <n v="1433"/>
    <d v="2023-12-03T00:00:00"/>
    <x v="3"/>
    <s v="Q4"/>
    <x v="11"/>
    <n v="12"/>
    <n v="1573"/>
    <x v="3"/>
    <x v="1"/>
    <n v="6"/>
    <n v="227.87"/>
    <n v="0.35"/>
    <n v="148.1155"/>
    <n v="888.69"/>
    <x v="2"/>
    <n v="6"/>
    <n v="4"/>
  </r>
  <r>
    <n v="1434"/>
    <d v="2023-12-04T00:00:00"/>
    <x v="3"/>
    <s v="Q4"/>
    <x v="11"/>
    <n v="12"/>
    <n v="1131"/>
    <x v="3"/>
    <x v="3"/>
    <n v="3"/>
    <n v="90.52"/>
    <n v="0.01"/>
    <n v="89.614800000000002"/>
    <n v="268.83999999999997"/>
    <x v="1"/>
    <n v="8"/>
    <n v="4.5999999999999996"/>
  </r>
  <r>
    <n v="1435"/>
    <d v="2023-12-05T00:00:00"/>
    <x v="3"/>
    <s v="Q4"/>
    <x v="11"/>
    <n v="12"/>
    <n v="1600"/>
    <x v="2"/>
    <x v="2"/>
    <n v="6"/>
    <n v="282.06"/>
    <n v="0.03"/>
    <n v="273.59820000000002"/>
    <n v="1641.59"/>
    <x v="1"/>
    <n v="5"/>
    <n v="3.1"/>
  </r>
  <r>
    <n v="1436"/>
    <d v="2023-12-06T00:00:00"/>
    <x v="3"/>
    <s v="Q4"/>
    <x v="11"/>
    <n v="12"/>
    <n v="1748"/>
    <x v="2"/>
    <x v="3"/>
    <n v="4"/>
    <n v="173.94"/>
    <n v="0.03"/>
    <n v="168.7218"/>
    <n v="674.89"/>
    <x v="2"/>
    <n v="2"/>
    <n v="1.1000000000000001"/>
  </r>
  <r>
    <n v="1437"/>
    <d v="2023-12-07T00:00:00"/>
    <x v="3"/>
    <s v="Q4"/>
    <x v="11"/>
    <n v="12"/>
    <n v="1041"/>
    <x v="2"/>
    <x v="0"/>
    <n v="1"/>
    <n v="220.86"/>
    <n v="0.14000000000000001"/>
    <n v="189.93960000000001"/>
    <n v="189.94"/>
    <x v="1"/>
    <n v="5"/>
    <n v="2.5"/>
  </r>
  <r>
    <n v="1438"/>
    <d v="2023-12-08T00:00:00"/>
    <x v="3"/>
    <s v="Q4"/>
    <x v="11"/>
    <n v="12"/>
    <n v="1088"/>
    <x v="1"/>
    <x v="0"/>
    <n v="1"/>
    <n v="70.17"/>
    <n v="0.28999999999999998"/>
    <n v="49.820700000000002"/>
    <n v="49.82"/>
    <x v="1"/>
    <n v="9"/>
    <n v="2"/>
  </r>
  <r>
    <n v="1439"/>
    <d v="2023-12-09T00:00:00"/>
    <x v="3"/>
    <s v="Q4"/>
    <x v="11"/>
    <n v="12"/>
    <n v="1401"/>
    <x v="1"/>
    <x v="3"/>
    <n v="1"/>
    <n v="265.45"/>
    <n v="0.3"/>
    <n v="185.815"/>
    <n v="185.81"/>
    <x v="0"/>
    <n v="6"/>
    <n v="3.5"/>
  </r>
  <r>
    <n v="1440"/>
    <d v="2023-12-10T00:00:00"/>
    <x v="3"/>
    <s v="Q4"/>
    <x v="11"/>
    <n v="12"/>
    <n v="1295"/>
    <x v="3"/>
    <x v="2"/>
    <n v="2"/>
    <n v="590.21"/>
    <n v="0.26"/>
    <n v="436.75540000000001"/>
    <n v="873.51"/>
    <x v="2"/>
    <n v="5"/>
    <n v="3.1"/>
  </r>
  <r>
    <n v="1441"/>
    <d v="2023-12-11T00:00:00"/>
    <x v="3"/>
    <s v="Q4"/>
    <x v="11"/>
    <n v="12"/>
    <n v="1839"/>
    <x v="2"/>
    <x v="1"/>
    <n v="2"/>
    <n v="207.37"/>
    <n v="0.31"/>
    <n v="143.08530000000002"/>
    <n v="286.17"/>
    <x v="1"/>
    <n v="10"/>
    <n v="2.4"/>
  </r>
  <r>
    <n v="1442"/>
    <d v="2023-12-12T00:00:00"/>
    <x v="3"/>
    <s v="Q4"/>
    <x v="11"/>
    <n v="12"/>
    <n v="1294"/>
    <x v="2"/>
    <x v="3"/>
    <n v="3"/>
    <n v="527.71"/>
    <n v="0.11"/>
    <n v="469.66190000000006"/>
    <n v="1408.99"/>
    <x v="2"/>
    <n v="6"/>
    <n v="3.6"/>
  </r>
  <r>
    <n v="1443"/>
    <d v="2023-12-13T00:00:00"/>
    <x v="3"/>
    <s v="Q4"/>
    <x v="11"/>
    <n v="12"/>
    <n v="1615"/>
    <x v="1"/>
    <x v="0"/>
    <n v="7"/>
    <n v="508.27"/>
    <n v="0.03"/>
    <n v="493.02189999999996"/>
    <n v="3451.15"/>
    <x v="2"/>
    <n v="11"/>
    <n v="3.3"/>
  </r>
  <r>
    <n v="1444"/>
    <d v="2023-12-14T00:00:00"/>
    <x v="3"/>
    <s v="Q4"/>
    <x v="11"/>
    <n v="12"/>
    <n v="1525"/>
    <x v="3"/>
    <x v="2"/>
    <n v="1"/>
    <n v="571.95000000000005"/>
    <n v="0.02"/>
    <n v="560.51100000000008"/>
    <n v="560.51"/>
    <x v="0"/>
    <n v="9"/>
    <n v="4.5999999999999996"/>
  </r>
  <r>
    <n v="1445"/>
    <d v="2023-12-15T00:00:00"/>
    <x v="3"/>
    <s v="Q4"/>
    <x v="11"/>
    <n v="12"/>
    <n v="1799"/>
    <x v="2"/>
    <x v="0"/>
    <n v="3"/>
    <n v="477.21"/>
    <n v="0.3"/>
    <n v="334.04700000000003"/>
    <n v="1002.14"/>
    <x v="2"/>
    <n v="7"/>
    <n v="3.4"/>
  </r>
  <r>
    <n v="1446"/>
    <d v="2023-12-16T00:00:00"/>
    <x v="3"/>
    <s v="Q4"/>
    <x v="11"/>
    <n v="12"/>
    <n v="1690"/>
    <x v="1"/>
    <x v="2"/>
    <n v="7"/>
    <n v="400.86"/>
    <n v="0.26"/>
    <n v="296.63639999999998"/>
    <n v="2076.4499999999998"/>
    <x v="0"/>
    <n v="10"/>
    <n v="3"/>
  </r>
  <r>
    <n v="1447"/>
    <d v="2023-12-17T00:00:00"/>
    <x v="3"/>
    <s v="Q4"/>
    <x v="11"/>
    <n v="12"/>
    <n v="1636"/>
    <x v="2"/>
    <x v="2"/>
    <n v="1"/>
    <n v="516.1"/>
    <n v="0.24"/>
    <n v="392.23599999999999"/>
    <n v="392.24"/>
    <x v="1"/>
    <n v="3"/>
    <n v="4.3"/>
  </r>
  <r>
    <n v="1448"/>
    <d v="2023-12-18T00:00:00"/>
    <x v="3"/>
    <s v="Q4"/>
    <x v="11"/>
    <n v="12"/>
    <n v="1421"/>
    <x v="0"/>
    <x v="2"/>
    <n v="2"/>
    <n v="59.25"/>
    <n v="0.12"/>
    <n v="52.14"/>
    <n v="104.28"/>
    <x v="2"/>
    <n v="10"/>
    <n v="1.8"/>
  </r>
  <r>
    <n v="1449"/>
    <d v="2023-12-19T00:00:00"/>
    <x v="3"/>
    <s v="Q4"/>
    <x v="11"/>
    <n v="12"/>
    <n v="1864"/>
    <x v="0"/>
    <x v="3"/>
    <n v="7"/>
    <n v="285.76"/>
    <n v="0.13"/>
    <n v="248.6112"/>
    <n v="1740.28"/>
    <x v="1"/>
    <n v="10"/>
    <n v="2"/>
  </r>
  <r>
    <n v="1450"/>
    <d v="2023-12-20T00:00:00"/>
    <x v="3"/>
    <s v="Q4"/>
    <x v="11"/>
    <n v="12"/>
    <n v="1022"/>
    <x v="2"/>
    <x v="3"/>
    <n v="4"/>
    <n v="593.71"/>
    <n v="0.34"/>
    <n v="391.84860000000003"/>
    <n v="1567.39"/>
    <x v="1"/>
    <n v="5"/>
    <n v="4.0999999999999996"/>
  </r>
  <r>
    <n v="1451"/>
    <d v="2023-12-21T00:00:00"/>
    <x v="3"/>
    <s v="Q4"/>
    <x v="11"/>
    <n v="12"/>
    <n v="1574"/>
    <x v="2"/>
    <x v="3"/>
    <n v="4"/>
    <n v="465.22"/>
    <n v="0.02"/>
    <n v="455.91560000000004"/>
    <n v="1823.66"/>
    <x v="2"/>
    <n v="4"/>
    <n v="2.8"/>
  </r>
  <r>
    <n v="1452"/>
    <d v="2023-12-22T00:00:00"/>
    <x v="3"/>
    <s v="Q4"/>
    <x v="11"/>
    <n v="12"/>
    <n v="1142"/>
    <x v="1"/>
    <x v="2"/>
    <n v="4"/>
    <n v="577.80999999999995"/>
    <n v="0.27"/>
    <n v="421.80129999999997"/>
    <n v="1687.21"/>
    <x v="1"/>
    <n v="11"/>
    <n v="2.6"/>
  </r>
  <r>
    <n v="1453"/>
    <d v="2023-12-23T00:00:00"/>
    <x v="3"/>
    <s v="Q4"/>
    <x v="11"/>
    <n v="12"/>
    <n v="1992"/>
    <x v="2"/>
    <x v="2"/>
    <n v="6"/>
    <n v="471.09"/>
    <n v="0.11"/>
    <n v="419.27009999999996"/>
    <n v="2515.62"/>
    <x v="2"/>
    <n v="5"/>
    <n v="4.5"/>
  </r>
  <r>
    <n v="1454"/>
    <d v="2023-12-24T00:00:00"/>
    <x v="3"/>
    <s v="Q4"/>
    <x v="11"/>
    <n v="12"/>
    <n v="1664"/>
    <x v="3"/>
    <x v="0"/>
    <n v="4"/>
    <n v="526.80999999999995"/>
    <n v="0.01"/>
    <n v="521.54189999999994"/>
    <n v="2086.17"/>
    <x v="0"/>
    <n v="8"/>
    <n v="3.4"/>
  </r>
  <r>
    <n v="1455"/>
    <d v="2023-12-25T00:00:00"/>
    <x v="3"/>
    <s v="Q4"/>
    <x v="11"/>
    <n v="12"/>
    <n v="1144"/>
    <x v="3"/>
    <x v="1"/>
    <n v="5"/>
    <n v="428.32"/>
    <n v="0.26"/>
    <n v="316.95679999999999"/>
    <n v="1584.78"/>
    <x v="1"/>
    <n v="11"/>
    <n v="4.2"/>
  </r>
  <r>
    <n v="1456"/>
    <d v="2023-12-26T00:00:00"/>
    <x v="3"/>
    <s v="Q4"/>
    <x v="11"/>
    <n v="12"/>
    <n v="1224"/>
    <x v="3"/>
    <x v="3"/>
    <n v="1"/>
    <n v="459.89"/>
    <n v="0.12"/>
    <n v="404.70319999999998"/>
    <n v="404.7"/>
    <x v="1"/>
    <n v="6"/>
    <n v="4.2"/>
  </r>
  <r>
    <n v="1457"/>
    <d v="2023-12-27T00:00:00"/>
    <x v="3"/>
    <s v="Q4"/>
    <x v="11"/>
    <n v="12"/>
    <n v="1502"/>
    <x v="3"/>
    <x v="2"/>
    <n v="4"/>
    <n v="321.06"/>
    <n v="0.25"/>
    <n v="240.79500000000002"/>
    <n v="963.18"/>
    <x v="2"/>
    <n v="4"/>
    <n v="1.5"/>
  </r>
  <r>
    <n v="1458"/>
    <d v="2023-12-28T00:00:00"/>
    <x v="3"/>
    <s v="Q4"/>
    <x v="11"/>
    <n v="12"/>
    <n v="1961"/>
    <x v="1"/>
    <x v="0"/>
    <n v="7"/>
    <n v="555.67999999999995"/>
    <n v="0.25"/>
    <n v="416.76"/>
    <n v="2917.32"/>
    <x v="0"/>
    <n v="5"/>
    <n v="3.6"/>
  </r>
  <r>
    <n v="1459"/>
    <d v="2023-12-29T00:00:00"/>
    <x v="3"/>
    <s v="Q4"/>
    <x v="11"/>
    <n v="12"/>
    <n v="1973"/>
    <x v="2"/>
    <x v="0"/>
    <n v="5"/>
    <n v="497.65"/>
    <n v="0.19"/>
    <n v="403.09649999999999"/>
    <n v="2015.48"/>
    <x v="2"/>
    <n v="11"/>
    <n v="4.8"/>
  </r>
  <r>
    <n v="1460"/>
    <d v="2023-12-30T00:00:00"/>
    <x v="3"/>
    <s v="Q4"/>
    <x v="11"/>
    <n v="12"/>
    <n v="1820"/>
    <x v="3"/>
    <x v="0"/>
    <n v="5"/>
    <n v="508.67"/>
    <n v="0.27"/>
    <n v="371.32910000000004"/>
    <n v="1856.65"/>
    <x v="2"/>
    <n v="7"/>
    <n v="2.9"/>
  </r>
  <r>
    <n v="1461"/>
    <d v="2023-12-31T00:00:00"/>
    <x v="3"/>
    <s v="Q4"/>
    <x v="11"/>
    <n v="12"/>
    <n v="1615"/>
    <x v="1"/>
    <x v="3"/>
    <n v="5"/>
    <n v="408.71"/>
    <n v="0.2"/>
    <n v="326.96799999999996"/>
    <n v="1634.84"/>
    <x v="1"/>
    <n v="8"/>
    <n v="3.9"/>
  </r>
  <r>
    <n v="1462"/>
    <d v="2024-01-01T00:00:00"/>
    <x v="4"/>
    <s v="Q1"/>
    <x v="0"/>
    <n v="1"/>
    <n v="1103"/>
    <x v="3"/>
    <x v="3"/>
    <n v="3"/>
    <n v="193.18"/>
    <n v="0.1"/>
    <n v="173.86199999999999"/>
    <n v="521.59"/>
    <x v="1"/>
    <n v="5"/>
    <n v="3.3"/>
  </r>
  <r>
    <n v="1463"/>
    <d v="2024-01-02T00:00:00"/>
    <x v="4"/>
    <s v="Q1"/>
    <x v="0"/>
    <n v="1"/>
    <n v="1946"/>
    <x v="2"/>
    <x v="1"/>
    <n v="7"/>
    <n v="35.840000000000003"/>
    <n v="0.26"/>
    <n v="26.521600000000003"/>
    <n v="185.65"/>
    <x v="2"/>
    <n v="2"/>
    <n v="1.8"/>
  </r>
  <r>
    <n v="1464"/>
    <d v="2024-01-03T00:00:00"/>
    <x v="4"/>
    <s v="Q1"/>
    <x v="0"/>
    <n v="1"/>
    <n v="1038"/>
    <x v="2"/>
    <x v="0"/>
    <n v="3"/>
    <n v="562.36"/>
    <n v="0.21"/>
    <n v="444.26440000000002"/>
    <n v="1332.79"/>
    <x v="1"/>
    <n v="6"/>
    <n v="1.8"/>
  </r>
  <r>
    <n v="1465"/>
    <d v="2024-01-04T00:00:00"/>
    <x v="4"/>
    <s v="Q1"/>
    <x v="0"/>
    <n v="1"/>
    <n v="1946"/>
    <x v="0"/>
    <x v="3"/>
    <n v="5"/>
    <n v="357.88"/>
    <n v="0"/>
    <n v="357.88"/>
    <n v="1789.4"/>
    <x v="0"/>
    <n v="9"/>
    <n v="2.7"/>
  </r>
  <r>
    <n v="1466"/>
    <d v="2024-01-05T00:00:00"/>
    <x v="4"/>
    <s v="Q1"/>
    <x v="0"/>
    <n v="1"/>
    <n v="1197"/>
    <x v="2"/>
    <x v="0"/>
    <n v="6"/>
    <n v="189.41"/>
    <n v="0.32"/>
    <n v="128.7988"/>
    <n v="772.79"/>
    <x v="2"/>
    <n v="3"/>
    <n v="2.9"/>
  </r>
  <r>
    <n v="1467"/>
    <d v="2024-01-06T00:00:00"/>
    <x v="4"/>
    <s v="Q1"/>
    <x v="0"/>
    <n v="1"/>
    <n v="1645"/>
    <x v="0"/>
    <x v="2"/>
    <n v="4"/>
    <n v="102.24"/>
    <n v="0.19"/>
    <n v="82.814399999999992"/>
    <n v="331.26"/>
    <x v="2"/>
    <n v="7"/>
    <n v="3"/>
  </r>
  <r>
    <n v="1468"/>
    <d v="2024-01-07T00:00:00"/>
    <x v="4"/>
    <s v="Q1"/>
    <x v="0"/>
    <n v="1"/>
    <n v="1578"/>
    <x v="0"/>
    <x v="0"/>
    <n v="1"/>
    <n v="500.27"/>
    <n v="0.3"/>
    <n v="350.18899999999996"/>
    <n v="350.19"/>
    <x v="2"/>
    <n v="8"/>
    <n v="4.8"/>
  </r>
  <r>
    <n v="1469"/>
    <d v="2024-01-08T00:00:00"/>
    <x v="4"/>
    <s v="Q1"/>
    <x v="0"/>
    <n v="1"/>
    <n v="1390"/>
    <x v="3"/>
    <x v="1"/>
    <n v="7"/>
    <n v="504.36"/>
    <n v="0.31"/>
    <n v="348.00840000000005"/>
    <n v="2436.06"/>
    <x v="2"/>
    <n v="6"/>
    <n v="1.4"/>
  </r>
  <r>
    <n v="1470"/>
    <d v="2024-01-09T00:00:00"/>
    <x v="4"/>
    <s v="Q1"/>
    <x v="0"/>
    <n v="1"/>
    <n v="1178"/>
    <x v="3"/>
    <x v="3"/>
    <n v="6"/>
    <n v="491.49"/>
    <n v="0.16"/>
    <n v="412.85160000000002"/>
    <n v="2477.11"/>
    <x v="2"/>
    <n v="3"/>
    <n v="2.5"/>
  </r>
  <r>
    <n v="1471"/>
    <d v="2024-01-10T00:00:00"/>
    <x v="4"/>
    <s v="Q1"/>
    <x v="0"/>
    <n v="1"/>
    <n v="1967"/>
    <x v="1"/>
    <x v="2"/>
    <n v="2"/>
    <n v="392.37"/>
    <n v="0.18"/>
    <n v="321.74340000000001"/>
    <n v="643.49"/>
    <x v="0"/>
    <n v="1"/>
    <n v="3.1"/>
  </r>
  <r>
    <n v="1472"/>
    <d v="2024-01-11T00:00:00"/>
    <x v="4"/>
    <s v="Q1"/>
    <x v="0"/>
    <n v="1"/>
    <n v="1553"/>
    <x v="0"/>
    <x v="3"/>
    <n v="3"/>
    <n v="229.12"/>
    <n v="0.15"/>
    <n v="194.75200000000001"/>
    <n v="584.26"/>
    <x v="0"/>
    <n v="3"/>
    <n v="4.9000000000000004"/>
  </r>
  <r>
    <n v="1473"/>
    <d v="2024-01-12T00:00:00"/>
    <x v="4"/>
    <s v="Q1"/>
    <x v="0"/>
    <n v="1"/>
    <n v="1447"/>
    <x v="2"/>
    <x v="2"/>
    <n v="4"/>
    <n v="192.88"/>
    <n v="0.16"/>
    <n v="162.01919999999998"/>
    <n v="648.08000000000004"/>
    <x v="0"/>
    <n v="11"/>
    <n v="3"/>
  </r>
  <r>
    <n v="1474"/>
    <d v="2024-01-13T00:00:00"/>
    <x v="4"/>
    <s v="Q1"/>
    <x v="0"/>
    <n v="1"/>
    <n v="1499"/>
    <x v="1"/>
    <x v="0"/>
    <n v="4"/>
    <n v="20"/>
    <n v="0.31"/>
    <n v="13.8"/>
    <n v="55.2"/>
    <x v="0"/>
    <n v="6"/>
    <n v="4.0999999999999996"/>
  </r>
  <r>
    <n v="1475"/>
    <d v="2024-01-14T00:00:00"/>
    <x v="4"/>
    <s v="Q1"/>
    <x v="0"/>
    <n v="1"/>
    <n v="1014"/>
    <x v="1"/>
    <x v="0"/>
    <n v="2"/>
    <n v="502.66"/>
    <n v="0.28000000000000003"/>
    <n v="361.91520000000003"/>
    <n v="723.83"/>
    <x v="2"/>
    <n v="11"/>
    <n v="4"/>
  </r>
  <r>
    <n v="1476"/>
    <d v="2024-01-15T00:00:00"/>
    <x v="4"/>
    <s v="Q1"/>
    <x v="0"/>
    <n v="1"/>
    <n v="1622"/>
    <x v="1"/>
    <x v="1"/>
    <n v="2"/>
    <n v="66.150000000000006"/>
    <n v="0.04"/>
    <n v="63.504000000000005"/>
    <n v="127.01"/>
    <x v="2"/>
    <n v="4"/>
    <n v="3.3"/>
  </r>
  <r>
    <n v="1477"/>
    <d v="2024-01-16T00:00:00"/>
    <x v="4"/>
    <s v="Q1"/>
    <x v="0"/>
    <n v="1"/>
    <n v="1668"/>
    <x v="1"/>
    <x v="1"/>
    <n v="7"/>
    <n v="383.99"/>
    <n v="0.21"/>
    <n v="303.35210000000001"/>
    <n v="2123.46"/>
    <x v="1"/>
    <n v="1"/>
    <n v="1.5"/>
  </r>
  <r>
    <n v="1478"/>
    <d v="2024-01-17T00:00:00"/>
    <x v="4"/>
    <s v="Q1"/>
    <x v="0"/>
    <n v="1"/>
    <n v="1288"/>
    <x v="2"/>
    <x v="2"/>
    <n v="4"/>
    <n v="309.88"/>
    <n v="0.35"/>
    <n v="201.422"/>
    <n v="805.69"/>
    <x v="1"/>
    <n v="6"/>
    <n v="1.9"/>
  </r>
  <r>
    <n v="1479"/>
    <d v="2024-01-18T00:00:00"/>
    <x v="4"/>
    <s v="Q1"/>
    <x v="0"/>
    <n v="1"/>
    <n v="1477"/>
    <x v="1"/>
    <x v="1"/>
    <n v="2"/>
    <n v="323.11"/>
    <n v="0.21"/>
    <n v="255.25690000000003"/>
    <n v="510.51"/>
    <x v="1"/>
    <n v="1"/>
    <n v="2"/>
  </r>
  <r>
    <n v="1480"/>
    <d v="2024-01-19T00:00:00"/>
    <x v="4"/>
    <s v="Q1"/>
    <x v="0"/>
    <n v="1"/>
    <n v="1230"/>
    <x v="0"/>
    <x v="1"/>
    <n v="4"/>
    <n v="557.13"/>
    <n v="0.28000000000000003"/>
    <n v="401.1336"/>
    <n v="1604.53"/>
    <x v="1"/>
    <n v="8"/>
    <n v="1.2"/>
  </r>
  <r>
    <n v="1481"/>
    <d v="2024-01-20T00:00:00"/>
    <x v="4"/>
    <s v="Q1"/>
    <x v="0"/>
    <n v="1"/>
    <n v="1922"/>
    <x v="2"/>
    <x v="1"/>
    <n v="6"/>
    <n v="33.49"/>
    <n v="0.27"/>
    <n v="24.447700000000001"/>
    <n v="146.69"/>
    <x v="1"/>
    <n v="3"/>
    <n v="2.5"/>
  </r>
  <r>
    <n v="1482"/>
    <d v="2024-01-21T00:00:00"/>
    <x v="4"/>
    <s v="Q1"/>
    <x v="0"/>
    <n v="1"/>
    <n v="1419"/>
    <x v="0"/>
    <x v="1"/>
    <n v="7"/>
    <n v="467.43"/>
    <n v="0.12"/>
    <n v="411.33839999999998"/>
    <n v="2879.37"/>
    <x v="1"/>
    <n v="3"/>
    <n v="3.4"/>
  </r>
  <r>
    <n v="1483"/>
    <d v="2024-01-22T00:00:00"/>
    <x v="4"/>
    <s v="Q1"/>
    <x v="0"/>
    <n v="1"/>
    <n v="1156"/>
    <x v="3"/>
    <x v="0"/>
    <n v="2"/>
    <n v="45.45"/>
    <n v="0.13"/>
    <n v="39.541499999999999"/>
    <n v="79.08"/>
    <x v="0"/>
    <n v="1"/>
    <n v="1.6"/>
  </r>
  <r>
    <n v="1484"/>
    <d v="2024-01-23T00:00:00"/>
    <x v="4"/>
    <s v="Q1"/>
    <x v="0"/>
    <n v="1"/>
    <n v="1549"/>
    <x v="3"/>
    <x v="1"/>
    <n v="6"/>
    <n v="37.32"/>
    <n v="0.25"/>
    <n v="27.990000000000002"/>
    <n v="167.94"/>
    <x v="0"/>
    <n v="3"/>
    <n v="1.7"/>
  </r>
  <r>
    <n v="1485"/>
    <d v="2024-01-24T00:00:00"/>
    <x v="4"/>
    <s v="Q1"/>
    <x v="0"/>
    <n v="1"/>
    <n v="1440"/>
    <x v="1"/>
    <x v="0"/>
    <n v="6"/>
    <n v="266.44"/>
    <n v="0.17"/>
    <n v="221.14519999999999"/>
    <n v="1326.87"/>
    <x v="1"/>
    <n v="7"/>
    <n v="3.8"/>
  </r>
  <r>
    <n v="1486"/>
    <d v="2024-01-25T00:00:00"/>
    <x v="4"/>
    <s v="Q1"/>
    <x v="0"/>
    <n v="1"/>
    <n v="1096"/>
    <x v="3"/>
    <x v="0"/>
    <n v="2"/>
    <n v="51.9"/>
    <n v="0.2"/>
    <n v="41.519999999999996"/>
    <n v="83.04"/>
    <x v="1"/>
    <n v="10"/>
    <n v="1.7"/>
  </r>
  <r>
    <n v="1487"/>
    <d v="2024-01-26T00:00:00"/>
    <x v="4"/>
    <s v="Q1"/>
    <x v="0"/>
    <n v="1"/>
    <n v="1996"/>
    <x v="2"/>
    <x v="3"/>
    <n v="7"/>
    <n v="476.65"/>
    <n v="0.25"/>
    <n v="357.48749999999995"/>
    <n v="2502.41"/>
    <x v="0"/>
    <n v="8"/>
    <n v="1.5"/>
  </r>
  <r>
    <n v="1488"/>
    <d v="2024-01-27T00:00:00"/>
    <x v="4"/>
    <s v="Q1"/>
    <x v="0"/>
    <n v="1"/>
    <n v="1410"/>
    <x v="3"/>
    <x v="0"/>
    <n v="4"/>
    <n v="324.79000000000002"/>
    <n v="0.27"/>
    <n v="237.0967"/>
    <n v="948.39"/>
    <x v="0"/>
    <n v="11"/>
    <n v="4.9000000000000004"/>
  </r>
  <r>
    <n v="1489"/>
    <d v="2024-01-28T00:00:00"/>
    <x v="4"/>
    <s v="Q1"/>
    <x v="0"/>
    <n v="1"/>
    <n v="1950"/>
    <x v="2"/>
    <x v="0"/>
    <n v="5"/>
    <n v="31.99"/>
    <n v="0.1"/>
    <n v="28.790999999999997"/>
    <n v="143.94999999999999"/>
    <x v="0"/>
    <n v="8"/>
    <n v="1.1000000000000001"/>
  </r>
  <r>
    <n v="1490"/>
    <d v="2024-01-29T00:00:00"/>
    <x v="4"/>
    <s v="Q1"/>
    <x v="0"/>
    <n v="1"/>
    <n v="1288"/>
    <x v="0"/>
    <x v="1"/>
    <n v="4"/>
    <n v="38.69"/>
    <n v="0.05"/>
    <n v="36.755499999999998"/>
    <n v="147.02000000000001"/>
    <x v="0"/>
    <n v="3"/>
    <n v="2.2999999999999998"/>
  </r>
  <r>
    <n v="1491"/>
    <d v="2024-01-30T00:00:00"/>
    <x v="4"/>
    <s v="Q1"/>
    <x v="0"/>
    <n v="1"/>
    <n v="1253"/>
    <x v="0"/>
    <x v="0"/>
    <n v="1"/>
    <n v="373.41"/>
    <n v="0.1"/>
    <n v="336.06900000000002"/>
    <n v="336.07"/>
    <x v="0"/>
    <n v="5"/>
    <n v="1.1000000000000001"/>
  </r>
  <r>
    <n v="1492"/>
    <d v="2024-01-31T00:00:00"/>
    <x v="4"/>
    <s v="Q1"/>
    <x v="0"/>
    <n v="1"/>
    <n v="1195"/>
    <x v="2"/>
    <x v="2"/>
    <n v="2"/>
    <n v="486.58"/>
    <n v="0.18"/>
    <n v="398.99559999999997"/>
    <n v="797.99"/>
    <x v="1"/>
    <n v="1"/>
    <n v="4.4000000000000004"/>
  </r>
  <r>
    <n v="1493"/>
    <d v="2024-02-01T00:00:00"/>
    <x v="4"/>
    <s v="Q1"/>
    <x v="1"/>
    <n v="2"/>
    <n v="1597"/>
    <x v="2"/>
    <x v="1"/>
    <n v="3"/>
    <n v="271.11"/>
    <n v="0.12"/>
    <n v="238.57680000000002"/>
    <n v="715.73"/>
    <x v="1"/>
    <n v="9"/>
    <n v="3.3"/>
  </r>
  <r>
    <n v="1494"/>
    <d v="2024-02-02T00:00:00"/>
    <x v="4"/>
    <s v="Q1"/>
    <x v="1"/>
    <n v="2"/>
    <n v="1833"/>
    <x v="3"/>
    <x v="1"/>
    <n v="7"/>
    <n v="339.43"/>
    <n v="0.2"/>
    <n v="271.54399999999998"/>
    <n v="1900.81"/>
    <x v="2"/>
    <n v="8"/>
    <n v="1.2"/>
  </r>
  <r>
    <n v="1495"/>
    <d v="2024-02-03T00:00:00"/>
    <x v="4"/>
    <s v="Q1"/>
    <x v="1"/>
    <n v="2"/>
    <n v="1521"/>
    <x v="2"/>
    <x v="1"/>
    <n v="2"/>
    <n v="482.9"/>
    <n v="0.02"/>
    <n v="473.24199999999996"/>
    <n v="946.48"/>
    <x v="1"/>
    <n v="10"/>
    <n v="3.5"/>
  </r>
  <r>
    <n v="1496"/>
    <d v="2024-02-04T00:00:00"/>
    <x v="4"/>
    <s v="Q1"/>
    <x v="1"/>
    <n v="2"/>
    <n v="1516"/>
    <x v="0"/>
    <x v="3"/>
    <n v="1"/>
    <n v="372.15"/>
    <n v="0.18"/>
    <n v="305.16300000000001"/>
    <n v="305.16000000000003"/>
    <x v="0"/>
    <n v="2"/>
    <n v="1.5"/>
  </r>
  <r>
    <n v="1497"/>
    <d v="2024-02-05T00:00:00"/>
    <x v="4"/>
    <s v="Q1"/>
    <x v="1"/>
    <n v="2"/>
    <n v="1634"/>
    <x v="2"/>
    <x v="1"/>
    <n v="6"/>
    <n v="146.47999999999999"/>
    <n v="0.13"/>
    <n v="127.43759999999999"/>
    <n v="764.63"/>
    <x v="2"/>
    <n v="10"/>
    <n v="3"/>
  </r>
  <r>
    <n v="1498"/>
    <d v="2024-02-06T00:00:00"/>
    <x v="4"/>
    <s v="Q1"/>
    <x v="1"/>
    <n v="2"/>
    <n v="1841"/>
    <x v="2"/>
    <x v="0"/>
    <n v="3"/>
    <n v="373.64"/>
    <n v="0.19"/>
    <n v="302.64839999999998"/>
    <n v="907.95"/>
    <x v="2"/>
    <n v="1"/>
    <n v="3.7"/>
  </r>
  <r>
    <n v="1499"/>
    <d v="2024-02-07T00:00:00"/>
    <x v="4"/>
    <s v="Q1"/>
    <x v="1"/>
    <n v="2"/>
    <n v="1864"/>
    <x v="0"/>
    <x v="2"/>
    <n v="3"/>
    <n v="382.54"/>
    <n v="0.15"/>
    <n v="325.15899999999999"/>
    <n v="975.48"/>
    <x v="1"/>
    <n v="4"/>
    <n v="1.6"/>
  </r>
  <r>
    <n v="1500"/>
    <d v="2024-02-08T00:00:00"/>
    <x v="4"/>
    <s v="Q1"/>
    <x v="1"/>
    <n v="2"/>
    <n v="1117"/>
    <x v="3"/>
    <x v="1"/>
    <n v="4"/>
    <n v="444.45"/>
    <n v="0.1"/>
    <n v="400.005"/>
    <n v="1600.02"/>
    <x v="2"/>
    <n v="9"/>
    <n v="3"/>
  </r>
  <r>
    <n v="1501"/>
    <d v="2024-02-09T00:00:00"/>
    <x v="4"/>
    <s v="Q1"/>
    <x v="1"/>
    <n v="2"/>
    <n v="1805"/>
    <x v="3"/>
    <x v="1"/>
    <n v="5"/>
    <n v="378.21"/>
    <n v="0.32"/>
    <n v="257.18279999999999"/>
    <n v="1285.9100000000001"/>
    <x v="2"/>
    <n v="8"/>
    <n v="2.8"/>
  </r>
  <r>
    <n v="1502"/>
    <d v="2024-02-10T00:00:00"/>
    <x v="4"/>
    <s v="Q1"/>
    <x v="1"/>
    <n v="2"/>
    <n v="1908"/>
    <x v="2"/>
    <x v="2"/>
    <n v="4"/>
    <n v="582.01"/>
    <n v="0.06"/>
    <n v="547.08939999999996"/>
    <n v="2188.36"/>
    <x v="0"/>
    <n v="3"/>
    <n v="4.7"/>
  </r>
  <r>
    <n v="1503"/>
    <d v="2024-02-11T00:00:00"/>
    <x v="4"/>
    <s v="Q1"/>
    <x v="1"/>
    <n v="2"/>
    <n v="1158"/>
    <x v="3"/>
    <x v="1"/>
    <n v="7"/>
    <n v="130.41"/>
    <n v="0.24"/>
    <n v="99.111599999999996"/>
    <n v="693.78"/>
    <x v="1"/>
    <n v="10"/>
    <n v="5"/>
  </r>
  <r>
    <n v="1504"/>
    <d v="2024-02-12T00:00:00"/>
    <x v="4"/>
    <s v="Q1"/>
    <x v="1"/>
    <n v="2"/>
    <n v="1814"/>
    <x v="1"/>
    <x v="3"/>
    <n v="3"/>
    <n v="571.39"/>
    <n v="0.32"/>
    <n v="388.54520000000002"/>
    <n v="1165.6400000000001"/>
    <x v="0"/>
    <n v="6"/>
    <n v="3.6"/>
  </r>
  <r>
    <n v="1505"/>
    <d v="2024-02-13T00:00:00"/>
    <x v="4"/>
    <s v="Q1"/>
    <x v="1"/>
    <n v="2"/>
    <n v="1227"/>
    <x v="1"/>
    <x v="0"/>
    <n v="3"/>
    <n v="329.93"/>
    <n v="0.19"/>
    <n v="267.24329999999998"/>
    <n v="801.73"/>
    <x v="0"/>
    <n v="9"/>
    <n v="4.4000000000000004"/>
  </r>
  <r>
    <n v="1506"/>
    <d v="2024-02-14T00:00:00"/>
    <x v="4"/>
    <s v="Q1"/>
    <x v="1"/>
    <n v="2"/>
    <n v="1876"/>
    <x v="3"/>
    <x v="2"/>
    <n v="5"/>
    <n v="408.09"/>
    <n v="0.31"/>
    <n v="281.58209999999997"/>
    <n v="1407.91"/>
    <x v="2"/>
    <n v="10"/>
    <n v="3.6"/>
  </r>
  <r>
    <n v="1507"/>
    <d v="2024-02-15T00:00:00"/>
    <x v="4"/>
    <s v="Q1"/>
    <x v="1"/>
    <n v="2"/>
    <n v="1215"/>
    <x v="1"/>
    <x v="2"/>
    <n v="7"/>
    <n v="73.19"/>
    <n v="0.04"/>
    <n v="70.2624"/>
    <n v="491.84"/>
    <x v="2"/>
    <n v="8"/>
    <n v="4.5"/>
  </r>
  <r>
    <n v="1508"/>
    <d v="2024-02-16T00:00:00"/>
    <x v="4"/>
    <s v="Q1"/>
    <x v="1"/>
    <n v="2"/>
    <n v="1947"/>
    <x v="1"/>
    <x v="3"/>
    <n v="2"/>
    <n v="237.64"/>
    <n v="0.17"/>
    <n v="197.24119999999999"/>
    <n v="394.48"/>
    <x v="2"/>
    <n v="10"/>
    <n v="2.7"/>
  </r>
  <r>
    <n v="1509"/>
    <d v="2024-02-17T00:00:00"/>
    <x v="4"/>
    <s v="Q1"/>
    <x v="1"/>
    <n v="2"/>
    <n v="1695"/>
    <x v="2"/>
    <x v="0"/>
    <n v="5"/>
    <n v="465.09"/>
    <n v="0.16"/>
    <n v="390.67559999999997"/>
    <n v="1953.38"/>
    <x v="1"/>
    <n v="5"/>
    <n v="3.4"/>
  </r>
  <r>
    <n v="1510"/>
    <d v="2024-02-18T00:00:00"/>
    <x v="4"/>
    <s v="Q1"/>
    <x v="1"/>
    <n v="2"/>
    <n v="1014"/>
    <x v="3"/>
    <x v="3"/>
    <n v="6"/>
    <n v="428.54"/>
    <n v="0"/>
    <n v="428.54"/>
    <n v="2571.2399999999998"/>
    <x v="1"/>
    <n v="9"/>
    <n v="4.4000000000000004"/>
  </r>
  <r>
    <n v="1511"/>
    <d v="2024-02-19T00:00:00"/>
    <x v="4"/>
    <s v="Q1"/>
    <x v="1"/>
    <n v="2"/>
    <n v="1156"/>
    <x v="2"/>
    <x v="0"/>
    <n v="4"/>
    <n v="38.479999999999997"/>
    <n v="0.16"/>
    <n v="32.3232"/>
    <n v="129.29"/>
    <x v="0"/>
    <n v="9"/>
    <n v="4.7"/>
  </r>
  <r>
    <n v="1512"/>
    <d v="2024-02-20T00:00:00"/>
    <x v="4"/>
    <s v="Q1"/>
    <x v="1"/>
    <n v="2"/>
    <n v="1647"/>
    <x v="3"/>
    <x v="3"/>
    <n v="2"/>
    <n v="334.76"/>
    <n v="0.13"/>
    <n v="291.24119999999999"/>
    <n v="582.48"/>
    <x v="2"/>
    <n v="3"/>
    <n v="1.1000000000000001"/>
  </r>
  <r>
    <n v="1513"/>
    <d v="2024-02-21T00:00:00"/>
    <x v="4"/>
    <s v="Q1"/>
    <x v="1"/>
    <n v="2"/>
    <n v="1260"/>
    <x v="2"/>
    <x v="1"/>
    <n v="4"/>
    <n v="66.64"/>
    <n v="0.23"/>
    <n v="51.312799999999996"/>
    <n v="205.25"/>
    <x v="1"/>
    <n v="8"/>
    <n v="1.4"/>
  </r>
  <r>
    <n v="1514"/>
    <d v="2024-02-22T00:00:00"/>
    <x v="4"/>
    <s v="Q1"/>
    <x v="1"/>
    <n v="2"/>
    <n v="1156"/>
    <x v="1"/>
    <x v="3"/>
    <n v="5"/>
    <n v="597.58000000000004"/>
    <n v="0.33"/>
    <n v="400.37860000000001"/>
    <n v="2001.89"/>
    <x v="2"/>
    <n v="4"/>
    <n v="4.7"/>
  </r>
  <r>
    <n v="1515"/>
    <d v="2024-02-23T00:00:00"/>
    <x v="4"/>
    <s v="Q1"/>
    <x v="1"/>
    <n v="2"/>
    <n v="1046"/>
    <x v="3"/>
    <x v="2"/>
    <n v="2"/>
    <n v="539.91999999999996"/>
    <n v="0.03"/>
    <n v="523.72239999999999"/>
    <n v="1047.44"/>
    <x v="1"/>
    <n v="10"/>
    <n v="3.3"/>
  </r>
  <r>
    <n v="1516"/>
    <d v="2024-02-24T00:00:00"/>
    <x v="4"/>
    <s v="Q1"/>
    <x v="1"/>
    <n v="2"/>
    <n v="1323"/>
    <x v="2"/>
    <x v="2"/>
    <n v="5"/>
    <n v="27.33"/>
    <n v="0.11"/>
    <n v="24.323699999999999"/>
    <n v="121.62"/>
    <x v="1"/>
    <n v="7"/>
    <n v="5"/>
  </r>
  <r>
    <n v="1517"/>
    <d v="2024-02-25T00:00:00"/>
    <x v="4"/>
    <s v="Q1"/>
    <x v="1"/>
    <n v="2"/>
    <n v="1843"/>
    <x v="2"/>
    <x v="2"/>
    <n v="6"/>
    <n v="517.30999999999995"/>
    <n v="0.16"/>
    <n v="434.54039999999998"/>
    <n v="2607.2399999999998"/>
    <x v="2"/>
    <n v="10"/>
    <n v="4.2"/>
  </r>
  <r>
    <n v="1518"/>
    <d v="2024-02-26T00:00:00"/>
    <x v="4"/>
    <s v="Q1"/>
    <x v="1"/>
    <n v="2"/>
    <n v="1684"/>
    <x v="2"/>
    <x v="3"/>
    <n v="1"/>
    <n v="552.87"/>
    <n v="0.16"/>
    <n v="464.41079999999999"/>
    <n v="464.41"/>
    <x v="1"/>
    <n v="8"/>
    <n v="4.3"/>
  </r>
  <r>
    <n v="1519"/>
    <d v="2024-02-27T00:00:00"/>
    <x v="4"/>
    <s v="Q1"/>
    <x v="1"/>
    <n v="2"/>
    <n v="1129"/>
    <x v="1"/>
    <x v="2"/>
    <n v="3"/>
    <n v="221.83"/>
    <n v="0.27"/>
    <n v="161.9359"/>
    <n v="485.81"/>
    <x v="1"/>
    <n v="7"/>
    <n v="2.5"/>
  </r>
  <r>
    <n v="1520"/>
    <d v="2024-02-28T00:00:00"/>
    <x v="4"/>
    <s v="Q1"/>
    <x v="1"/>
    <n v="2"/>
    <n v="1410"/>
    <x v="3"/>
    <x v="2"/>
    <n v="7"/>
    <n v="435.91"/>
    <n v="0.16"/>
    <n v="366.1644"/>
    <n v="2563.15"/>
    <x v="2"/>
    <n v="5"/>
    <n v="2"/>
  </r>
  <r>
    <n v="1521"/>
    <d v="2024-02-29T00:00:00"/>
    <x v="4"/>
    <s v="Q1"/>
    <x v="1"/>
    <n v="2"/>
    <n v="1094"/>
    <x v="2"/>
    <x v="1"/>
    <n v="2"/>
    <n v="273.63"/>
    <n v="0.01"/>
    <n v="270.89369999999997"/>
    <n v="541.79"/>
    <x v="2"/>
    <n v="11"/>
    <n v="3.4"/>
  </r>
  <r>
    <n v="1522"/>
    <d v="2024-03-01T00:00:00"/>
    <x v="4"/>
    <s v="Q1"/>
    <x v="2"/>
    <n v="3"/>
    <n v="1626"/>
    <x v="3"/>
    <x v="1"/>
    <n v="3"/>
    <n v="398.31"/>
    <n v="0.25"/>
    <n v="298.73250000000002"/>
    <n v="896.2"/>
    <x v="1"/>
    <n v="1"/>
    <n v="4.5"/>
  </r>
  <r>
    <n v="1523"/>
    <d v="2024-03-02T00:00:00"/>
    <x v="4"/>
    <s v="Q1"/>
    <x v="2"/>
    <n v="3"/>
    <n v="1754"/>
    <x v="2"/>
    <x v="0"/>
    <n v="1"/>
    <n v="214.09"/>
    <n v="0.31"/>
    <n v="147.72210000000001"/>
    <n v="147.72"/>
    <x v="1"/>
    <n v="8"/>
    <n v="3.9"/>
  </r>
  <r>
    <n v="1524"/>
    <d v="2024-03-03T00:00:00"/>
    <x v="4"/>
    <s v="Q1"/>
    <x v="2"/>
    <n v="3"/>
    <n v="1931"/>
    <x v="1"/>
    <x v="0"/>
    <n v="2"/>
    <n v="203.7"/>
    <n v="0.18"/>
    <n v="167.03399999999999"/>
    <n v="334.07"/>
    <x v="1"/>
    <n v="5"/>
    <n v="2.9"/>
  </r>
  <r>
    <n v="1525"/>
    <d v="2024-03-04T00:00:00"/>
    <x v="4"/>
    <s v="Q1"/>
    <x v="2"/>
    <n v="3"/>
    <n v="1291"/>
    <x v="0"/>
    <x v="0"/>
    <n v="3"/>
    <n v="263.29000000000002"/>
    <n v="0.2"/>
    <n v="210.63200000000001"/>
    <n v="631.9"/>
    <x v="1"/>
    <n v="3"/>
    <n v="4"/>
  </r>
  <r>
    <n v="1526"/>
    <d v="2024-03-05T00:00:00"/>
    <x v="4"/>
    <s v="Q1"/>
    <x v="2"/>
    <n v="3"/>
    <n v="1793"/>
    <x v="2"/>
    <x v="3"/>
    <n v="3"/>
    <n v="100.16"/>
    <n v="0.06"/>
    <n v="94.150399999999991"/>
    <n v="282.45"/>
    <x v="1"/>
    <n v="2"/>
    <n v="3.8"/>
  </r>
  <r>
    <n v="1527"/>
    <d v="2024-03-06T00:00:00"/>
    <x v="4"/>
    <s v="Q1"/>
    <x v="2"/>
    <n v="3"/>
    <n v="1810"/>
    <x v="1"/>
    <x v="0"/>
    <n v="2"/>
    <n v="501.22"/>
    <n v="0.08"/>
    <n v="461.12240000000003"/>
    <n v="922.24"/>
    <x v="1"/>
    <n v="3"/>
    <n v="4.7"/>
  </r>
  <r>
    <n v="1528"/>
    <d v="2024-03-07T00:00:00"/>
    <x v="4"/>
    <s v="Q1"/>
    <x v="2"/>
    <n v="3"/>
    <n v="1282"/>
    <x v="2"/>
    <x v="3"/>
    <n v="3"/>
    <n v="218.99"/>
    <n v="0.08"/>
    <n v="201.4708"/>
    <n v="604.41"/>
    <x v="1"/>
    <n v="9"/>
    <n v="2.1"/>
  </r>
  <r>
    <n v="1529"/>
    <d v="2024-03-08T00:00:00"/>
    <x v="4"/>
    <s v="Q1"/>
    <x v="2"/>
    <n v="3"/>
    <n v="1068"/>
    <x v="2"/>
    <x v="3"/>
    <n v="3"/>
    <n v="249.09"/>
    <n v="0.15"/>
    <n v="211.72649999999999"/>
    <n v="635.17999999999995"/>
    <x v="0"/>
    <n v="2"/>
    <n v="1.5"/>
  </r>
  <r>
    <n v="1530"/>
    <d v="2024-03-09T00:00:00"/>
    <x v="4"/>
    <s v="Q1"/>
    <x v="2"/>
    <n v="3"/>
    <n v="1659"/>
    <x v="2"/>
    <x v="0"/>
    <n v="2"/>
    <n v="538.02"/>
    <n v="0.32"/>
    <n v="365.85359999999997"/>
    <n v="731.71"/>
    <x v="1"/>
    <n v="10"/>
    <n v="2.9"/>
  </r>
  <r>
    <n v="1531"/>
    <d v="2024-03-10T00:00:00"/>
    <x v="4"/>
    <s v="Q1"/>
    <x v="2"/>
    <n v="3"/>
    <n v="1010"/>
    <x v="2"/>
    <x v="0"/>
    <n v="7"/>
    <n v="305.52"/>
    <n v="0.18"/>
    <n v="250.5264"/>
    <n v="1753.68"/>
    <x v="1"/>
    <n v="1"/>
    <n v="2.4"/>
  </r>
  <r>
    <n v="1532"/>
    <d v="2024-03-11T00:00:00"/>
    <x v="4"/>
    <s v="Q1"/>
    <x v="2"/>
    <n v="3"/>
    <n v="1253"/>
    <x v="1"/>
    <x v="3"/>
    <n v="3"/>
    <n v="333.39"/>
    <n v="7.0000000000000007E-2"/>
    <n v="310.05269999999996"/>
    <n v="930.16"/>
    <x v="1"/>
    <n v="2"/>
    <n v="4.9000000000000004"/>
  </r>
  <r>
    <n v="1533"/>
    <d v="2024-03-12T00:00:00"/>
    <x v="4"/>
    <s v="Q1"/>
    <x v="2"/>
    <n v="3"/>
    <n v="1841"/>
    <x v="1"/>
    <x v="1"/>
    <n v="3"/>
    <n v="574.54999999999995"/>
    <n v="0.09"/>
    <n v="522.84050000000002"/>
    <n v="1568.52"/>
    <x v="1"/>
    <n v="2"/>
    <n v="1"/>
  </r>
  <r>
    <n v="1534"/>
    <d v="2024-03-13T00:00:00"/>
    <x v="4"/>
    <s v="Q1"/>
    <x v="2"/>
    <n v="3"/>
    <n v="1871"/>
    <x v="1"/>
    <x v="2"/>
    <n v="7"/>
    <n v="533.73"/>
    <n v="0.13"/>
    <n v="464.3451"/>
    <n v="3250.42"/>
    <x v="2"/>
    <n v="11"/>
    <n v="4.7"/>
  </r>
  <r>
    <n v="1535"/>
    <d v="2024-03-14T00:00:00"/>
    <x v="4"/>
    <s v="Q1"/>
    <x v="2"/>
    <n v="3"/>
    <n v="1549"/>
    <x v="2"/>
    <x v="2"/>
    <n v="4"/>
    <n v="114.14"/>
    <n v="0.22"/>
    <n v="89.029200000000003"/>
    <n v="356.12"/>
    <x v="1"/>
    <n v="5"/>
    <n v="4.8"/>
  </r>
  <r>
    <n v="1536"/>
    <d v="2024-03-15T00:00:00"/>
    <x v="4"/>
    <s v="Q1"/>
    <x v="2"/>
    <n v="3"/>
    <n v="1133"/>
    <x v="2"/>
    <x v="2"/>
    <n v="6"/>
    <n v="291.83"/>
    <n v="0.15"/>
    <n v="248.05549999999999"/>
    <n v="1488.33"/>
    <x v="1"/>
    <n v="1"/>
    <n v="1.2"/>
  </r>
  <r>
    <n v="1537"/>
    <d v="2024-03-16T00:00:00"/>
    <x v="4"/>
    <s v="Q1"/>
    <x v="2"/>
    <n v="3"/>
    <n v="1711"/>
    <x v="3"/>
    <x v="1"/>
    <n v="4"/>
    <n v="583.21"/>
    <n v="0.14000000000000001"/>
    <n v="501.56060000000002"/>
    <n v="2006.24"/>
    <x v="1"/>
    <n v="10"/>
    <n v="4.5999999999999996"/>
  </r>
  <r>
    <n v="1538"/>
    <d v="2024-03-17T00:00:00"/>
    <x v="4"/>
    <s v="Q1"/>
    <x v="2"/>
    <n v="3"/>
    <n v="1022"/>
    <x v="0"/>
    <x v="3"/>
    <n v="1"/>
    <n v="232.83"/>
    <n v="0.2"/>
    <n v="186.26400000000001"/>
    <n v="186.26"/>
    <x v="2"/>
    <n v="8"/>
    <n v="2.9"/>
  </r>
  <r>
    <n v="1539"/>
    <d v="2024-03-18T00:00:00"/>
    <x v="4"/>
    <s v="Q1"/>
    <x v="2"/>
    <n v="3"/>
    <n v="1814"/>
    <x v="2"/>
    <x v="0"/>
    <n v="4"/>
    <n v="232.37"/>
    <n v="0.08"/>
    <n v="213.78040000000001"/>
    <n v="855.12"/>
    <x v="1"/>
    <n v="2"/>
    <n v="4.0999999999999996"/>
  </r>
  <r>
    <n v="1540"/>
    <d v="2024-03-19T00:00:00"/>
    <x v="4"/>
    <s v="Q1"/>
    <x v="2"/>
    <n v="3"/>
    <n v="1345"/>
    <x v="0"/>
    <x v="3"/>
    <n v="4"/>
    <n v="129.09"/>
    <n v="0.03"/>
    <n v="125.21730000000001"/>
    <n v="500.87"/>
    <x v="2"/>
    <n v="6"/>
    <n v="1.3"/>
  </r>
  <r>
    <n v="1541"/>
    <d v="2024-03-20T00:00:00"/>
    <x v="4"/>
    <s v="Q1"/>
    <x v="2"/>
    <n v="3"/>
    <n v="1301"/>
    <x v="1"/>
    <x v="3"/>
    <n v="1"/>
    <n v="81.88"/>
    <n v="0.01"/>
    <n v="81.061199999999999"/>
    <n v="81.06"/>
    <x v="1"/>
    <n v="5"/>
    <n v="4.8"/>
  </r>
  <r>
    <n v="1542"/>
    <d v="2024-03-21T00:00:00"/>
    <x v="4"/>
    <s v="Q1"/>
    <x v="2"/>
    <n v="3"/>
    <n v="1362"/>
    <x v="1"/>
    <x v="0"/>
    <n v="3"/>
    <n v="448.08"/>
    <n v="0.09"/>
    <n v="407.75279999999998"/>
    <n v="1223.26"/>
    <x v="1"/>
    <n v="2"/>
    <n v="3.4"/>
  </r>
  <r>
    <n v="1543"/>
    <d v="2024-03-22T00:00:00"/>
    <x v="4"/>
    <s v="Q1"/>
    <x v="2"/>
    <n v="3"/>
    <n v="1395"/>
    <x v="1"/>
    <x v="1"/>
    <n v="3"/>
    <n v="465.47"/>
    <n v="0.03"/>
    <n v="451.50590000000005"/>
    <n v="1354.52"/>
    <x v="2"/>
    <n v="10"/>
    <n v="4.5999999999999996"/>
  </r>
  <r>
    <n v="1544"/>
    <d v="2024-03-23T00:00:00"/>
    <x v="4"/>
    <s v="Q1"/>
    <x v="2"/>
    <n v="3"/>
    <n v="1217"/>
    <x v="2"/>
    <x v="2"/>
    <n v="4"/>
    <n v="581.87"/>
    <n v="0.12"/>
    <n v="512.04560000000004"/>
    <n v="2048.1799999999998"/>
    <x v="2"/>
    <n v="1"/>
    <n v="3.7"/>
  </r>
  <r>
    <n v="1545"/>
    <d v="2024-03-24T00:00:00"/>
    <x v="4"/>
    <s v="Q1"/>
    <x v="2"/>
    <n v="3"/>
    <n v="1140"/>
    <x v="2"/>
    <x v="2"/>
    <n v="1"/>
    <n v="467.45"/>
    <n v="0.27"/>
    <n v="341.23849999999999"/>
    <n v="341.24"/>
    <x v="2"/>
    <n v="6"/>
    <n v="3.1"/>
  </r>
  <r>
    <n v="1546"/>
    <d v="2024-03-25T00:00:00"/>
    <x v="4"/>
    <s v="Q1"/>
    <x v="2"/>
    <n v="3"/>
    <n v="1615"/>
    <x v="1"/>
    <x v="3"/>
    <n v="3"/>
    <n v="157.36000000000001"/>
    <n v="0.25"/>
    <n v="118.02000000000001"/>
    <n v="354.06"/>
    <x v="1"/>
    <n v="6"/>
    <n v="1.7"/>
  </r>
  <r>
    <n v="1547"/>
    <d v="2024-03-26T00:00:00"/>
    <x v="4"/>
    <s v="Q1"/>
    <x v="2"/>
    <n v="3"/>
    <n v="1957"/>
    <x v="2"/>
    <x v="1"/>
    <n v="5"/>
    <n v="38.47"/>
    <n v="0.21"/>
    <n v="30.391300000000001"/>
    <n v="151.96"/>
    <x v="2"/>
    <n v="3"/>
    <n v="1.7"/>
  </r>
  <r>
    <n v="1548"/>
    <d v="2024-03-27T00:00:00"/>
    <x v="4"/>
    <s v="Q1"/>
    <x v="2"/>
    <n v="3"/>
    <n v="1209"/>
    <x v="0"/>
    <x v="2"/>
    <n v="2"/>
    <n v="591.48"/>
    <n v="0.3"/>
    <n v="414.03600000000006"/>
    <n v="828.07"/>
    <x v="1"/>
    <n v="8"/>
    <n v="2.9"/>
  </r>
  <r>
    <n v="1549"/>
    <d v="2024-03-28T00:00:00"/>
    <x v="4"/>
    <s v="Q1"/>
    <x v="2"/>
    <n v="3"/>
    <n v="1984"/>
    <x v="1"/>
    <x v="1"/>
    <n v="2"/>
    <n v="214.16"/>
    <n v="0.1"/>
    <n v="192.744"/>
    <n v="385.49"/>
    <x v="2"/>
    <n v="9"/>
    <n v="4.5"/>
  </r>
  <r>
    <n v="1550"/>
    <d v="2024-03-29T00:00:00"/>
    <x v="4"/>
    <s v="Q1"/>
    <x v="2"/>
    <n v="3"/>
    <n v="1992"/>
    <x v="2"/>
    <x v="0"/>
    <n v="6"/>
    <n v="197.5"/>
    <n v="0.31"/>
    <n v="136.27500000000001"/>
    <n v="817.65"/>
    <x v="2"/>
    <n v="3"/>
    <n v="1.5"/>
  </r>
  <r>
    <n v="1551"/>
    <d v="2024-03-30T00:00:00"/>
    <x v="4"/>
    <s v="Q1"/>
    <x v="2"/>
    <n v="3"/>
    <n v="1622"/>
    <x v="3"/>
    <x v="3"/>
    <n v="2"/>
    <n v="544.98"/>
    <n v="0.14000000000000001"/>
    <n v="468.68280000000004"/>
    <n v="937.37"/>
    <x v="1"/>
    <n v="9"/>
    <n v="5"/>
  </r>
  <r>
    <n v="1552"/>
    <d v="2024-03-31T00:00:00"/>
    <x v="4"/>
    <s v="Q1"/>
    <x v="2"/>
    <n v="3"/>
    <n v="1615"/>
    <x v="2"/>
    <x v="3"/>
    <n v="4"/>
    <n v="357.28"/>
    <n v="0.14000000000000001"/>
    <n v="307.26079999999996"/>
    <n v="1229.04"/>
    <x v="2"/>
    <n v="8"/>
    <n v="4.5"/>
  </r>
  <r>
    <n v="1553"/>
    <d v="2024-04-01T00:00:00"/>
    <x v="4"/>
    <s v="Q2"/>
    <x v="3"/>
    <n v="4"/>
    <n v="1827"/>
    <x v="1"/>
    <x v="1"/>
    <n v="2"/>
    <n v="140.69999999999999"/>
    <n v="0.14000000000000001"/>
    <n v="121.00199999999998"/>
    <n v="242"/>
    <x v="2"/>
    <n v="5"/>
    <n v="2.6"/>
  </r>
  <r>
    <n v="1554"/>
    <d v="2024-04-02T00:00:00"/>
    <x v="4"/>
    <s v="Q2"/>
    <x v="3"/>
    <n v="4"/>
    <n v="1682"/>
    <x v="3"/>
    <x v="2"/>
    <n v="2"/>
    <n v="535.12"/>
    <n v="0.03"/>
    <n v="519.06640000000004"/>
    <n v="1038.1300000000001"/>
    <x v="1"/>
    <n v="6"/>
    <n v="2"/>
  </r>
  <r>
    <n v="1555"/>
    <d v="2024-04-03T00:00:00"/>
    <x v="4"/>
    <s v="Q2"/>
    <x v="3"/>
    <n v="4"/>
    <n v="1459"/>
    <x v="0"/>
    <x v="1"/>
    <n v="5"/>
    <n v="596.12"/>
    <n v="0.34"/>
    <n v="393.43920000000003"/>
    <n v="1967.2"/>
    <x v="0"/>
    <n v="1"/>
    <n v="4.7"/>
  </r>
  <r>
    <n v="1556"/>
    <d v="2024-04-04T00:00:00"/>
    <x v="4"/>
    <s v="Q2"/>
    <x v="3"/>
    <n v="4"/>
    <n v="1355"/>
    <x v="3"/>
    <x v="0"/>
    <n v="3"/>
    <n v="65.709999999999994"/>
    <n v="0.05"/>
    <n v="62.424499999999995"/>
    <n v="187.27"/>
    <x v="0"/>
    <n v="5"/>
    <n v="1.5"/>
  </r>
  <r>
    <n v="1557"/>
    <d v="2024-04-05T00:00:00"/>
    <x v="4"/>
    <s v="Q2"/>
    <x v="3"/>
    <n v="4"/>
    <n v="1323"/>
    <x v="3"/>
    <x v="2"/>
    <n v="5"/>
    <n v="519.41999999999996"/>
    <n v="0.12"/>
    <n v="457.08959999999996"/>
    <n v="2285.4499999999998"/>
    <x v="1"/>
    <n v="10"/>
    <n v="2.4"/>
  </r>
  <r>
    <n v="1558"/>
    <d v="2024-04-06T00:00:00"/>
    <x v="4"/>
    <s v="Q2"/>
    <x v="3"/>
    <n v="4"/>
    <n v="1132"/>
    <x v="3"/>
    <x v="2"/>
    <n v="4"/>
    <n v="243.45"/>
    <n v="0.11"/>
    <n v="216.6705"/>
    <n v="866.68"/>
    <x v="0"/>
    <n v="10"/>
    <n v="1.3"/>
  </r>
  <r>
    <n v="1559"/>
    <d v="2024-04-07T00:00:00"/>
    <x v="4"/>
    <s v="Q2"/>
    <x v="3"/>
    <n v="4"/>
    <n v="1887"/>
    <x v="0"/>
    <x v="1"/>
    <n v="2"/>
    <n v="321.58"/>
    <n v="0.03"/>
    <n v="311.93259999999998"/>
    <n v="623.87"/>
    <x v="1"/>
    <n v="7"/>
    <n v="4.8"/>
  </r>
  <r>
    <n v="1560"/>
    <d v="2024-04-08T00:00:00"/>
    <x v="4"/>
    <s v="Q2"/>
    <x v="3"/>
    <n v="4"/>
    <n v="1804"/>
    <x v="2"/>
    <x v="0"/>
    <n v="7"/>
    <n v="550.16999999999996"/>
    <n v="0.05"/>
    <n v="522.66149999999993"/>
    <n v="3658.63"/>
    <x v="2"/>
    <n v="1"/>
    <n v="3.5"/>
  </r>
  <r>
    <n v="1561"/>
    <d v="2024-04-09T00:00:00"/>
    <x v="4"/>
    <s v="Q2"/>
    <x v="3"/>
    <n v="4"/>
    <n v="1839"/>
    <x v="2"/>
    <x v="2"/>
    <n v="3"/>
    <n v="584.42999999999995"/>
    <n v="0.02"/>
    <n v="572.7414"/>
    <n v="1718.22"/>
    <x v="0"/>
    <n v="10"/>
    <n v="2.2999999999999998"/>
  </r>
  <r>
    <n v="1562"/>
    <d v="2024-04-10T00:00:00"/>
    <x v="4"/>
    <s v="Q2"/>
    <x v="3"/>
    <n v="4"/>
    <n v="1126"/>
    <x v="2"/>
    <x v="3"/>
    <n v="6"/>
    <n v="168.37"/>
    <n v="0.1"/>
    <n v="151.53300000000002"/>
    <n v="909.2"/>
    <x v="2"/>
    <n v="9"/>
    <n v="2.1"/>
  </r>
  <r>
    <n v="1563"/>
    <d v="2024-04-11T00:00:00"/>
    <x v="4"/>
    <s v="Q2"/>
    <x v="3"/>
    <n v="4"/>
    <n v="1105"/>
    <x v="2"/>
    <x v="0"/>
    <n v="6"/>
    <n v="139.52000000000001"/>
    <n v="0.3"/>
    <n v="97.664000000000016"/>
    <n v="585.98"/>
    <x v="1"/>
    <n v="7"/>
    <n v="2.8"/>
  </r>
  <r>
    <n v="1564"/>
    <d v="2024-04-12T00:00:00"/>
    <x v="4"/>
    <s v="Q2"/>
    <x v="3"/>
    <n v="4"/>
    <n v="1603"/>
    <x v="3"/>
    <x v="2"/>
    <n v="2"/>
    <n v="62.1"/>
    <n v="0.12"/>
    <n v="54.648000000000003"/>
    <n v="109.3"/>
    <x v="0"/>
    <n v="4"/>
    <n v="1.4"/>
  </r>
  <r>
    <n v="1565"/>
    <d v="2024-04-13T00:00:00"/>
    <x v="4"/>
    <s v="Q2"/>
    <x v="3"/>
    <n v="4"/>
    <n v="1798"/>
    <x v="1"/>
    <x v="1"/>
    <n v="2"/>
    <n v="343.65"/>
    <n v="0.04"/>
    <n v="329.904"/>
    <n v="659.81"/>
    <x v="1"/>
    <n v="11"/>
    <n v="4.5999999999999996"/>
  </r>
  <r>
    <n v="1566"/>
    <d v="2024-04-14T00:00:00"/>
    <x v="4"/>
    <s v="Q2"/>
    <x v="3"/>
    <n v="4"/>
    <n v="1377"/>
    <x v="1"/>
    <x v="2"/>
    <n v="6"/>
    <n v="22.96"/>
    <n v="0.23"/>
    <n v="17.679200000000002"/>
    <n v="106.08"/>
    <x v="1"/>
    <n v="4"/>
    <n v="3"/>
  </r>
  <r>
    <n v="1567"/>
    <d v="2024-04-15T00:00:00"/>
    <x v="4"/>
    <s v="Q2"/>
    <x v="3"/>
    <n v="4"/>
    <n v="1904"/>
    <x v="2"/>
    <x v="3"/>
    <n v="6"/>
    <n v="255.96"/>
    <n v="0.35"/>
    <n v="166.37400000000002"/>
    <n v="998.24"/>
    <x v="1"/>
    <n v="11"/>
    <n v="3.9"/>
  </r>
  <r>
    <n v="1568"/>
    <d v="2024-04-16T00:00:00"/>
    <x v="4"/>
    <s v="Q2"/>
    <x v="3"/>
    <n v="4"/>
    <n v="1050"/>
    <x v="3"/>
    <x v="0"/>
    <n v="7"/>
    <n v="57.93"/>
    <n v="0.08"/>
    <n v="53.2956"/>
    <n v="373.07"/>
    <x v="0"/>
    <n v="10"/>
    <n v="1.9"/>
  </r>
  <r>
    <n v="1569"/>
    <d v="2024-04-17T00:00:00"/>
    <x v="4"/>
    <s v="Q2"/>
    <x v="3"/>
    <n v="4"/>
    <n v="1028"/>
    <x v="2"/>
    <x v="2"/>
    <n v="4"/>
    <n v="252.06"/>
    <n v="0.1"/>
    <n v="226.85399999999998"/>
    <n v="907.42"/>
    <x v="0"/>
    <n v="7"/>
    <n v="3"/>
  </r>
  <r>
    <n v="1570"/>
    <d v="2024-04-18T00:00:00"/>
    <x v="4"/>
    <s v="Q2"/>
    <x v="3"/>
    <n v="4"/>
    <n v="1461"/>
    <x v="3"/>
    <x v="3"/>
    <n v="2"/>
    <n v="38.36"/>
    <n v="0.34"/>
    <n v="25.317599999999999"/>
    <n v="50.64"/>
    <x v="1"/>
    <n v="6"/>
    <n v="1.8"/>
  </r>
  <r>
    <n v="1571"/>
    <d v="2024-04-19T00:00:00"/>
    <x v="4"/>
    <s v="Q2"/>
    <x v="3"/>
    <n v="4"/>
    <n v="1295"/>
    <x v="1"/>
    <x v="2"/>
    <n v="6"/>
    <n v="503.6"/>
    <n v="0.06"/>
    <n v="473.38400000000001"/>
    <n v="2840.3"/>
    <x v="0"/>
    <n v="3"/>
    <n v="4.3"/>
  </r>
  <r>
    <n v="1572"/>
    <d v="2024-04-20T00:00:00"/>
    <x v="4"/>
    <s v="Q2"/>
    <x v="3"/>
    <n v="4"/>
    <n v="1296"/>
    <x v="2"/>
    <x v="2"/>
    <n v="7"/>
    <n v="137.69999999999999"/>
    <n v="0.18"/>
    <n v="112.91399999999999"/>
    <n v="790.4"/>
    <x v="1"/>
    <n v="9"/>
    <n v="4.0999999999999996"/>
  </r>
  <r>
    <n v="1573"/>
    <d v="2024-04-21T00:00:00"/>
    <x v="4"/>
    <s v="Q2"/>
    <x v="3"/>
    <n v="4"/>
    <n v="1725"/>
    <x v="2"/>
    <x v="0"/>
    <n v="1"/>
    <n v="207.06"/>
    <n v="0.08"/>
    <n v="190.49520000000001"/>
    <n v="190.5"/>
    <x v="0"/>
    <n v="6"/>
    <n v="1.6"/>
  </r>
  <r>
    <n v="1574"/>
    <d v="2024-04-22T00:00:00"/>
    <x v="4"/>
    <s v="Q2"/>
    <x v="3"/>
    <n v="4"/>
    <n v="1778"/>
    <x v="2"/>
    <x v="1"/>
    <n v="6"/>
    <n v="523.98"/>
    <n v="0.33"/>
    <n v="351.06659999999999"/>
    <n v="2106.4"/>
    <x v="2"/>
    <n v="11"/>
    <n v="1.3"/>
  </r>
  <r>
    <n v="1575"/>
    <d v="2024-04-23T00:00:00"/>
    <x v="4"/>
    <s v="Q2"/>
    <x v="3"/>
    <n v="4"/>
    <n v="1406"/>
    <x v="3"/>
    <x v="1"/>
    <n v="3"/>
    <n v="451.57"/>
    <n v="0.34"/>
    <n v="298.03620000000001"/>
    <n v="894.11"/>
    <x v="1"/>
    <n v="2"/>
    <n v="4.3"/>
  </r>
  <r>
    <n v="1576"/>
    <d v="2024-04-24T00:00:00"/>
    <x v="4"/>
    <s v="Q2"/>
    <x v="3"/>
    <n v="4"/>
    <n v="1768"/>
    <x v="0"/>
    <x v="3"/>
    <n v="3"/>
    <n v="143.13999999999999"/>
    <n v="0.28999999999999998"/>
    <n v="101.62939999999999"/>
    <n v="304.89"/>
    <x v="1"/>
    <n v="10"/>
    <n v="1.4"/>
  </r>
  <r>
    <n v="1577"/>
    <d v="2024-04-25T00:00:00"/>
    <x v="4"/>
    <s v="Q2"/>
    <x v="3"/>
    <n v="4"/>
    <n v="1813"/>
    <x v="1"/>
    <x v="3"/>
    <n v="1"/>
    <n v="57.06"/>
    <n v="0.11"/>
    <n v="50.7834"/>
    <n v="50.78"/>
    <x v="1"/>
    <n v="2"/>
    <n v="3.2"/>
  </r>
  <r>
    <n v="1578"/>
    <d v="2024-04-26T00:00:00"/>
    <x v="4"/>
    <s v="Q2"/>
    <x v="3"/>
    <n v="4"/>
    <n v="1612"/>
    <x v="2"/>
    <x v="3"/>
    <n v="4"/>
    <n v="433.67"/>
    <n v="0.14000000000000001"/>
    <n v="372.95620000000002"/>
    <n v="1491.82"/>
    <x v="1"/>
    <n v="1"/>
    <n v="3.1"/>
  </r>
  <r>
    <n v="1579"/>
    <d v="2024-04-27T00:00:00"/>
    <x v="4"/>
    <s v="Q2"/>
    <x v="3"/>
    <n v="4"/>
    <n v="1404"/>
    <x v="1"/>
    <x v="0"/>
    <n v="2"/>
    <n v="243.56"/>
    <n v="0.08"/>
    <n v="224.0752"/>
    <n v="448.15"/>
    <x v="2"/>
    <n v="11"/>
    <n v="1.8"/>
  </r>
  <r>
    <n v="1580"/>
    <d v="2024-04-28T00:00:00"/>
    <x v="4"/>
    <s v="Q2"/>
    <x v="3"/>
    <n v="4"/>
    <n v="1345"/>
    <x v="3"/>
    <x v="1"/>
    <n v="2"/>
    <n v="463.16"/>
    <n v="0.31"/>
    <n v="319.58040000000005"/>
    <n v="639.16"/>
    <x v="1"/>
    <n v="5"/>
    <n v="3.4"/>
  </r>
  <r>
    <n v="1581"/>
    <d v="2024-04-29T00:00:00"/>
    <x v="4"/>
    <s v="Q2"/>
    <x v="3"/>
    <n v="4"/>
    <n v="1621"/>
    <x v="3"/>
    <x v="3"/>
    <n v="6"/>
    <n v="275.5"/>
    <n v="0.32"/>
    <n v="187.34"/>
    <n v="1124.04"/>
    <x v="0"/>
    <n v="10"/>
    <n v="3"/>
  </r>
  <r>
    <n v="1582"/>
    <d v="2024-04-30T00:00:00"/>
    <x v="4"/>
    <s v="Q2"/>
    <x v="3"/>
    <n v="4"/>
    <n v="1419"/>
    <x v="2"/>
    <x v="3"/>
    <n v="3"/>
    <n v="217.41"/>
    <n v="0.15"/>
    <n v="184.79849999999999"/>
    <n v="554.4"/>
    <x v="2"/>
    <n v="6"/>
    <n v="3"/>
  </r>
  <r>
    <n v="1583"/>
    <d v="2024-05-01T00:00:00"/>
    <x v="4"/>
    <s v="Q2"/>
    <x v="4"/>
    <n v="5"/>
    <n v="1181"/>
    <x v="2"/>
    <x v="2"/>
    <n v="4"/>
    <n v="278.95999999999998"/>
    <n v="0.23"/>
    <n v="214.79919999999998"/>
    <n v="859.2"/>
    <x v="2"/>
    <n v="3"/>
    <n v="2.4"/>
  </r>
  <r>
    <n v="1584"/>
    <d v="2024-05-02T00:00:00"/>
    <x v="4"/>
    <s v="Q2"/>
    <x v="4"/>
    <n v="5"/>
    <n v="1982"/>
    <x v="3"/>
    <x v="2"/>
    <n v="4"/>
    <n v="452.91"/>
    <n v="0.06"/>
    <n v="425.73540000000003"/>
    <n v="1702.94"/>
    <x v="1"/>
    <n v="4"/>
    <n v="4.4000000000000004"/>
  </r>
  <r>
    <n v="1585"/>
    <d v="2024-05-03T00:00:00"/>
    <x v="4"/>
    <s v="Q2"/>
    <x v="4"/>
    <n v="5"/>
    <n v="1824"/>
    <x v="1"/>
    <x v="3"/>
    <n v="4"/>
    <n v="542.79999999999995"/>
    <n v="0.15"/>
    <n v="461.38"/>
    <n v="1845.52"/>
    <x v="0"/>
    <n v="5"/>
    <n v="1.3"/>
  </r>
  <r>
    <n v="1586"/>
    <d v="2024-05-04T00:00:00"/>
    <x v="4"/>
    <s v="Q2"/>
    <x v="4"/>
    <n v="5"/>
    <n v="1000"/>
    <x v="2"/>
    <x v="2"/>
    <n v="6"/>
    <n v="44.11"/>
    <n v="0.22"/>
    <n v="34.405799999999999"/>
    <n v="206.43"/>
    <x v="2"/>
    <n v="4"/>
    <n v="2.8"/>
  </r>
  <r>
    <n v="1587"/>
    <d v="2024-05-05T00:00:00"/>
    <x v="4"/>
    <s v="Q2"/>
    <x v="4"/>
    <n v="5"/>
    <n v="1830"/>
    <x v="2"/>
    <x v="2"/>
    <n v="2"/>
    <n v="321.61"/>
    <n v="0.13"/>
    <n v="279.80070000000001"/>
    <n v="559.6"/>
    <x v="0"/>
    <n v="9"/>
    <n v="2"/>
  </r>
  <r>
    <n v="1588"/>
    <d v="2024-05-06T00:00:00"/>
    <x v="4"/>
    <s v="Q2"/>
    <x v="4"/>
    <n v="5"/>
    <n v="1949"/>
    <x v="1"/>
    <x v="2"/>
    <n v="4"/>
    <n v="34.21"/>
    <n v="0.13"/>
    <n v="29.762700000000002"/>
    <n v="119.05"/>
    <x v="0"/>
    <n v="3"/>
    <n v="4.4000000000000004"/>
  </r>
  <r>
    <n v="1589"/>
    <d v="2024-05-07T00:00:00"/>
    <x v="4"/>
    <s v="Q2"/>
    <x v="4"/>
    <n v="5"/>
    <n v="1566"/>
    <x v="0"/>
    <x v="0"/>
    <n v="6"/>
    <n v="289.02"/>
    <n v="0"/>
    <n v="289.02"/>
    <n v="1734.12"/>
    <x v="1"/>
    <n v="5"/>
    <n v="1.9"/>
  </r>
  <r>
    <n v="1590"/>
    <d v="2024-05-08T00:00:00"/>
    <x v="4"/>
    <s v="Q2"/>
    <x v="4"/>
    <n v="5"/>
    <n v="1370"/>
    <x v="0"/>
    <x v="3"/>
    <n v="6"/>
    <n v="532.89"/>
    <n v="0.28000000000000003"/>
    <n v="383.68079999999998"/>
    <n v="2302.08"/>
    <x v="1"/>
    <n v="7"/>
    <n v="4.0999999999999996"/>
  </r>
  <r>
    <n v="1591"/>
    <d v="2024-05-09T00:00:00"/>
    <x v="4"/>
    <s v="Q2"/>
    <x v="4"/>
    <n v="5"/>
    <n v="1935"/>
    <x v="1"/>
    <x v="3"/>
    <n v="1"/>
    <n v="226.53"/>
    <n v="0.31"/>
    <n v="156.3057"/>
    <n v="156.31"/>
    <x v="0"/>
    <n v="7"/>
    <n v="3.4"/>
  </r>
  <r>
    <n v="1592"/>
    <d v="2024-05-10T00:00:00"/>
    <x v="4"/>
    <s v="Q2"/>
    <x v="4"/>
    <n v="5"/>
    <n v="1910"/>
    <x v="1"/>
    <x v="2"/>
    <n v="5"/>
    <n v="560.48"/>
    <n v="0.34"/>
    <n v="369.91679999999997"/>
    <n v="1849.58"/>
    <x v="0"/>
    <n v="6"/>
    <n v="4.5"/>
  </r>
  <r>
    <n v="1593"/>
    <d v="2024-05-11T00:00:00"/>
    <x v="4"/>
    <s v="Q2"/>
    <x v="4"/>
    <n v="5"/>
    <n v="1660"/>
    <x v="2"/>
    <x v="0"/>
    <n v="4"/>
    <n v="383.91"/>
    <n v="0.25"/>
    <n v="287.9325"/>
    <n v="1151.73"/>
    <x v="2"/>
    <n v="9"/>
    <n v="3.4"/>
  </r>
  <r>
    <n v="1594"/>
    <d v="2024-05-12T00:00:00"/>
    <x v="4"/>
    <s v="Q2"/>
    <x v="4"/>
    <n v="5"/>
    <n v="1430"/>
    <x v="1"/>
    <x v="2"/>
    <n v="5"/>
    <n v="561.48"/>
    <n v="0.19"/>
    <n v="454.79880000000003"/>
    <n v="2273.9899999999998"/>
    <x v="1"/>
    <n v="7"/>
    <n v="3.2"/>
  </r>
  <r>
    <n v="1595"/>
    <d v="2024-05-13T00:00:00"/>
    <x v="4"/>
    <s v="Q2"/>
    <x v="4"/>
    <n v="5"/>
    <n v="1968"/>
    <x v="1"/>
    <x v="0"/>
    <n v="2"/>
    <n v="457.94"/>
    <n v="0.09"/>
    <n v="416.72539999999998"/>
    <n v="833.45"/>
    <x v="2"/>
    <n v="11"/>
    <n v="4.2"/>
  </r>
  <r>
    <n v="1596"/>
    <d v="2024-05-14T00:00:00"/>
    <x v="4"/>
    <s v="Q2"/>
    <x v="4"/>
    <n v="5"/>
    <n v="1308"/>
    <x v="1"/>
    <x v="3"/>
    <n v="6"/>
    <n v="75.510000000000005"/>
    <n v="0.35"/>
    <n v="49.081500000000005"/>
    <n v="294.49"/>
    <x v="1"/>
    <n v="4"/>
    <n v="3.2"/>
  </r>
  <r>
    <n v="1597"/>
    <d v="2024-05-15T00:00:00"/>
    <x v="4"/>
    <s v="Q2"/>
    <x v="4"/>
    <n v="5"/>
    <n v="1136"/>
    <x v="1"/>
    <x v="2"/>
    <n v="7"/>
    <n v="150.22"/>
    <n v="0.21"/>
    <n v="118.6738"/>
    <n v="830.72"/>
    <x v="1"/>
    <n v="11"/>
    <n v="4.4000000000000004"/>
  </r>
  <r>
    <n v="1598"/>
    <d v="2024-05-16T00:00:00"/>
    <x v="4"/>
    <s v="Q2"/>
    <x v="4"/>
    <n v="5"/>
    <n v="1201"/>
    <x v="2"/>
    <x v="3"/>
    <n v="4"/>
    <n v="245.59"/>
    <n v="0.24"/>
    <n v="186.64840000000001"/>
    <n v="746.59"/>
    <x v="2"/>
    <n v="10"/>
    <n v="1.2"/>
  </r>
  <r>
    <n v="1599"/>
    <d v="2024-05-17T00:00:00"/>
    <x v="4"/>
    <s v="Q2"/>
    <x v="4"/>
    <n v="5"/>
    <n v="1435"/>
    <x v="2"/>
    <x v="0"/>
    <n v="7"/>
    <n v="114.51"/>
    <n v="0.24"/>
    <n v="87.027600000000007"/>
    <n v="609.19000000000005"/>
    <x v="1"/>
    <n v="9"/>
    <n v="3"/>
  </r>
  <r>
    <n v="1600"/>
    <d v="2024-05-18T00:00:00"/>
    <x v="4"/>
    <s v="Q2"/>
    <x v="4"/>
    <n v="5"/>
    <n v="1312"/>
    <x v="2"/>
    <x v="1"/>
    <n v="3"/>
    <n v="304.52"/>
    <n v="0.3"/>
    <n v="213.16399999999999"/>
    <n v="639.49"/>
    <x v="2"/>
    <n v="6"/>
    <n v="4.3"/>
  </r>
  <r>
    <n v="1601"/>
    <d v="2024-05-19T00:00:00"/>
    <x v="4"/>
    <s v="Q2"/>
    <x v="4"/>
    <n v="5"/>
    <n v="1116"/>
    <x v="2"/>
    <x v="0"/>
    <n v="2"/>
    <n v="290.75"/>
    <n v="0"/>
    <n v="290.75"/>
    <n v="581.5"/>
    <x v="0"/>
    <n v="1"/>
    <n v="4.4000000000000004"/>
  </r>
  <r>
    <n v="1602"/>
    <d v="2024-05-20T00:00:00"/>
    <x v="4"/>
    <s v="Q2"/>
    <x v="4"/>
    <n v="5"/>
    <n v="1665"/>
    <x v="2"/>
    <x v="1"/>
    <n v="1"/>
    <n v="574.41"/>
    <n v="0.08"/>
    <n v="528.45719999999994"/>
    <n v="528.46"/>
    <x v="0"/>
    <n v="9"/>
    <n v="4.3"/>
  </r>
  <r>
    <n v="1603"/>
    <d v="2024-05-21T00:00:00"/>
    <x v="4"/>
    <s v="Q2"/>
    <x v="4"/>
    <n v="5"/>
    <n v="1936"/>
    <x v="0"/>
    <x v="3"/>
    <n v="1"/>
    <n v="268.73"/>
    <n v="0.23"/>
    <n v="206.9221"/>
    <n v="206.92"/>
    <x v="0"/>
    <n v="11"/>
    <n v="3.4"/>
  </r>
  <r>
    <n v="1604"/>
    <d v="2024-05-22T00:00:00"/>
    <x v="4"/>
    <s v="Q2"/>
    <x v="4"/>
    <n v="5"/>
    <n v="1802"/>
    <x v="1"/>
    <x v="3"/>
    <n v="5"/>
    <n v="474.59"/>
    <n v="0.31"/>
    <n v="327.46709999999996"/>
    <n v="1637.34"/>
    <x v="0"/>
    <n v="7"/>
    <n v="5"/>
  </r>
  <r>
    <n v="1605"/>
    <d v="2024-05-23T00:00:00"/>
    <x v="4"/>
    <s v="Q2"/>
    <x v="4"/>
    <n v="5"/>
    <n v="1574"/>
    <x v="1"/>
    <x v="2"/>
    <n v="6"/>
    <n v="566.02"/>
    <n v="0.24"/>
    <n v="430.17520000000002"/>
    <n v="2581.0500000000002"/>
    <x v="1"/>
    <n v="6"/>
    <n v="1.7"/>
  </r>
  <r>
    <n v="1606"/>
    <d v="2024-05-24T00:00:00"/>
    <x v="4"/>
    <s v="Q2"/>
    <x v="4"/>
    <n v="5"/>
    <n v="1243"/>
    <x v="0"/>
    <x v="1"/>
    <n v="5"/>
    <n v="528.04"/>
    <n v="0.14000000000000001"/>
    <n v="454.11439999999993"/>
    <n v="2270.5700000000002"/>
    <x v="0"/>
    <n v="6"/>
    <n v="1.7"/>
  </r>
  <r>
    <n v="1607"/>
    <d v="2024-05-25T00:00:00"/>
    <x v="4"/>
    <s v="Q2"/>
    <x v="4"/>
    <n v="5"/>
    <n v="1536"/>
    <x v="0"/>
    <x v="0"/>
    <n v="3"/>
    <n v="137.07"/>
    <n v="0.13"/>
    <n v="119.2509"/>
    <n v="357.75"/>
    <x v="0"/>
    <n v="4"/>
    <n v="1.1000000000000001"/>
  </r>
  <r>
    <n v="1608"/>
    <d v="2024-05-26T00:00:00"/>
    <x v="4"/>
    <s v="Q2"/>
    <x v="4"/>
    <n v="5"/>
    <n v="1601"/>
    <x v="1"/>
    <x v="3"/>
    <n v="3"/>
    <n v="305.18"/>
    <n v="0.26"/>
    <n v="225.83320000000001"/>
    <n v="677.5"/>
    <x v="0"/>
    <n v="4"/>
    <n v="5"/>
  </r>
  <r>
    <n v="1609"/>
    <d v="2024-05-27T00:00:00"/>
    <x v="4"/>
    <s v="Q2"/>
    <x v="4"/>
    <n v="5"/>
    <n v="1074"/>
    <x v="3"/>
    <x v="1"/>
    <n v="1"/>
    <n v="218.43"/>
    <n v="0.26"/>
    <n v="161.63820000000001"/>
    <n v="161.63999999999999"/>
    <x v="2"/>
    <n v="11"/>
    <n v="2.4"/>
  </r>
  <r>
    <n v="1610"/>
    <d v="2024-05-28T00:00:00"/>
    <x v="4"/>
    <s v="Q2"/>
    <x v="4"/>
    <n v="5"/>
    <n v="1805"/>
    <x v="2"/>
    <x v="0"/>
    <n v="7"/>
    <n v="248.92"/>
    <n v="0.21"/>
    <n v="196.64679999999998"/>
    <n v="1376.53"/>
    <x v="1"/>
    <n v="3"/>
    <n v="4"/>
  </r>
  <r>
    <n v="1611"/>
    <d v="2024-05-29T00:00:00"/>
    <x v="4"/>
    <s v="Q2"/>
    <x v="4"/>
    <n v="5"/>
    <n v="1385"/>
    <x v="2"/>
    <x v="1"/>
    <n v="4"/>
    <n v="226.07"/>
    <n v="0.1"/>
    <n v="203.46299999999999"/>
    <n v="813.85"/>
    <x v="1"/>
    <n v="8"/>
    <n v="1.2"/>
  </r>
  <r>
    <n v="1612"/>
    <d v="2024-05-30T00:00:00"/>
    <x v="4"/>
    <s v="Q2"/>
    <x v="4"/>
    <n v="5"/>
    <n v="1902"/>
    <x v="1"/>
    <x v="0"/>
    <n v="1"/>
    <n v="498.42"/>
    <n v="0.32"/>
    <n v="338.92560000000003"/>
    <n v="338.93"/>
    <x v="1"/>
    <n v="8"/>
    <n v="2.2000000000000002"/>
  </r>
  <r>
    <n v="1613"/>
    <d v="2024-05-31T00:00:00"/>
    <x v="4"/>
    <s v="Q2"/>
    <x v="4"/>
    <n v="5"/>
    <n v="1209"/>
    <x v="3"/>
    <x v="0"/>
    <n v="1"/>
    <n v="279.5"/>
    <n v="0.19"/>
    <n v="226.39499999999998"/>
    <n v="226.4"/>
    <x v="0"/>
    <n v="2"/>
    <n v="3.5"/>
  </r>
  <r>
    <n v="1614"/>
    <d v="2024-06-01T00:00:00"/>
    <x v="4"/>
    <s v="Q2"/>
    <x v="5"/>
    <n v="6"/>
    <n v="1474"/>
    <x v="3"/>
    <x v="0"/>
    <n v="7"/>
    <n v="321.36"/>
    <n v="0.28000000000000003"/>
    <n v="231.3792"/>
    <n v="1619.65"/>
    <x v="2"/>
    <n v="5"/>
    <n v="3.1"/>
  </r>
  <r>
    <n v="1615"/>
    <d v="2024-06-02T00:00:00"/>
    <x v="4"/>
    <s v="Q2"/>
    <x v="5"/>
    <n v="6"/>
    <n v="1417"/>
    <x v="2"/>
    <x v="0"/>
    <n v="7"/>
    <n v="589.73"/>
    <n v="0.08"/>
    <n v="542.55160000000001"/>
    <n v="3797.86"/>
    <x v="0"/>
    <n v="9"/>
    <n v="1.8"/>
  </r>
  <r>
    <n v="1616"/>
    <d v="2024-06-03T00:00:00"/>
    <x v="4"/>
    <s v="Q2"/>
    <x v="5"/>
    <n v="6"/>
    <n v="1346"/>
    <x v="2"/>
    <x v="1"/>
    <n v="3"/>
    <n v="50.09"/>
    <n v="0.12"/>
    <n v="44.0792"/>
    <n v="132.24"/>
    <x v="2"/>
    <n v="9"/>
    <n v="2.8"/>
  </r>
  <r>
    <n v="1617"/>
    <d v="2024-06-04T00:00:00"/>
    <x v="4"/>
    <s v="Q2"/>
    <x v="5"/>
    <n v="6"/>
    <n v="1528"/>
    <x v="1"/>
    <x v="1"/>
    <n v="7"/>
    <n v="300.45999999999998"/>
    <n v="0.31"/>
    <n v="207.31739999999999"/>
    <n v="1451.22"/>
    <x v="2"/>
    <n v="7"/>
    <n v="1.4"/>
  </r>
  <r>
    <n v="1618"/>
    <d v="2024-06-05T00:00:00"/>
    <x v="4"/>
    <s v="Q2"/>
    <x v="5"/>
    <n v="6"/>
    <n v="1639"/>
    <x v="2"/>
    <x v="2"/>
    <n v="5"/>
    <n v="467.83"/>
    <n v="0.02"/>
    <n v="458.47339999999997"/>
    <n v="2292.37"/>
    <x v="1"/>
    <n v="4"/>
    <n v="3.2"/>
  </r>
  <r>
    <n v="1619"/>
    <d v="2024-06-06T00:00:00"/>
    <x v="4"/>
    <s v="Q2"/>
    <x v="5"/>
    <n v="6"/>
    <n v="1938"/>
    <x v="1"/>
    <x v="1"/>
    <n v="3"/>
    <n v="103.43"/>
    <n v="0.18"/>
    <n v="84.812600000000003"/>
    <n v="254.44"/>
    <x v="1"/>
    <n v="4"/>
    <n v="1.4"/>
  </r>
  <r>
    <n v="1620"/>
    <d v="2024-06-07T00:00:00"/>
    <x v="4"/>
    <s v="Q2"/>
    <x v="5"/>
    <n v="6"/>
    <n v="1954"/>
    <x v="3"/>
    <x v="1"/>
    <n v="7"/>
    <n v="372.75"/>
    <n v="0.17"/>
    <n v="309.38249999999999"/>
    <n v="2165.6799999999998"/>
    <x v="1"/>
    <n v="10"/>
    <n v="3.5"/>
  </r>
  <r>
    <n v="1621"/>
    <d v="2024-06-08T00:00:00"/>
    <x v="4"/>
    <s v="Q2"/>
    <x v="5"/>
    <n v="6"/>
    <n v="1875"/>
    <x v="3"/>
    <x v="2"/>
    <n v="6"/>
    <n v="155.09"/>
    <n v="0.26"/>
    <n v="114.76660000000001"/>
    <n v="688.6"/>
    <x v="2"/>
    <n v="11"/>
    <n v="1.6"/>
  </r>
  <r>
    <n v="1622"/>
    <d v="2024-06-09T00:00:00"/>
    <x v="4"/>
    <s v="Q2"/>
    <x v="5"/>
    <n v="6"/>
    <n v="1762"/>
    <x v="3"/>
    <x v="1"/>
    <n v="3"/>
    <n v="522.42999999999995"/>
    <n v="0.1"/>
    <n v="470.18699999999995"/>
    <n v="1410.56"/>
    <x v="1"/>
    <n v="7"/>
    <n v="3.2"/>
  </r>
  <r>
    <n v="1623"/>
    <d v="2024-06-10T00:00:00"/>
    <x v="4"/>
    <s v="Q2"/>
    <x v="5"/>
    <n v="6"/>
    <n v="1178"/>
    <x v="0"/>
    <x v="0"/>
    <n v="3"/>
    <n v="206.35"/>
    <n v="0.08"/>
    <n v="189.84199999999998"/>
    <n v="569.53"/>
    <x v="2"/>
    <n v="3"/>
    <n v="1.5"/>
  </r>
  <r>
    <n v="1624"/>
    <d v="2024-06-11T00:00:00"/>
    <x v="4"/>
    <s v="Q2"/>
    <x v="5"/>
    <n v="6"/>
    <n v="1181"/>
    <x v="1"/>
    <x v="3"/>
    <n v="1"/>
    <n v="207.5"/>
    <n v="0.32"/>
    <n v="141.1"/>
    <n v="141.1"/>
    <x v="1"/>
    <n v="3"/>
    <n v="2.6"/>
  </r>
  <r>
    <n v="1625"/>
    <d v="2024-06-12T00:00:00"/>
    <x v="4"/>
    <s v="Q2"/>
    <x v="5"/>
    <n v="6"/>
    <n v="1663"/>
    <x v="3"/>
    <x v="3"/>
    <n v="4"/>
    <n v="364.94"/>
    <n v="0.2"/>
    <n v="291.952"/>
    <n v="1167.81"/>
    <x v="0"/>
    <n v="5"/>
    <n v="2.4"/>
  </r>
  <r>
    <n v="1626"/>
    <d v="2024-06-13T00:00:00"/>
    <x v="4"/>
    <s v="Q2"/>
    <x v="5"/>
    <n v="6"/>
    <n v="1024"/>
    <x v="1"/>
    <x v="2"/>
    <n v="1"/>
    <n v="122.38"/>
    <n v="0.04"/>
    <n v="117.48479999999999"/>
    <n v="117.48"/>
    <x v="1"/>
    <n v="11"/>
    <n v="4"/>
  </r>
  <r>
    <n v="1627"/>
    <d v="2024-06-14T00:00:00"/>
    <x v="4"/>
    <s v="Q2"/>
    <x v="5"/>
    <n v="6"/>
    <n v="1966"/>
    <x v="2"/>
    <x v="1"/>
    <n v="2"/>
    <n v="181.66"/>
    <n v="7.0000000000000007E-2"/>
    <n v="168.94380000000001"/>
    <n v="337.89"/>
    <x v="2"/>
    <n v="6"/>
    <n v="3.6"/>
  </r>
  <r>
    <n v="1628"/>
    <d v="2024-06-15T00:00:00"/>
    <x v="4"/>
    <s v="Q2"/>
    <x v="5"/>
    <n v="6"/>
    <n v="1179"/>
    <x v="2"/>
    <x v="1"/>
    <n v="3"/>
    <n v="258.73"/>
    <n v="0.35"/>
    <n v="168.17450000000002"/>
    <n v="504.52"/>
    <x v="1"/>
    <n v="8"/>
    <n v="4.7"/>
  </r>
  <r>
    <n v="1629"/>
    <d v="2024-06-16T00:00:00"/>
    <x v="4"/>
    <s v="Q2"/>
    <x v="5"/>
    <n v="6"/>
    <n v="1709"/>
    <x v="2"/>
    <x v="2"/>
    <n v="7"/>
    <n v="221.88"/>
    <n v="7.0000000000000007E-2"/>
    <n v="206.3484"/>
    <n v="1444.44"/>
    <x v="2"/>
    <n v="1"/>
    <n v="4.7"/>
  </r>
  <r>
    <n v="1630"/>
    <d v="2024-06-17T00:00:00"/>
    <x v="4"/>
    <s v="Q2"/>
    <x v="5"/>
    <n v="6"/>
    <n v="1500"/>
    <x v="1"/>
    <x v="3"/>
    <n v="7"/>
    <n v="322.05"/>
    <n v="0.21"/>
    <n v="254.41950000000003"/>
    <n v="1780.94"/>
    <x v="1"/>
    <n v="7"/>
    <n v="3.9"/>
  </r>
  <r>
    <n v="1631"/>
    <d v="2024-06-18T00:00:00"/>
    <x v="4"/>
    <s v="Q2"/>
    <x v="5"/>
    <n v="6"/>
    <n v="1855"/>
    <x v="1"/>
    <x v="0"/>
    <n v="7"/>
    <n v="365.79"/>
    <n v="0.15"/>
    <n v="310.92150000000004"/>
    <n v="2176.4499999999998"/>
    <x v="2"/>
    <n v="8"/>
    <n v="4.0999999999999996"/>
  </r>
  <r>
    <n v="1632"/>
    <d v="2024-06-19T00:00:00"/>
    <x v="4"/>
    <s v="Q2"/>
    <x v="5"/>
    <n v="6"/>
    <n v="1160"/>
    <x v="3"/>
    <x v="1"/>
    <n v="3"/>
    <n v="346.5"/>
    <n v="0.31"/>
    <n v="239.08499999999998"/>
    <n v="717.26"/>
    <x v="0"/>
    <n v="5"/>
    <n v="3.5"/>
  </r>
  <r>
    <n v="1633"/>
    <d v="2024-06-20T00:00:00"/>
    <x v="4"/>
    <s v="Q2"/>
    <x v="5"/>
    <n v="6"/>
    <n v="1176"/>
    <x v="2"/>
    <x v="2"/>
    <n v="7"/>
    <n v="397.69"/>
    <n v="0.26"/>
    <n v="294.29059999999998"/>
    <n v="2060.0300000000002"/>
    <x v="1"/>
    <n v="10"/>
    <n v="3.8"/>
  </r>
  <r>
    <n v="1634"/>
    <d v="2024-06-21T00:00:00"/>
    <x v="4"/>
    <s v="Q2"/>
    <x v="5"/>
    <n v="6"/>
    <n v="1284"/>
    <x v="2"/>
    <x v="0"/>
    <n v="2"/>
    <n v="195.03"/>
    <n v="0.21"/>
    <n v="154.0737"/>
    <n v="308.14999999999998"/>
    <x v="1"/>
    <n v="2"/>
    <n v="3.5"/>
  </r>
  <r>
    <n v="1635"/>
    <d v="2024-06-22T00:00:00"/>
    <x v="4"/>
    <s v="Q2"/>
    <x v="5"/>
    <n v="6"/>
    <n v="1062"/>
    <x v="0"/>
    <x v="2"/>
    <n v="3"/>
    <n v="88.96"/>
    <n v="0"/>
    <n v="88.96"/>
    <n v="266.88"/>
    <x v="2"/>
    <n v="4"/>
    <n v="2.2000000000000002"/>
  </r>
  <r>
    <n v="1636"/>
    <d v="2024-06-23T00:00:00"/>
    <x v="4"/>
    <s v="Q2"/>
    <x v="5"/>
    <n v="6"/>
    <n v="1661"/>
    <x v="2"/>
    <x v="2"/>
    <n v="7"/>
    <n v="460.07"/>
    <n v="0.31"/>
    <n v="317.44830000000002"/>
    <n v="2222.14"/>
    <x v="2"/>
    <n v="6"/>
    <n v="2.4"/>
  </r>
  <r>
    <n v="1637"/>
    <d v="2024-06-24T00:00:00"/>
    <x v="4"/>
    <s v="Q2"/>
    <x v="5"/>
    <n v="6"/>
    <n v="1665"/>
    <x v="1"/>
    <x v="2"/>
    <n v="3"/>
    <n v="512.71"/>
    <n v="0.16"/>
    <n v="430.67640000000006"/>
    <n v="1292.03"/>
    <x v="1"/>
    <n v="9"/>
    <n v="3.3"/>
  </r>
  <r>
    <n v="1638"/>
    <d v="2024-06-25T00:00:00"/>
    <x v="4"/>
    <s v="Q2"/>
    <x v="5"/>
    <n v="6"/>
    <n v="1155"/>
    <x v="1"/>
    <x v="3"/>
    <n v="6"/>
    <n v="165.35"/>
    <n v="0.33"/>
    <n v="110.78449999999999"/>
    <n v="664.71"/>
    <x v="2"/>
    <n v="2"/>
    <n v="3.9"/>
  </r>
  <r>
    <n v="1639"/>
    <d v="2024-06-26T00:00:00"/>
    <x v="4"/>
    <s v="Q2"/>
    <x v="5"/>
    <n v="6"/>
    <n v="1881"/>
    <x v="1"/>
    <x v="3"/>
    <n v="3"/>
    <n v="253.15"/>
    <n v="0.17"/>
    <n v="210.11449999999999"/>
    <n v="630.34"/>
    <x v="1"/>
    <n v="4"/>
    <n v="2.6"/>
  </r>
  <r>
    <n v="1640"/>
    <d v="2024-06-27T00:00:00"/>
    <x v="4"/>
    <s v="Q2"/>
    <x v="5"/>
    <n v="6"/>
    <n v="1468"/>
    <x v="2"/>
    <x v="2"/>
    <n v="2"/>
    <n v="306.66000000000003"/>
    <n v="0.24"/>
    <n v="233.06160000000003"/>
    <n v="466.12"/>
    <x v="1"/>
    <n v="10"/>
    <n v="1.6"/>
  </r>
  <r>
    <n v="1641"/>
    <d v="2024-06-28T00:00:00"/>
    <x v="4"/>
    <s v="Q2"/>
    <x v="5"/>
    <n v="6"/>
    <n v="1048"/>
    <x v="2"/>
    <x v="1"/>
    <n v="1"/>
    <n v="327"/>
    <n v="0.02"/>
    <n v="320.45999999999998"/>
    <n v="320.45999999999998"/>
    <x v="1"/>
    <n v="5"/>
    <n v="2.8"/>
  </r>
  <r>
    <n v="1642"/>
    <d v="2024-06-29T00:00:00"/>
    <x v="4"/>
    <s v="Q2"/>
    <x v="5"/>
    <n v="6"/>
    <n v="1966"/>
    <x v="2"/>
    <x v="0"/>
    <n v="3"/>
    <n v="400.8"/>
    <n v="0.26"/>
    <n v="296.59199999999998"/>
    <n v="889.78"/>
    <x v="0"/>
    <n v="8"/>
    <n v="4.9000000000000004"/>
  </r>
  <r>
    <n v="1643"/>
    <d v="2024-06-30T00:00:00"/>
    <x v="4"/>
    <s v="Q2"/>
    <x v="5"/>
    <n v="6"/>
    <n v="1848"/>
    <x v="1"/>
    <x v="1"/>
    <n v="4"/>
    <n v="39.340000000000003"/>
    <n v="0.12"/>
    <n v="34.619200000000006"/>
    <n v="138.47999999999999"/>
    <x v="2"/>
    <n v="8"/>
    <n v="1.9"/>
  </r>
  <r>
    <n v="1644"/>
    <d v="2024-07-01T00:00:00"/>
    <x v="4"/>
    <s v="Q3"/>
    <x v="6"/>
    <n v="7"/>
    <n v="1083"/>
    <x v="1"/>
    <x v="3"/>
    <n v="2"/>
    <n v="437.06"/>
    <n v="0.12"/>
    <n v="384.61279999999999"/>
    <n v="769.23"/>
    <x v="2"/>
    <n v="2"/>
    <n v="3.6"/>
  </r>
  <r>
    <n v="1645"/>
    <d v="2024-07-02T00:00:00"/>
    <x v="4"/>
    <s v="Q3"/>
    <x v="6"/>
    <n v="7"/>
    <n v="1360"/>
    <x v="2"/>
    <x v="0"/>
    <n v="5"/>
    <n v="51.25"/>
    <n v="0.04"/>
    <n v="49.2"/>
    <n v="246"/>
    <x v="0"/>
    <n v="6"/>
    <n v="4.9000000000000004"/>
  </r>
  <r>
    <n v="1646"/>
    <d v="2024-07-03T00:00:00"/>
    <x v="4"/>
    <s v="Q3"/>
    <x v="6"/>
    <n v="7"/>
    <n v="1688"/>
    <x v="1"/>
    <x v="2"/>
    <n v="6"/>
    <n v="288.95"/>
    <n v="0.05"/>
    <n v="274.5025"/>
    <n v="1647.01"/>
    <x v="1"/>
    <n v="6"/>
    <n v="2.5"/>
  </r>
  <r>
    <n v="1647"/>
    <d v="2024-07-04T00:00:00"/>
    <x v="4"/>
    <s v="Q3"/>
    <x v="6"/>
    <n v="7"/>
    <n v="1147"/>
    <x v="3"/>
    <x v="1"/>
    <n v="2"/>
    <n v="499.19"/>
    <n v="7.0000000000000007E-2"/>
    <n v="464.24669999999998"/>
    <n v="928.49"/>
    <x v="2"/>
    <n v="5"/>
    <n v="4.5999999999999996"/>
  </r>
  <r>
    <n v="1648"/>
    <d v="2024-07-05T00:00:00"/>
    <x v="4"/>
    <s v="Q3"/>
    <x v="6"/>
    <n v="7"/>
    <n v="1629"/>
    <x v="2"/>
    <x v="1"/>
    <n v="1"/>
    <n v="278.95999999999998"/>
    <n v="0.11"/>
    <n v="248.27439999999999"/>
    <n v="248.27"/>
    <x v="0"/>
    <n v="8"/>
    <n v="4.5"/>
  </r>
  <r>
    <n v="1649"/>
    <d v="2024-07-06T00:00:00"/>
    <x v="4"/>
    <s v="Q3"/>
    <x v="6"/>
    <n v="7"/>
    <n v="1341"/>
    <x v="1"/>
    <x v="2"/>
    <n v="7"/>
    <n v="102.22"/>
    <n v="0.31"/>
    <n v="70.531800000000004"/>
    <n v="493.72"/>
    <x v="1"/>
    <n v="10"/>
    <n v="2.4"/>
  </r>
  <r>
    <n v="1650"/>
    <d v="2024-07-07T00:00:00"/>
    <x v="4"/>
    <s v="Q3"/>
    <x v="6"/>
    <n v="7"/>
    <n v="1475"/>
    <x v="3"/>
    <x v="1"/>
    <n v="7"/>
    <n v="591.24"/>
    <n v="0.13"/>
    <n v="514.37879999999996"/>
    <n v="3600.65"/>
    <x v="1"/>
    <n v="2"/>
    <n v="1.4"/>
  </r>
  <r>
    <n v="1651"/>
    <d v="2024-07-08T00:00:00"/>
    <x v="4"/>
    <s v="Q3"/>
    <x v="6"/>
    <n v="7"/>
    <n v="1062"/>
    <x v="2"/>
    <x v="3"/>
    <n v="2"/>
    <n v="535.23"/>
    <n v="0.25"/>
    <n v="401.42250000000001"/>
    <n v="802.84"/>
    <x v="0"/>
    <n v="2"/>
    <n v="1.7"/>
  </r>
  <r>
    <n v="1652"/>
    <d v="2024-07-09T00:00:00"/>
    <x v="4"/>
    <s v="Q3"/>
    <x v="6"/>
    <n v="7"/>
    <n v="1700"/>
    <x v="2"/>
    <x v="2"/>
    <n v="5"/>
    <n v="466.22"/>
    <n v="0.03"/>
    <n v="452.23340000000002"/>
    <n v="2261.17"/>
    <x v="0"/>
    <n v="7"/>
    <n v="2.5"/>
  </r>
  <r>
    <n v="1653"/>
    <d v="2024-07-10T00:00:00"/>
    <x v="4"/>
    <s v="Q3"/>
    <x v="6"/>
    <n v="7"/>
    <n v="1359"/>
    <x v="1"/>
    <x v="1"/>
    <n v="7"/>
    <n v="255.73"/>
    <n v="0.21"/>
    <n v="202.02670000000001"/>
    <n v="1414.19"/>
    <x v="1"/>
    <n v="9"/>
    <n v="4.8"/>
  </r>
  <r>
    <n v="1654"/>
    <d v="2024-07-11T00:00:00"/>
    <x v="4"/>
    <s v="Q3"/>
    <x v="6"/>
    <n v="7"/>
    <n v="1560"/>
    <x v="0"/>
    <x v="2"/>
    <n v="6"/>
    <n v="122.55"/>
    <n v="0.17"/>
    <n v="101.7165"/>
    <n v="610.29999999999995"/>
    <x v="1"/>
    <n v="3"/>
    <n v="2.1"/>
  </r>
  <r>
    <n v="1655"/>
    <d v="2024-07-12T00:00:00"/>
    <x v="4"/>
    <s v="Q3"/>
    <x v="6"/>
    <n v="7"/>
    <n v="1326"/>
    <x v="3"/>
    <x v="0"/>
    <n v="4"/>
    <n v="565.73"/>
    <n v="0.34"/>
    <n v="373.3818"/>
    <n v="1493.53"/>
    <x v="1"/>
    <n v="7"/>
    <n v="4.7"/>
  </r>
  <r>
    <n v="1656"/>
    <d v="2024-07-13T00:00:00"/>
    <x v="4"/>
    <s v="Q3"/>
    <x v="6"/>
    <n v="7"/>
    <n v="1768"/>
    <x v="1"/>
    <x v="2"/>
    <n v="5"/>
    <n v="326.43"/>
    <n v="0.3"/>
    <n v="228.501"/>
    <n v="1142.5"/>
    <x v="1"/>
    <n v="3"/>
    <n v="1.7"/>
  </r>
  <r>
    <n v="1657"/>
    <d v="2024-07-14T00:00:00"/>
    <x v="4"/>
    <s v="Q3"/>
    <x v="6"/>
    <n v="7"/>
    <n v="1735"/>
    <x v="3"/>
    <x v="1"/>
    <n v="2"/>
    <n v="513.63"/>
    <n v="0.16"/>
    <n v="431.44920000000002"/>
    <n v="862.9"/>
    <x v="1"/>
    <n v="6"/>
    <n v="4.9000000000000004"/>
  </r>
  <r>
    <n v="1658"/>
    <d v="2024-07-15T00:00:00"/>
    <x v="4"/>
    <s v="Q3"/>
    <x v="6"/>
    <n v="7"/>
    <n v="1140"/>
    <x v="1"/>
    <x v="3"/>
    <n v="5"/>
    <n v="215.13"/>
    <n v="0.27"/>
    <n v="157.04489999999998"/>
    <n v="785.22"/>
    <x v="2"/>
    <n v="3"/>
    <n v="2.2000000000000002"/>
  </r>
  <r>
    <n v="1659"/>
    <d v="2024-07-16T00:00:00"/>
    <x v="4"/>
    <s v="Q3"/>
    <x v="6"/>
    <n v="7"/>
    <n v="1989"/>
    <x v="1"/>
    <x v="2"/>
    <n v="7"/>
    <n v="211.14"/>
    <n v="7.0000000000000007E-2"/>
    <n v="196.36019999999999"/>
    <n v="1374.52"/>
    <x v="0"/>
    <n v="1"/>
    <n v="3.5"/>
  </r>
  <r>
    <n v="1660"/>
    <d v="2024-07-17T00:00:00"/>
    <x v="4"/>
    <s v="Q3"/>
    <x v="6"/>
    <n v="7"/>
    <n v="1214"/>
    <x v="1"/>
    <x v="2"/>
    <n v="7"/>
    <n v="591.54"/>
    <n v="0.2"/>
    <n v="473.23199999999997"/>
    <n v="3312.62"/>
    <x v="1"/>
    <n v="6"/>
    <n v="1.3"/>
  </r>
  <r>
    <n v="1661"/>
    <d v="2024-07-18T00:00:00"/>
    <x v="4"/>
    <s v="Q3"/>
    <x v="6"/>
    <n v="7"/>
    <n v="1434"/>
    <x v="2"/>
    <x v="1"/>
    <n v="2"/>
    <n v="320.27"/>
    <n v="0.03"/>
    <n v="310.6619"/>
    <n v="621.32000000000005"/>
    <x v="0"/>
    <n v="11"/>
    <n v="2.2000000000000002"/>
  </r>
  <r>
    <n v="1662"/>
    <d v="2024-07-19T00:00:00"/>
    <x v="4"/>
    <s v="Q3"/>
    <x v="6"/>
    <n v="7"/>
    <n v="1890"/>
    <x v="3"/>
    <x v="3"/>
    <n v="7"/>
    <n v="97.31"/>
    <n v="0.12"/>
    <n v="85.632800000000003"/>
    <n v="599.42999999999995"/>
    <x v="1"/>
    <n v="3"/>
    <n v="1.8"/>
  </r>
  <r>
    <n v="1663"/>
    <d v="2024-07-20T00:00:00"/>
    <x v="4"/>
    <s v="Q3"/>
    <x v="6"/>
    <n v="7"/>
    <n v="1951"/>
    <x v="1"/>
    <x v="3"/>
    <n v="7"/>
    <n v="143.51"/>
    <n v="0.08"/>
    <n v="132.0292"/>
    <n v="924.2"/>
    <x v="1"/>
    <n v="1"/>
    <n v="1"/>
  </r>
  <r>
    <n v="1664"/>
    <d v="2024-07-21T00:00:00"/>
    <x v="4"/>
    <s v="Q3"/>
    <x v="6"/>
    <n v="7"/>
    <n v="1722"/>
    <x v="1"/>
    <x v="0"/>
    <n v="4"/>
    <n v="296.94"/>
    <n v="0.25"/>
    <n v="222.70499999999998"/>
    <n v="890.82"/>
    <x v="2"/>
    <n v="5"/>
    <n v="1.6"/>
  </r>
  <r>
    <n v="1665"/>
    <d v="2024-07-22T00:00:00"/>
    <x v="4"/>
    <s v="Q3"/>
    <x v="6"/>
    <n v="7"/>
    <n v="1317"/>
    <x v="0"/>
    <x v="0"/>
    <n v="4"/>
    <n v="39.85"/>
    <n v="0.17"/>
    <n v="33.075499999999998"/>
    <n v="132.30000000000001"/>
    <x v="1"/>
    <n v="8"/>
    <n v="3.4"/>
  </r>
  <r>
    <n v="1666"/>
    <d v="2024-07-23T00:00:00"/>
    <x v="4"/>
    <s v="Q3"/>
    <x v="6"/>
    <n v="7"/>
    <n v="1031"/>
    <x v="2"/>
    <x v="1"/>
    <n v="1"/>
    <n v="285.58"/>
    <n v="0.26"/>
    <n v="211.32919999999999"/>
    <n v="211.33"/>
    <x v="1"/>
    <n v="8"/>
    <n v="2.6"/>
  </r>
  <r>
    <n v="1667"/>
    <d v="2024-07-24T00:00:00"/>
    <x v="4"/>
    <s v="Q3"/>
    <x v="6"/>
    <n v="7"/>
    <n v="1669"/>
    <x v="2"/>
    <x v="3"/>
    <n v="4"/>
    <n v="260.08"/>
    <n v="0.18"/>
    <n v="213.26560000000001"/>
    <n v="853.06"/>
    <x v="0"/>
    <n v="8"/>
    <n v="3.9"/>
  </r>
  <r>
    <n v="1668"/>
    <d v="2024-07-25T00:00:00"/>
    <x v="4"/>
    <s v="Q3"/>
    <x v="6"/>
    <n v="7"/>
    <n v="1284"/>
    <x v="2"/>
    <x v="3"/>
    <n v="3"/>
    <n v="470.91"/>
    <n v="0.03"/>
    <n v="456.78270000000003"/>
    <n v="1370.35"/>
    <x v="1"/>
    <n v="3"/>
    <n v="3.7"/>
  </r>
  <r>
    <n v="1669"/>
    <d v="2024-07-26T00:00:00"/>
    <x v="4"/>
    <s v="Q3"/>
    <x v="6"/>
    <n v="7"/>
    <n v="1304"/>
    <x v="3"/>
    <x v="0"/>
    <n v="5"/>
    <n v="222.64"/>
    <n v="0.26"/>
    <n v="164.75359999999998"/>
    <n v="823.77"/>
    <x v="2"/>
    <n v="8"/>
    <n v="4.2"/>
  </r>
  <r>
    <n v="1670"/>
    <d v="2024-07-27T00:00:00"/>
    <x v="4"/>
    <s v="Q3"/>
    <x v="6"/>
    <n v="7"/>
    <n v="1428"/>
    <x v="3"/>
    <x v="0"/>
    <n v="5"/>
    <n v="589.79"/>
    <n v="0.28999999999999998"/>
    <n v="418.7509"/>
    <n v="2093.75"/>
    <x v="1"/>
    <n v="4"/>
    <n v="4.5"/>
  </r>
  <r>
    <n v="1671"/>
    <d v="2024-07-28T00:00:00"/>
    <x v="4"/>
    <s v="Q3"/>
    <x v="6"/>
    <n v="7"/>
    <n v="1476"/>
    <x v="2"/>
    <x v="1"/>
    <n v="2"/>
    <n v="120.75"/>
    <n v="0.32"/>
    <n v="82.11"/>
    <n v="164.22"/>
    <x v="1"/>
    <n v="8"/>
    <n v="4.3"/>
  </r>
  <r>
    <n v="1672"/>
    <d v="2024-07-29T00:00:00"/>
    <x v="4"/>
    <s v="Q3"/>
    <x v="6"/>
    <n v="7"/>
    <n v="1285"/>
    <x v="3"/>
    <x v="3"/>
    <n v="4"/>
    <n v="360.73"/>
    <n v="0.2"/>
    <n v="288.584"/>
    <n v="1154.3399999999999"/>
    <x v="2"/>
    <n v="3"/>
    <n v="2.8"/>
  </r>
  <r>
    <n v="1673"/>
    <d v="2024-07-30T00:00:00"/>
    <x v="4"/>
    <s v="Q3"/>
    <x v="6"/>
    <n v="7"/>
    <n v="1143"/>
    <x v="1"/>
    <x v="2"/>
    <n v="1"/>
    <n v="67.47"/>
    <n v="0.26"/>
    <n v="49.927799999999998"/>
    <n v="49.93"/>
    <x v="0"/>
    <n v="3"/>
    <n v="2.2000000000000002"/>
  </r>
  <r>
    <n v="1674"/>
    <d v="2024-07-31T00:00:00"/>
    <x v="4"/>
    <s v="Q3"/>
    <x v="6"/>
    <n v="7"/>
    <n v="1423"/>
    <x v="3"/>
    <x v="0"/>
    <n v="7"/>
    <n v="444.31"/>
    <n v="0.26"/>
    <n v="328.7894"/>
    <n v="2301.5300000000002"/>
    <x v="1"/>
    <n v="1"/>
    <n v="3"/>
  </r>
  <r>
    <n v="1675"/>
    <d v="2024-08-01T00:00:00"/>
    <x v="4"/>
    <s v="Q3"/>
    <x v="7"/>
    <n v="8"/>
    <n v="1018"/>
    <x v="1"/>
    <x v="1"/>
    <n v="1"/>
    <n v="596.92999999999995"/>
    <n v="0.05"/>
    <n v="567.08349999999996"/>
    <n v="567.08000000000004"/>
    <x v="2"/>
    <n v="8"/>
    <n v="3.1"/>
  </r>
  <r>
    <n v="1676"/>
    <d v="2024-08-02T00:00:00"/>
    <x v="4"/>
    <s v="Q3"/>
    <x v="7"/>
    <n v="8"/>
    <n v="1017"/>
    <x v="1"/>
    <x v="3"/>
    <n v="1"/>
    <n v="494.2"/>
    <n v="0.06"/>
    <n v="464.548"/>
    <n v="464.55"/>
    <x v="0"/>
    <n v="8"/>
    <n v="2.2999999999999998"/>
  </r>
  <r>
    <n v="1677"/>
    <d v="2024-08-03T00:00:00"/>
    <x v="4"/>
    <s v="Q3"/>
    <x v="7"/>
    <n v="8"/>
    <n v="1768"/>
    <x v="0"/>
    <x v="3"/>
    <n v="6"/>
    <n v="340.09"/>
    <n v="0.02"/>
    <n v="333.28819999999996"/>
    <n v="1999.73"/>
    <x v="2"/>
    <n v="9"/>
    <n v="3.2"/>
  </r>
  <r>
    <n v="1678"/>
    <d v="2024-08-04T00:00:00"/>
    <x v="4"/>
    <s v="Q3"/>
    <x v="7"/>
    <n v="8"/>
    <n v="1589"/>
    <x v="2"/>
    <x v="0"/>
    <n v="7"/>
    <n v="298.57"/>
    <n v="0.11"/>
    <n v="265.72730000000001"/>
    <n v="1860.09"/>
    <x v="1"/>
    <n v="6"/>
    <n v="1.4"/>
  </r>
  <r>
    <n v="1679"/>
    <d v="2024-08-05T00:00:00"/>
    <x v="4"/>
    <s v="Q3"/>
    <x v="7"/>
    <n v="8"/>
    <n v="1370"/>
    <x v="2"/>
    <x v="1"/>
    <n v="3"/>
    <n v="503.49"/>
    <n v="0.17"/>
    <n v="417.89670000000001"/>
    <n v="1253.69"/>
    <x v="2"/>
    <n v="2"/>
    <n v="1.9"/>
  </r>
  <r>
    <n v="1680"/>
    <d v="2024-08-06T00:00:00"/>
    <x v="4"/>
    <s v="Q3"/>
    <x v="7"/>
    <n v="8"/>
    <n v="1174"/>
    <x v="1"/>
    <x v="2"/>
    <n v="4"/>
    <n v="562.54"/>
    <n v="0.35"/>
    <n v="365.65099999999995"/>
    <n v="1462.6"/>
    <x v="2"/>
    <n v="1"/>
    <n v="4"/>
  </r>
  <r>
    <n v="1681"/>
    <d v="2024-08-07T00:00:00"/>
    <x v="4"/>
    <s v="Q3"/>
    <x v="7"/>
    <n v="8"/>
    <n v="1193"/>
    <x v="0"/>
    <x v="0"/>
    <n v="7"/>
    <n v="593.69000000000005"/>
    <n v="0.15"/>
    <n v="504.63650000000007"/>
    <n v="3532.46"/>
    <x v="2"/>
    <n v="8"/>
    <n v="1.7"/>
  </r>
  <r>
    <n v="1682"/>
    <d v="2024-08-08T00:00:00"/>
    <x v="4"/>
    <s v="Q3"/>
    <x v="7"/>
    <n v="8"/>
    <n v="1501"/>
    <x v="1"/>
    <x v="1"/>
    <n v="1"/>
    <n v="246.98"/>
    <n v="0.25"/>
    <n v="185.23499999999999"/>
    <n v="185.24"/>
    <x v="2"/>
    <n v="10"/>
    <n v="1.6"/>
  </r>
  <r>
    <n v="1683"/>
    <d v="2024-08-09T00:00:00"/>
    <x v="4"/>
    <s v="Q3"/>
    <x v="7"/>
    <n v="8"/>
    <n v="1987"/>
    <x v="2"/>
    <x v="3"/>
    <n v="7"/>
    <n v="594.69000000000005"/>
    <n v="0.24"/>
    <n v="451.96440000000007"/>
    <n v="3163.75"/>
    <x v="1"/>
    <n v="4"/>
    <n v="2.1"/>
  </r>
  <r>
    <n v="1684"/>
    <d v="2024-08-10T00:00:00"/>
    <x v="4"/>
    <s v="Q3"/>
    <x v="7"/>
    <n v="8"/>
    <n v="1112"/>
    <x v="2"/>
    <x v="2"/>
    <n v="3"/>
    <n v="106.22"/>
    <n v="7.0000000000000007E-2"/>
    <n v="98.784599999999998"/>
    <n v="296.35000000000002"/>
    <x v="2"/>
    <n v="11"/>
    <n v="2.5"/>
  </r>
  <r>
    <n v="1685"/>
    <d v="2024-08-11T00:00:00"/>
    <x v="4"/>
    <s v="Q3"/>
    <x v="7"/>
    <n v="8"/>
    <n v="1113"/>
    <x v="1"/>
    <x v="1"/>
    <n v="5"/>
    <n v="163.33000000000001"/>
    <n v="0.02"/>
    <n v="160.0634"/>
    <n v="800.32"/>
    <x v="2"/>
    <n v="11"/>
    <n v="2.2999999999999998"/>
  </r>
  <r>
    <n v="1686"/>
    <d v="2024-08-12T00:00:00"/>
    <x v="4"/>
    <s v="Q3"/>
    <x v="7"/>
    <n v="8"/>
    <n v="1221"/>
    <x v="2"/>
    <x v="2"/>
    <n v="2"/>
    <n v="67.069999999999993"/>
    <n v="0.19"/>
    <n v="54.326699999999995"/>
    <n v="108.65"/>
    <x v="2"/>
    <n v="7"/>
    <n v="2.5"/>
  </r>
  <r>
    <n v="1687"/>
    <d v="2024-08-13T00:00:00"/>
    <x v="4"/>
    <s v="Q3"/>
    <x v="7"/>
    <n v="8"/>
    <n v="1677"/>
    <x v="3"/>
    <x v="1"/>
    <n v="4"/>
    <n v="173.97"/>
    <n v="0.25"/>
    <n v="130.47749999999999"/>
    <n v="521.91"/>
    <x v="0"/>
    <n v="10"/>
    <n v="1.6"/>
  </r>
  <r>
    <n v="1688"/>
    <d v="2024-08-14T00:00:00"/>
    <x v="4"/>
    <s v="Q3"/>
    <x v="7"/>
    <n v="8"/>
    <n v="1946"/>
    <x v="0"/>
    <x v="1"/>
    <n v="4"/>
    <n v="464.24"/>
    <n v="0.35"/>
    <n v="301.75600000000003"/>
    <n v="1207.02"/>
    <x v="0"/>
    <n v="4"/>
    <n v="1.7"/>
  </r>
  <r>
    <n v="1689"/>
    <d v="2024-08-15T00:00:00"/>
    <x v="4"/>
    <s v="Q3"/>
    <x v="7"/>
    <n v="8"/>
    <n v="1830"/>
    <x v="1"/>
    <x v="1"/>
    <n v="6"/>
    <n v="513.96"/>
    <n v="0.13"/>
    <n v="447.14520000000005"/>
    <n v="2682.87"/>
    <x v="2"/>
    <n v="1"/>
    <n v="1.9"/>
  </r>
  <r>
    <n v="1690"/>
    <d v="2024-08-16T00:00:00"/>
    <x v="4"/>
    <s v="Q3"/>
    <x v="7"/>
    <n v="8"/>
    <n v="1643"/>
    <x v="1"/>
    <x v="1"/>
    <n v="5"/>
    <n v="470.65"/>
    <n v="0.31"/>
    <n v="324.74849999999998"/>
    <n v="1623.74"/>
    <x v="2"/>
    <n v="8"/>
    <n v="2.6"/>
  </r>
  <r>
    <n v="1691"/>
    <d v="2024-08-17T00:00:00"/>
    <x v="4"/>
    <s v="Q3"/>
    <x v="7"/>
    <n v="8"/>
    <n v="1896"/>
    <x v="1"/>
    <x v="2"/>
    <n v="4"/>
    <n v="384.17"/>
    <n v="0.13"/>
    <n v="334.22790000000003"/>
    <n v="1336.91"/>
    <x v="2"/>
    <n v="10"/>
    <n v="2.2999999999999998"/>
  </r>
  <r>
    <n v="1692"/>
    <d v="2024-08-18T00:00:00"/>
    <x v="4"/>
    <s v="Q3"/>
    <x v="7"/>
    <n v="8"/>
    <n v="1263"/>
    <x v="2"/>
    <x v="0"/>
    <n v="6"/>
    <n v="315.67"/>
    <n v="0.24"/>
    <n v="239.9092"/>
    <n v="1439.46"/>
    <x v="2"/>
    <n v="9"/>
    <n v="4.2"/>
  </r>
  <r>
    <n v="1693"/>
    <d v="2024-08-19T00:00:00"/>
    <x v="4"/>
    <s v="Q3"/>
    <x v="7"/>
    <n v="8"/>
    <n v="1924"/>
    <x v="0"/>
    <x v="2"/>
    <n v="6"/>
    <n v="429.59"/>
    <n v="0.21"/>
    <n v="339.37609999999995"/>
    <n v="2036.26"/>
    <x v="0"/>
    <n v="10"/>
    <n v="3.1"/>
  </r>
  <r>
    <n v="1694"/>
    <d v="2024-08-20T00:00:00"/>
    <x v="4"/>
    <s v="Q3"/>
    <x v="7"/>
    <n v="8"/>
    <n v="1054"/>
    <x v="1"/>
    <x v="1"/>
    <n v="6"/>
    <n v="243.64"/>
    <n v="0.02"/>
    <n v="238.76719999999997"/>
    <n v="1432.6"/>
    <x v="2"/>
    <n v="9"/>
    <n v="3.3"/>
  </r>
  <r>
    <n v="1695"/>
    <d v="2024-08-21T00:00:00"/>
    <x v="4"/>
    <s v="Q3"/>
    <x v="7"/>
    <n v="8"/>
    <n v="1870"/>
    <x v="1"/>
    <x v="2"/>
    <n v="4"/>
    <n v="507.17"/>
    <n v="0.03"/>
    <n v="491.95490000000001"/>
    <n v="1967.82"/>
    <x v="1"/>
    <n v="9"/>
    <n v="3.2"/>
  </r>
  <r>
    <n v="1696"/>
    <d v="2024-08-22T00:00:00"/>
    <x v="4"/>
    <s v="Q3"/>
    <x v="7"/>
    <n v="8"/>
    <n v="1642"/>
    <x v="3"/>
    <x v="2"/>
    <n v="4"/>
    <n v="411.16"/>
    <n v="0.01"/>
    <n v="407.04840000000002"/>
    <n v="1628.19"/>
    <x v="2"/>
    <n v="11"/>
    <n v="2.6"/>
  </r>
  <r>
    <n v="1697"/>
    <d v="2024-08-23T00:00:00"/>
    <x v="4"/>
    <s v="Q3"/>
    <x v="7"/>
    <n v="8"/>
    <n v="1799"/>
    <x v="1"/>
    <x v="2"/>
    <n v="4"/>
    <n v="423.22"/>
    <n v="0.13"/>
    <n v="368.20140000000004"/>
    <n v="1472.81"/>
    <x v="2"/>
    <n v="11"/>
    <n v="4.9000000000000004"/>
  </r>
  <r>
    <n v="1698"/>
    <d v="2024-08-24T00:00:00"/>
    <x v="4"/>
    <s v="Q3"/>
    <x v="7"/>
    <n v="8"/>
    <n v="1777"/>
    <x v="1"/>
    <x v="1"/>
    <n v="3"/>
    <n v="328.52"/>
    <n v="0.26"/>
    <n v="243.10479999999998"/>
    <n v="729.31"/>
    <x v="2"/>
    <n v="4"/>
    <n v="1.1000000000000001"/>
  </r>
  <r>
    <n v="1699"/>
    <d v="2024-08-25T00:00:00"/>
    <x v="4"/>
    <s v="Q3"/>
    <x v="7"/>
    <n v="8"/>
    <n v="1457"/>
    <x v="2"/>
    <x v="2"/>
    <n v="6"/>
    <n v="532.86"/>
    <n v="0.06"/>
    <n v="500.88839999999999"/>
    <n v="3005.33"/>
    <x v="2"/>
    <n v="9"/>
    <n v="1.9"/>
  </r>
  <r>
    <n v="1700"/>
    <d v="2024-08-26T00:00:00"/>
    <x v="4"/>
    <s v="Q3"/>
    <x v="7"/>
    <n v="8"/>
    <n v="1978"/>
    <x v="3"/>
    <x v="3"/>
    <n v="3"/>
    <n v="162.43"/>
    <n v="0.21"/>
    <n v="128.31970000000001"/>
    <n v="384.96"/>
    <x v="1"/>
    <n v="11"/>
    <n v="2.1"/>
  </r>
  <r>
    <n v="1701"/>
    <d v="2024-08-27T00:00:00"/>
    <x v="4"/>
    <s v="Q3"/>
    <x v="7"/>
    <n v="8"/>
    <n v="1877"/>
    <x v="0"/>
    <x v="1"/>
    <n v="2"/>
    <n v="237.97"/>
    <n v="0.1"/>
    <n v="214.173"/>
    <n v="428.35"/>
    <x v="1"/>
    <n v="4"/>
    <n v="4.5"/>
  </r>
  <r>
    <n v="1702"/>
    <d v="2024-08-28T00:00:00"/>
    <x v="4"/>
    <s v="Q3"/>
    <x v="7"/>
    <n v="8"/>
    <n v="1161"/>
    <x v="1"/>
    <x v="2"/>
    <n v="4"/>
    <n v="469.92"/>
    <n v="0.28000000000000003"/>
    <n v="338.3424"/>
    <n v="1353.37"/>
    <x v="1"/>
    <n v="2"/>
    <n v="4.7"/>
  </r>
  <r>
    <n v="1703"/>
    <d v="2024-08-29T00:00:00"/>
    <x v="4"/>
    <s v="Q3"/>
    <x v="7"/>
    <n v="8"/>
    <n v="1379"/>
    <x v="0"/>
    <x v="3"/>
    <n v="7"/>
    <n v="303.26"/>
    <n v="0.28000000000000003"/>
    <n v="218.34719999999999"/>
    <n v="1528.43"/>
    <x v="1"/>
    <n v="10"/>
    <n v="4.4000000000000004"/>
  </r>
  <r>
    <n v="1704"/>
    <d v="2024-08-30T00:00:00"/>
    <x v="4"/>
    <s v="Q3"/>
    <x v="7"/>
    <n v="8"/>
    <n v="1992"/>
    <x v="2"/>
    <x v="2"/>
    <n v="5"/>
    <n v="535.19000000000005"/>
    <n v="0.27"/>
    <n v="390.68870000000004"/>
    <n v="1953.44"/>
    <x v="1"/>
    <n v="3"/>
    <n v="2.7"/>
  </r>
  <r>
    <n v="1705"/>
    <d v="2024-08-31T00:00:00"/>
    <x v="4"/>
    <s v="Q3"/>
    <x v="7"/>
    <n v="8"/>
    <n v="1086"/>
    <x v="1"/>
    <x v="0"/>
    <n v="1"/>
    <n v="217.64"/>
    <n v="0.18"/>
    <n v="178.4648"/>
    <n v="178.46"/>
    <x v="0"/>
    <n v="2"/>
    <n v="4.7"/>
  </r>
  <r>
    <n v="1706"/>
    <d v="2024-09-01T00:00:00"/>
    <x v="4"/>
    <s v="Q3"/>
    <x v="8"/>
    <n v="9"/>
    <n v="1054"/>
    <x v="1"/>
    <x v="2"/>
    <n v="2"/>
    <n v="231.06"/>
    <n v="0.1"/>
    <n v="207.95400000000001"/>
    <n v="415.91"/>
    <x v="1"/>
    <n v="1"/>
    <n v="1.4"/>
  </r>
  <r>
    <n v="1707"/>
    <d v="2024-09-02T00:00:00"/>
    <x v="4"/>
    <s v="Q3"/>
    <x v="8"/>
    <n v="9"/>
    <n v="1475"/>
    <x v="1"/>
    <x v="2"/>
    <n v="7"/>
    <n v="534.91"/>
    <n v="0.28000000000000003"/>
    <n v="385.13519999999994"/>
    <n v="2695.95"/>
    <x v="0"/>
    <n v="11"/>
    <n v="3.6"/>
  </r>
  <r>
    <n v="1708"/>
    <d v="2024-09-03T00:00:00"/>
    <x v="4"/>
    <s v="Q3"/>
    <x v="8"/>
    <n v="9"/>
    <n v="1799"/>
    <x v="1"/>
    <x v="0"/>
    <n v="1"/>
    <n v="286.66000000000003"/>
    <n v="7.0000000000000007E-2"/>
    <n v="266.59380000000004"/>
    <n v="266.58999999999997"/>
    <x v="1"/>
    <n v="6"/>
    <n v="4.7"/>
  </r>
  <r>
    <n v="1709"/>
    <d v="2024-09-04T00:00:00"/>
    <x v="4"/>
    <s v="Q3"/>
    <x v="8"/>
    <n v="9"/>
    <n v="1177"/>
    <x v="2"/>
    <x v="1"/>
    <n v="1"/>
    <n v="316.93"/>
    <n v="0.1"/>
    <n v="285.23700000000002"/>
    <n v="285.24"/>
    <x v="1"/>
    <n v="4"/>
    <n v="4"/>
  </r>
  <r>
    <n v="1710"/>
    <d v="2024-09-05T00:00:00"/>
    <x v="4"/>
    <s v="Q3"/>
    <x v="8"/>
    <n v="9"/>
    <n v="1390"/>
    <x v="2"/>
    <x v="0"/>
    <n v="4"/>
    <n v="209.67"/>
    <n v="0.06"/>
    <n v="197.0898"/>
    <n v="788.36"/>
    <x v="2"/>
    <n v="7"/>
    <n v="2.1"/>
  </r>
  <r>
    <n v="1711"/>
    <d v="2024-09-06T00:00:00"/>
    <x v="4"/>
    <s v="Q3"/>
    <x v="8"/>
    <n v="9"/>
    <n v="1348"/>
    <x v="1"/>
    <x v="1"/>
    <n v="5"/>
    <n v="176.85"/>
    <n v="0.24"/>
    <n v="134.40600000000001"/>
    <n v="672.03"/>
    <x v="1"/>
    <n v="7"/>
    <n v="3.9"/>
  </r>
  <r>
    <n v="1712"/>
    <d v="2024-09-07T00:00:00"/>
    <x v="4"/>
    <s v="Q3"/>
    <x v="8"/>
    <n v="9"/>
    <n v="1007"/>
    <x v="2"/>
    <x v="0"/>
    <n v="1"/>
    <n v="398.73"/>
    <n v="0.24"/>
    <n v="303.03480000000002"/>
    <n v="303.02999999999997"/>
    <x v="0"/>
    <n v="10"/>
    <n v="2.2000000000000002"/>
  </r>
  <r>
    <n v="1713"/>
    <d v="2024-09-08T00:00:00"/>
    <x v="4"/>
    <s v="Q3"/>
    <x v="8"/>
    <n v="9"/>
    <n v="1832"/>
    <x v="3"/>
    <x v="2"/>
    <n v="6"/>
    <n v="85.11"/>
    <n v="0.23"/>
    <n v="65.534700000000001"/>
    <n v="393.21"/>
    <x v="1"/>
    <n v="1"/>
    <n v="1.4"/>
  </r>
  <r>
    <n v="1714"/>
    <d v="2024-09-09T00:00:00"/>
    <x v="4"/>
    <s v="Q3"/>
    <x v="8"/>
    <n v="9"/>
    <n v="1312"/>
    <x v="2"/>
    <x v="2"/>
    <n v="7"/>
    <n v="529.37"/>
    <n v="0.15"/>
    <n v="449.96449999999999"/>
    <n v="3149.75"/>
    <x v="1"/>
    <n v="9"/>
    <n v="3.9"/>
  </r>
  <r>
    <n v="1715"/>
    <d v="2024-09-10T00:00:00"/>
    <x v="4"/>
    <s v="Q3"/>
    <x v="8"/>
    <n v="9"/>
    <n v="1758"/>
    <x v="2"/>
    <x v="1"/>
    <n v="1"/>
    <n v="470.83"/>
    <n v="0.04"/>
    <n v="451.99680000000001"/>
    <n v="452"/>
    <x v="0"/>
    <n v="8"/>
    <n v="1.7"/>
  </r>
  <r>
    <n v="1716"/>
    <d v="2024-09-11T00:00:00"/>
    <x v="4"/>
    <s v="Q3"/>
    <x v="8"/>
    <n v="9"/>
    <n v="1834"/>
    <x v="1"/>
    <x v="1"/>
    <n v="2"/>
    <n v="126.59"/>
    <n v="0.32"/>
    <n v="86.081199999999995"/>
    <n v="172.16"/>
    <x v="1"/>
    <n v="10"/>
    <n v="1.4"/>
  </r>
  <r>
    <n v="1717"/>
    <d v="2024-09-12T00:00:00"/>
    <x v="4"/>
    <s v="Q3"/>
    <x v="8"/>
    <n v="9"/>
    <n v="1983"/>
    <x v="1"/>
    <x v="3"/>
    <n v="5"/>
    <n v="421"/>
    <n v="0.18"/>
    <n v="345.22"/>
    <n v="1726.1"/>
    <x v="1"/>
    <n v="1"/>
    <n v="3.2"/>
  </r>
  <r>
    <n v="1718"/>
    <d v="2024-09-13T00:00:00"/>
    <x v="4"/>
    <s v="Q3"/>
    <x v="8"/>
    <n v="9"/>
    <n v="1982"/>
    <x v="0"/>
    <x v="3"/>
    <n v="5"/>
    <n v="367.54"/>
    <n v="0.14000000000000001"/>
    <n v="316.08440000000002"/>
    <n v="1580.42"/>
    <x v="1"/>
    <n v="8"/>
    <n v="3.5"/>
  </r>
  <r>
    <n v="1719"/>
    <d v="2024-09-14T00:00:00"/>
    <x v="4"/>
    <s v="Q3"/>
    <x v="8"/>
    <n v="9"/>
    <n v="1442"/>
    <x v="1"/>
    <x v="2"/>
    <n v="1"/>
    <n v="122.95"/>
    <n v="0.21"/>
    <n v="97.130500000000012"/>
    <n v="97.13"/>
    <x v="2"/>
    <n v="5"/>
    <n v="1.2"/>
  </r>
  <r>
    <n v="1720"/>
    <d v="2024-09-15T00:00:00"/>
    <x v="4"/>
    <s v="Q3"/>
    <x v="8"/>
    <n v="9"/>
    <n v="1766"/>
    <x v="2"/>
    <x v="2"/>
    <n v="5"/>
    <n v="174.82"/>
    <n v="7.0000000000000007E-2"/>
    <n v="162.58259999999999"/>
    <n v="812.91"/>
    <x v="1"/>
    <n v="1"/>
    <n v="1"/>
  </r>
  <r>
    <n v="1721"/>
    <d v="2024-09-16T00:00:00"/>
    <x v="4"/>
    <s v="Q3"/>
    <x v="8"/>
    <n v="9"/>
    <n v="1327"/>
    <x v="3"/>
    <x v="3"/>
    <n v="2"/>
    <n v="254.26"/>
    <n v="0.05"/>
    <n v="241.547"/>
    <n v="483.09"/>
    <x v="2"/>
    <n v="4"/>
    <n v="4.5"/>
  </r>
  <r>
    <n v="1722"/>
    <d v="2024-09-17T00:00:00"/>
    <x v="4"/>
    <s v="Q3"/>
    <x v="8"/>
    <n v="9"/>
    <n v="1053"/>
    <x v="1"/>
    <x v="3"/>
    <n v="7"/>
    <n v="424.06"/>
    <n v="0.14000000000000001"/>
    <n v="364.69159999999999"/>
    <n v="2552.84"/>
    <x v="0"/>
    <n v="7"/>
    <n v="1.5"/>
  </r>
  <r>
    <n v="1723"/>
    <d v="2024-09-18T00:00:00"/>
    <x v="4"/>
    <s v="Q3"/>
    <x v="8"/>
    <n v="9"/>
    <n v="1760"/>
    <x v="2"/>
    <x v="1"/>
    <n v="2"/>
    <n v="388.65"/>
    <n v="0.08"/>
    <n v="357.55799999999999"/>
    <n v="715.12"/>
    <x v="0"/>
    <n v="5"/>
    <n v="3.3"/>
  </r>
  <r>
    <n v="1724"/>
    <d v="2024-09-19T00:00:00"/>
    <x v="4"/>
    <s v="Q3"/>
    <x v="8"/>
    <n v="9"/>
    <n v="1238"/>
    <x v="1"/>
    <x v="0"/>
    <n v="2"/>
    <n v="326.36"/>
    <n v="0.09"/>
    <n v="296.98760000000004"/>
    <n v="593.98"/>
    <x v="1"/>
    <n v="11"/>
    <n v="4.8"/>
  </r>
  <r>
    <n v="1725"/>
    <d v="2024-09-20T00:00:00"/>
    <x v="4"/>
    <s v="Q3"/>
    <x v="8"/>
    <n v="9"/>
    <n v="1228"/>
    <x v="0"/>
    <x v="1"/>
    <n v="6"/>
    <n v="464.52"/>
    <n v="0.31"/>
    <n v="320.5188"/>
    <n v="1923.11"/>
    <x v="1"/>
    <n v="3"/>
    <n v="3"/>
  </r>
  <r>
    <n v="1726"/>
    <d v="2024-09-21T00:00:00"/>
    <x v="4"/>
    <s v="Q3"/>
    <x v="8"/>
    <n v="9"/>
    <n v="1578"/>
    <x v="1"/>
    <x v="3"/>
    <n v="4"/>
    <n v="458.39"/>
    <n v="0.19"/>
    <n v="371.29589999999996"/>
    <n v="1485.18"/>
    <x v="1"/>
    <n v="11"/>
    <n v="1.6"/>
  </r>
  <r>
    <n v="1727"/>
    <d v="2024-09-22T00:00:00"/>
    <x v="4"/>
    <s v="Q3"/>
    <x v="8"/>
    <n v="9"/>
    <n v="1050"/>
    <x v="2"/>
    <x v="2"/>
    <n v="1"/>
    <n v="376.45"/>
    <n v="0.17"/>
    <n v="312.45349999999996"/>
    <n v="312.45"/>
    <x v="2"/>
    <n v="4"/>
    <n v="2.6"/>
  </r>
  <r>
    <n v="1728"/>
    <d v="2024-09-23T00:00:00"/>
    <x v="4"/>
    <s v="Q3"/>
    <x v="8"/>
    <n v="9"/>
    <n v="1608"/>
    <x v="2"/>
    <x v="3"/>
    <n v="7"/>
    <n v="475.39"/>
    <n v="0.24"/>
    <n v="361.29640000000001"/>
    <n v="2529.0700000000002"/>
    <x v="1"/>
    <n v="2"/>
    <n v="3.5"/>
  </r>
  <r>
    <n v="1729"/>
    <d v="2024-09-24T00:00:00"/>
    <x v="4"/>
    <s v="Q3"/>
    <x v="8"/>
    <n v="9"/>
    <n v="1603"/>
    <x v="2"/>
    <x v="2"/>
    <n v="5"/>
    <n v="210.54"/>
    <n v="0.33"/>
    <n v="141.06180000000001"/>
    <n v="705.31"/>
    <x v="0"/>
    <n v="8"/>
    <n v="4.0999999999999996"/>
  </r>
  <r>
    <n v="1730"/>
    <d v="2024-09-25T00:00:00"/>
    <x v="4"/>
    <s v="Q3"/>
    <x v="8"/>
    <n v="9"/>
    <n v="1263"/>
    <x v="1"/>
    <x v="2"/>
    <n v="2"/>
    <n v="530.53"/>
    <n v="0.04"/>
    <n v="509.30879999999996"/>
    <n v="1018.62"/>
    <x v="2"/>
    <n v="2"/>
    <n v="3.4"/>
  </r>
  <r>
    <n v="1731"/>
    <d v="2024-09-26T00:00:00"/>
    <x v="4"/>
    <s v="Q3"/>
    <x v="8"/>
    <n v="9"/>
    <n v="1417"/>
    <x v="1"/>
    <x v="2"/>
    <n v="1"/>
    <n v="374.72"/>
    <n v="0.28999999999999998"/>
    <n v="266.05119999999999"/>
    <n v="266.05"/>
    <x v="1"/>
    <n v="11"/>
    <n v="1.1000000000000001"/>
  </r>
  <r>
    <n v="1732"/>
    <d v="2024-09-27T00:00:00"/>
    <x v="4"/>
    <s v="Q3"/>
    <x v="8"/>
    <n v="9"/>
    <n v="1802"/>
    <x v="2"/>
    <x v="2"/>
    <n v="7"/>
    <n v="496.08"/>
    <n v="0.2"/>
    <n v="396.86399999999998"/>
    <n v="2778.05"/>
    <x v="2"/>
    <n v="6"/>
    <n v="1.6"/>
  </r>
  <r>
    <n v="1733"/>
    <d v="2024-09-28T00:00:00"/>
    <x v="4"/>
    <s v="Q3"/>
    <x v="8"/>
    <n v="9"/>
    <n v="1095"/>
    <x v="0"/>
    <x v="0"/>
    <n v="7"/>
    <n v="334.57"/>
    <n v="0.05"/>
    <n v="317.8415"/>
    <n v="2224.89"/>
    <x v="1"/>
    <n v="7"/>
    <n v="2.5"/>
  </r>
  <r>
    <n v="1734"/>
    <d v="2024-09-29T00:00:00"/>
    <x v="4"/>
    <s v="Q3"/>
    <x v="8"/>
    <n v="9"/>
    <n v="1087"/>
    <x v="3"/>
    <x v="3"/>
    <n v="1"/>
    <n v="142.79"/>
    <n v="0.1"/>
    <n v="128.511"/>
    <n v="128.51"/>
    <x v="1"/>
    <n v="7"/>
    <n v="3.8"/>
  </r>
  <r>
    <n v="1735"/>
    <d v="2024-09-30T00:00:00"/>
    <x v="4"/>
    <s v="Q3"/>
    <x v="8"/>
    <n v="9"/>
    <n v="1077"/>
    <x v="1"/>
    <x v="1"/>
    <n v="4"/>
    <n v="332.31"/>
    <n v="0.17"/>
    <n v="275.81729999999999"/>
    <n v="1103.27"/>
    <x v="1"/>
    <n v="1"/>
    <n v="3.3"/>
  </r>
  <r>
    <n v="1736"/>
    <d v="2024-10-01T00:00:00"/>
    <x v="4"/>
    <s v="Q4"/>
    <x v="9"/>
    <n v="10"/>
    <n v="1287"/>
    <x v="3"/>
    <x v="2"/>
    <n v="6"/>
    <n v="232.1"/>
    <n v="0.24"/>
    <n v="176.39600000000002"/>
    <n v="1058.3800000000001"/>
    <x v="1"/>
    <n v="8"/>
    <n v="1.2"/>
  </r>
  <r>
    <n v="1737"/>
    <d v="2024-10-02T00:00:00"/>
    <x v="4"/>
    <s v="Q4"/>
    <x v="9"/>
    <n v="10"/>
    <n v="1119"/>
    <x v="2"/>
    <x v="2"/>
    <n v="5"/>
    <n v="423.04"/>
    <n v="0.08"/>
    <n v="389.1968"/>
    <n v="1945.98"/>
    <x v="2"/>
    <n v="9"/>
    <n v="4.2"/>
  </r>
  <r>
    <n v="1738"/>
    <d v="2024-10-03T00:00:00"/>
    <x v="4"/>
    <s v="Q4"/>
    <x v="9"/>
    <n v="10"/>
    <n v="1813"/>
    <x v="1"/>
    <x v="1"/>
    <n v="6"/>
    <n v="293.33999999999997"/>
    <n v="0.19"/>
    <n v="237.60539999999997"/>
    <n v="1425.63"/>
    <x v="2"/>
    <n v="7"/>
    <n v="3.4"/>
  </r>
  <r>
    <n v="1739"/>
    <d v="2024-10-04T00:00:00"/>
    <x v="4"/>
    <s v="Q4"/>
    <x v="9"/>
    <n v="10"/>
    <n v="1490"/>
    <x v="1"/>
    <x v="1"/>
    <n v="7"/>
    <n v="504.13"/>
    <n v="0.24"/>
    <n v="383.1388"/>
    <n v="2681.97"/>
    <x v="1"/>
    <n v="8"/>
    <n v="4.5"/>
  </r>
  <r>
    <n v="1740"/>
    <d v="2024-10-05T00:00:00"/>
    <x v="4"/>
    <s v="Q4"/>
    <x v="9"/>
    <n v="10"/>
    <n v="1911"/>
    <x v="3"/>
    <x v="2"/>
    <n v="5"/>
    <n v="411.67"/>
    <n v="0.16"/>
    <n v="345.80280000000005"/>
    <n v="1729.01"/>
    <x v="0"/>
    <n v="4"/>
    <n v="2.7"/>
  </r>
  <r>
    <n v="1741"/>
    <d v="2024-10-06T00:00:00"/>
    <x v="4"/>
    <s v="Q4"/>
    <x v="9"/>
    <n v="10"/>
    <n v="1451"/>
    <x v="3"/>
    <x v="1"/>
    <n v="7"/>
    <n v="415.46"/>
    <n v="0.3"/>
    <n v="290.822"/>
    <n v="2035.75"/>
    <x v="1"/>
    <n v="8"/>
    <n v="3"/>
  </r>
  <r>
    <n v="1742"/>
    <d v="2024-10-07T00:00:00"/>
    <x v="4"/>
    <s v="Q4"/>
    <x v="9"/>
    <n v="10"/>
    <n v="1499"/>
    <x v="2"/>
    <x v="1"/>
    <n v="2"/>
    <n v="142.04"/>
    <n v="0.3"/>
    <n v="99.427999999999997"/>
    <n v="198.86"/>
    <x v="1"/>
    <n v="3"/>
    <n v="2.6"/>
  </r>
  <r>
    <n v="1743"/>
    <d v="2024-10-08T00:00:00"/>
    <x v="4"/>
    <s v="Q4"/>
    <x v="9"/>
    <n v="10"/>
    <n v="1164"/>
    <x v="0"/>
    <x v="0"/>
    <n v="2"/>
    <n v="590.79"/>
    <n v="0.16"/>
    <n v="496.2636"/>
    <n v="992.53"/>
    <x v="1"/>
    <n v="1"/>
    <n v="3.9"/>
  </r>
  <r>
    <n v="1744"/>
    <d v="2024-10-09T00:00:00"/>
    <x v="4"/>
    <s v="Q4"/>
    <x v="9"/>
    <n v="10"/>
    <n v="1181"/>
    <x v="2"/>
    <x v="1"/>
    <n v="1"/>
    <n v="507.38"/>
    <n v="0.34"/>
    <n v="334.87079999999997"/>
    <n v="334.87"/>
    <x v="2"/>
    <n v="8"/>
    <n v="4"/>
  </r>
  <r>
    <n v="1745"/>
    <d v="2024-10-10T00:00:00"/>
    <x v="4"/>
    <s v="Q4"/>
    <x v="9"/>
    <n v="10"/>
    <n v="1468"/>
    <x v="0"/>
    <x v="3"/>
    <n v="5"/>
    <n v="476.57"/>
    <n v="0.03"/>
    <n v="462.27289999999999"/>
    <n v="2311.36"/>
    <x v="0"/>
    <n v="11"/>
    <n v="3.9"/>
  </r>
  <r>
    <n v="1746"/>
    <d v="2024-10-11T00:00:00"/>
    <x v="4"/>
    <s v="Q4"/>
    <x v="9"/>
    <n v="10"/>
    <n v="1909"/>
    <x v="0"/>
    <x v="3"/>
    <n v="5"/>
    <n v="208.18"/>
    <n v="0"/>
    <n v="208.18"/>
    <n v="1040.9000000000001"/>
    <x v="2"/>
    <n v="6"/>
    <n v="2.2000000000000002"/>
  </r>
  <r>
    <n v="1747"/>
    <d v="2024-10-12T00:00:00"/>
    <x v="4"/>
    <s v="Q4"/>
    <x v="9"/>
    <n v="10"/>
    <n v="1734"/>
    <x v="2"/>
    <x v="3"/>
    <n v="7"/>
    <n v="328.34"/>
    <n v="0.13"/>
    <n v="285.6558"/>
    <n v="1999.59"/>
    <x v="0"/>
    <n v="9"/>
    <n v="3.5"/>
  </r>
  <r>
    <n v="1748"/>
    <d v="2024-10-13T00:00:00"/>
    <x v="4"/>
    <s v="Q4"/>
    <x v="9"/>
    <n v="10"/>
    <n v="1822"/>
    <x v="3"/>
    <x v="2"/>
    <n v="6"/>
    <n v="95.21"/>
    <n v="0.21"/>
    <n v="75.215899999999991"/>
    <n v="451.3"/>
    <x v="1"/>
    <n v="3"/>
    <n v="2.4"/>
  </r>
  <r>
    <n v="1749"/>
    <d v="2024-10-14T00:00:00"/>
    <x v="4"/>
    <s v="Q4"/>
    <x v="9"/>
    <n v="10"/>
    <n v="1943"/>
    <x v="2"/>
    <x v="3"/>
    <n v="2"/>
    <n v="330.01"/>
    <n v="0.22"/>
    <n v="257.40780000000001"/>
    <n v="514.82000000000005"/>
    <x v="1"/>
    <n v="8"/>
    <n v="4.3"/>
  </r>
  <r>
    <n v="1750"/>
    <d v="2024-10-15T00:00:00"/>
    <x v="4"/>
    <s v="Q4"/>
    <x v="9"/>
    <n v="10"/>
    <n v="1977"/>
    <x v="1"/>
    <x v="0"/>
    <n v="3"/>
    <n v="100.35"/>
    <n v="0.17"/>
    <n v="83.290499999999994"/>
    <n v="249.87"/>
    <x v="2"/>
    <n v="9"/>
    <n v="1.2"/>
  </r>
  <r>
    <n v="1751"/>
    <d v="2024-10-16T00:00:00"/>
    <x v="4"/>
    <s v="Q4"/>
    <x v="9"/>
    <n v="10"/>
    <n v="1006"/>
    <x v="1"/>
    <x v="3"/>
    <n v="1"/>
    <n v="338.53"/>
    <n v="0.04"/>
    <n v="324.98879999999997"/>
    <n v="324.99"/>
    <x v="2"/>
    <n v="9"/>
    <n v="1.2"/>
  </r>
  <r>
    <n v="1752"/>
    <d v="2024-10-17T00:00:00"/>
    <x v="4"/>
    <s v="Q4"/>
    <x v="9"/>
    <n v="10"/>
    <n v="1329"/>
    <x v="1"/>
    <x v="2"/>
    <n v="5"/>
    <n v="394.5"/>
    <n v="0.06"/>
    <n v="370.83"/>
    <n v="1854.15"/>
    <x v="1"/>
    <n v="7"/>
    <n v="1.4"/>
  </r>
  <r>
    <n v="1753"/>
    <d v="2024-10-18T00:00:00"/>
    <x v="4"/>
    <s v="Q4"/>
    <x v="9"/>
    <n v="10"/>
    <n v="1774"/>
    <x v="0"/>
    <x v="0"/>
    <n v="4"/>
    <n v="243.26"/>
    <n v="0.3"/>
    <n v="170.28199999999998"/>
    <n v="681.13"/>
    <x v="0"/>
    <n v="11"/>
    <n v="1.8"/>
  </r>
  <r>
    <n v="1754"/>
    <d v="2024-10-19T00:00:00"/>
    <x v="4"/>
    <s v="Q4"/>
    <x v="9"/>
    <n v="10"/>
    <n v="1672"/>
    <x v="3"/>
    <x v="3"/>
    <n v="4"/>
    <n v="306.64999999999998"/>
    <n v="0.3"/>
    <n v="214.65499999999997"/>
    <n v="858.62"/>
    <x v="1"/>
    <n v="10"/>
    <n v="1.2"/>
  </r>
  <r>
    <n v="1755"/>
    <d v="2024-10-20T00:00:00"/>
    <x v="4"/>
    <s v="Q4"/>
    <x v="9"/>
    <n v="10"/>
    <n v="1150"/>
    <x v="1"/>
    <x v="0"/>
    <n v="3"/>
    <n v="527.26"/>
    <n v="0.24"/>
    <n v="400.7176"/>
    <n v="1202.1500000000001"/>
    <x v="1"/>
    <n v="3"/>
    <n v="1.3"/>
  </r>
  <r>
    <n v="1756"/>
    <d v="2024-10-21T00:00:00"/>
    <x v="4"/>
    <s v="Q4"/>
    <x v="9"/>
    <n v="10"/>
    <n v="1084"/>
    <x v="3"/>
    <x v="0"/>
    <n v="2"/>
    <n v="78.510000000000005"/>
    <n v="0.23"/>
    <n v="60.452700000000007"/>
    <n v="120.91"/>
    <x v="2"/>
    <n v="3"/>
    <n v="2.2000000000000002"/>
  </r>
  <r>
    <n v="1757"/>
    <d v="2024-10-22T00:00:00"/>
    <x v="4"/>
    <s v="Q4"/>
    <x v="9"/>
    <n v="10"/>
    <n v="1146"/>
    <x v="0"/>
    <x v="2"/>
    <n v="2"/>
    <n v="478.16"/>
    <n v="0.21"/>
    <n v="377.74639999999999"/>
    <n v="755.49"/>
    <x v="2"/>
    <n v="2"/>
    <n v="1.4"/>
  </r>
  <r>
    <n v="1758"/>
    <d v="2024-10-23T00:00:00"/>
    <x v="4"/>
    <s v="Q4"/>
    <x v="9"/>
    <n v="10"/>
    <n v="1623"/>
    <x v="2"/>
    <x v="2"/>
    <n v="2"/>
    <n v="114.89"/>
    <n v="7.0000000000000007E-2"/>
    <n v="106.8477"/>
    <n v="213.7"/>
    <x v="1"/>
    <n v="1"/>
    <n v="4.2"/>
  </r>
  <r>
    <n v="1759"/>
    <d v="2024-10-24T00:00:00"/>
    <x v="4"/>
    <s v="Q4"/>
    <x v="9"/>
    <n v="10"/>
    <n v="1380"/>
    <x v="0"/>
    <x v="0"/>
    <n v="6"/>
    <n v="36.47"/>
    <n v="0.15"/>
    <n v="30.999499999999998"/>
    <n v="186"/>
    <x v="1"/>
    <n v="2"/>
    <n v="1.2"/>
  </r>
  <r>
    <n v="1760"/>
    <d v="2024-10-25T00:00:00"/>
    <x v="4"/>
    <s v="Q4"/>
    <x v="9"/>
    <n v="10"/>
    <n v="1914"/>
    <x v="2"/>
    <x v="3"/>
    <n v="7"/>
    <n v="123.56"/>
    <n v="0.24"/>
    <n v="93.905600000000007"/>
    <n v="657.34"/>
    <x v="2"/>
    <n v="5"/>
    <n v="4.5999999999999996"/>
  </r>
  <r>
    <n v="1761"/>
    <d v="2024-10-26T00:00:00"/>
    <x v="4"/>
    <s v="Q4"/>
    <x v="9"/>
    <n v="10"/>
    <n v="1547"/>
    <x v="3"/>
    <x v="2"/>
    <n v="4"/>
    <n v="462.55"/>
    <n v="0.19"/>
    <n v="374.66550000000001"/>
    <n v="1498.66"/>
    <x v="2"/>
    <n v="1"/>
    <n v="4.5"/>
  </r>
  <r>
    <n v="1762"/>
    <d v="2024-10-27T00:00:00"/>
    <x v="4"/>
    <s v="Q4"/>
    <x v="9"/>
    <n v="10"/>
    <n v="1284"/>
    <x v="2"/>
    <x v="0"/>
    <n v="2"/>
    <n v="252"/>
    <n v="0.01"/>
    <n v="249.48"/>
    <n v="498.96"/>
    <x v="2"/>
    <n v="10"/>
    <n v="1.8"/>
  </r>
  <r>
    <n v="1763"/>
    <d v="2024-10-28T00:00:00"/>
    <x v="4"/>
    <s v="Q4"/>
    <x v="9"/>
    <n v="10"/>
    <n v="1699"/>
    <x v="2"/>
    <x v="1"/>
    <n v="4"/>
    <n v="525.41999999999996"/>
    <n v="0.33"/>
    <n v="352.03139999999996"/>
    <n v="1408.13"/>
    <x v="2"/>
    <n v="4"/>
    <n v="1.3"/>
  </r>
  <r>
    <n v="1764"/>
    <d v="2024-10-29T00:00:00"/>
    <x v="4"/>
    <s v="Q4"/>
    <x v="9"/>
    <n v="10"/>
    <n v="1081"/>
    <x v="1"/>
    <x v="1"/>
    <n v="3"/>
    <n v="321.95"/>
    <n v="0.3"/>
    <n v="225.36500000000001"/>
    <n v="676.09"/>
    <x v="1"/>
    <n v="11"/>
    <n v="1.4"/>
  </r>
  <r>
    <n v="1765"/>
    <d v="2024-10-30T00:00:00"/>
    <x v="4"/>
    <s v="Q4"/>
    <x v="9"/>
    <n v="10"/>
    <n v="1513"/>
    <x v="1"/>
    <x v="2"/>
    <n v="1"/>
    <n v="28.02"/>
    <n v="0.09"/>
    <n v="25.498200000000001"/>
    <n v="25.5"/>
    <x v="0"/>
    <n v="10"/>
    <n v="3.2"/>
  </r>
  <r>
    <n v="1766"/>
    <d v="2024-10-31T00:00:00"/>
    <x v="4"/>
    <s v="Q4"/>
    <x v="9"/>
    <n v="10"/>
    <n v="1896"/>
    <x v="1"/>
    <x v="3"/>
    <n v="7"/>
    <n v="434.28"/>
    <n v="0.22"/>
    <n v="338.73839999999996"/>
    <n v="2371.17"/>
    <x v="0"/>
    <n v="10"/>
    <n v="3.4"/>
  </r>
  <r>
    <n v="1767"/>
    <d v="2024-11-01T00:00:00"/>
    <x v="4"/>
    <s v="Q4"/>
    <x v="10"/>
    <n v="11"/>
    <n v="1814"/>
    <x v="2"/>
    <x v="1"/>
    <n v="6"/>
    <n v="79.489999999999995"/>
    <n v="0.32"/>
    <n v="54.053199999999997"/>
    <n v="324.32"/>
    <x v="1"/>
    <n v="1"/>
    <n v="2.2999999999999998"/>
  </r>
  <r>
    <n v="1768"/>
    <d v="2024-11-02T00:00:00"/>
    <x v="4"/>
    <s v="Q4"/>
    <x v="10"/>
    <n v="11"/>
    <n v="1708"/>
    <x v="1"/>
    <x v="1"/>
    <n v="5"/>
    <n v="476.79"/>
    <n v="0.03"/>
    <n v="462.48630000000003"/>
    <n v="2312.4299999999998"/>
    <x v="1"/>
    <n v="10"/>
    <n v="2.2000000000000002"/>
  </r>
  <r>
    <n v="1769"/>
    <d v="2024-11-03T00:00:00"/>
    <x v="4"/>
    <s v="Q4"/>
    <x v="10"/>
    <n v="11"/>
    <n v="1915"/>
    <x v="0"/>
    <x v="1"/>
    <n v="3"/>
    <n v="113.34"/>
    <n v="0.18"/>
    <n v="92.938800000000001"/>
    <n v="278.82"/>
    <x v="1"/>
    <n v="8"/>
    <n v="3.1"/>
  </r>
  <r>
    <n v="1770"/>
    <d v="2024-11-04T00:00:00"/>
    <x v="4"/>
    <s v="Q4"/>
    <x v="10"/>
    <n v="11"/>
    <n v="1522"/>
    <x v="1"/>
    <x v="3"/>
    <n v="7"/>
    <n v="217.09"/>
    <n v="0.16"/>
    <n v="182.35560000000001"/>
    <n v="1276.49"/>
    <x v="2"/>
    <n v="5"/>
    <n v="2.2000000000000002"/>
  </r>
  <r>
    <n v="1771"/>
    <d v="2024-11-05T00:00:00"/>
    <x v="4"/>
    <s v="Q4"/>
    <x v="10"/>
    <n v="11"/>
    <n v="1745"/>
    <x v="2"/>
    <x v="3"/>
    <n v="4"/>
    <n v="460.34"/>
    <n v="0.14000000000000001"/>
    <n v="395.89239999999995"/>
    <n v="1583.57"/>
    <x v="0"/>
    <n v="10"/>
    <n v="4.7"/>
  </r>
  <r>
    <n v="1772"/>
    <d v="2024-11-06T00:00:00"/>
    <x v="4"/>
    <s v="Q4"/>
    <x v="10"/>
    <n v="11"/>
    <n v="1385"/>
    <x v="1"/>
    <x v="2"/>
    <n v="3"/>
    <n v="573.23"/>
    <n v="0.28999999999999998"/>
    <n v="406.99330000000003"/>
    <n v="1220.98"/>
    <x v="2"/>
    <n v="4"/>
    <n v="2.5"/>
  </r>
  <r>
    <n v="1773"/>
    <d v="2024-11-07T00:00:00"/>
    <x v="4"/>
    <s v="Q4"/>
    <x v="10"/>
    <n v="11"/>
    <n v="1706"/>
    <x v="2"/>
    <x v="2"/>
    <n v="5"/>
    <n v="232.29"/>
    <n v="0.13"/>
    <n v="202.09229999999999"/>
    <n v="1010.46"/>
    <x v="0"/>
    <n v="3"/>
    <n v="1.9"/>
  </r>
  <r>
    <n v="1774"/>
    <d v="2024-11-08T00:00:00"/>
    <x v="4"/>
    <s v="Q4"/>
    <x v="10"/>
    <n v="11"/>
    <n v="1470"/>
    <x v="3"/>
    <x v="1"/>
    <n v="7"/>
    <n v="500.2"/>
    <n v="0.02"/>
    <n v="490.19599999999997"/>
    <n v="3431.37"/>
    <x v="1"/>
    <n v="9"/>
    <n v="1.6"/>
  </r>
  <r>
    <n v="1775"/>
    <d v="2024-11-09T00:00:00"/>
    <x v="4"/>
    <s v="Q4"/>
    <x v="10"/>
    <n v="11"/>
    <n v="1118"/>
    <x v="3"/>
    <x v="3"/>
    <n v="6"/>
    <n v="126.61"/>
    <n v="0.02"/>
    <n v="124.0778"/>
    <n v="744.47"/>
    <x v="2"/>
    <n v="6"/>
    <n v="3.5"/>
  </r>
  <r>
    <n v="1776"/>
    <d v="2024-11-10T00:00:00"/>
    <x v="4"/>
    <s v="Q4"/>
    <x v="10"/>
    <n v="11"/>
    <n v="1395"/>
    <x v="1"/>
    <x v="0"/>
    <n v="1"/>
    <n v="487.2"/>
    <n v="0.01"/>
    <n v="482.32799999999997"/>
    <n v="482.33"/>
    <x v="1"/>
    <n v="1"/>
    <n v="2.2999999999999998"/>
  </r>
  <r>
    <n v="1777"/>
    <d v="2024-11-11T00:00:00"/>
    <x v="4"/>
    <s v="Q4"/>
    <x v="10"/>
    <n v="11"/>
    <n v="1531"/>
    <x v="1"/>
    <x v="1"/>
    <n v="5"/>
    <n v="399.63"/>
    <n v="0.14000000000000001"/>
    <n v="343.68180000000001"/>
    <n v="1718.41"/>
    <x v="1"/>
    <n v="8"/>
    <n v="1.8"/>
  </r>
  <r>
    <n v="1778"/>
    <d v="2024-11-12T00:00:00"/>
    <x v="4"/>
    <s v="Q4"/>
    <x v="10"/>
    <n v="11"/>
    <n v="1260"/>
    <x v="3"/>
    <x v="2"/>
    <n v="7"/>
    <n v="127.75"/>
    <n v="0.25"/>
    <n v="95.8125"/>
    <n v="670.69"/>
    <x v="2"/>
    <n v="10"/>
    <n v="2.1"/>
  </r>
  <r>
    <n v="1779"/>
    <d v="2024-11-13T00:00:00"/>
    <x v="4"/>
    <s v="Q4"/>
    <x v="10"/>
    <n v="11"/>
    <n v="1804"/>
    <x v="1"/>
    <x v="3"/>
    <n v="6"/>
    <n v="191.96"/>
    <n v="7.0000000000000007E-2"/>
    <n v="178.52280000000002"/>
    <n v="1071.1400000000001"/>
    <x v="1"/>
    <n v="2"/>
    <n v="2.2000000000000002"/>
  </r>
  <r>
    <n v="1780"/>
    <d v="2024-11-14T00:00:00"/>
    <x v="4"/>
    <s v="Q4"/>
    <x v="10"/>
    <n v="11"/>
    <n v="1933"/>
    <x v="3"/>
    <x v="2"/>
    <n v="4"/>
    <n v="92.09"/>
    <n v="0.23"/>
    <n v="70.909300000000002"/>
    <n v="283.64"/>
    <x v="2"/>
    <n v="9"/>
    <n v="3.5"/>
  </r>
  <r>
    <n v="1781"/>
    <d v="2024-11-15T00:00:00"/>
    <x v="4"/>
    <s v="Q4"/>
    <x v="10"/>
    <n v="11"/>
    <n v="1255"/>
    <x v="1"/>
    <x v="2"/>
    <n v="5"/>
    <n v="239.04"/>
    <n v="0.24"/>
    <n v="181.6704"/>
    <n v="908.35"/>
    <x v="2"/>
    <n v="11"/>
    <n v="1.7"/>
  </r>
  <r>
    <n v="1782"/>
    <d v="2024-11-16T00:00:00"/>
    <x v="4"/>
    <s v="Q4"/>
    <x v="10"/>
    <n v="11"/>
    <n v="1733"/>
    <x v="3"/>
    <x v="3"/>
    <n v="3"/>
    <n v="134.13"/>
    <n v="0.09"/>
    <n v="122.0583"/>
    <n v="366.17"/>
    <x v="0"/>
    <n v="7"/>
    <n v="3.9"/>
  </r>
  <r>
    <n v="1783"/>
    <d v="2024-11-17T00:00:00"/>
    <x v="4"/>
    <s v="Q4"/>
    <x v="10"/>
    <n v="11"/>
    <n v="1904"/>
    <x v="1"/>
    <x v="1"/>
    <n v="2"/>
    <n v="391.74"/>
    <n v="0.21"/>
    <n v="309.47460000000001"/>
    <n v="618.95000000000005"/>
    <x v="1"/>
    <n v="3"/>
    <n v="2.2000000000000002"/>
  </r>
  <r>
    <n v="1784"/>
    <d v="2024-11-18T00:00:00"/>
    <x v="4"/>
    <s v="Q4"/>
    <x v="10"/>
    <n v="11"/>
    <n v="1225"/>
    <x v="1"/>
    <x v="3"/>
    <n v="3"/>
    <n v="596.79"/>
    <n v="0.24"/>
    <n v="453.56039999999996"/>
    <n v="1360.68"/>
    <x v="2"/>
    <n v="4"/>
    <n v="3"/>
  </r>
  <r>
    <n v="1785"/>
    <d v="2024-11-19T00:00:00"/>
    <x v="4"/>
    <s v="Q4"/>
    <x v="10"/>
    <n v="11"/>
    <n v="1052"/>
    <x v="0"/>
    <x v="1"/>
    <n v="4"/>
    <n v="22.03"/>
    <n v="0.16"/>
    <n v="18.505200000000002"/>
    <n v="74.02"/>
    <x v="0"/>
    <n v="3"/>
    <n v="3.6"/>
  </r>
  <r>
    <n v="1786"/>
    <d v="2024-11-20T00:00:00"/>
    <x v="4"/>
    <s v="Q4"/>
    <x v="10"/>
    <n v="11"/>
    <n v="1939"/>
    <x v="1"/>
    <x v="2"/>
    <n v="7"/>
    <n v="331.44"/>
    <n v="0.12"/>
    <n v="291.66719999999998"/>
    <n v="2041.67"/>
    <x v="0"/>
    <n v="6"/>
    <n v="3.2"/>
  </r>
  <r>
    <n v="1787"/>
    <d v="2024-11-21T00:00:00"/>
    <x v="4"/>
    <s v="Q4"/>
    <x v="10"/>
    <n v="11"/>
    <n v="1866"/>
    <x v="1"/>
    <x v="3"/>
    <n v="1"/>
    <n v="350.59"/>
    <n v="0.22"/>
    <n v="273.46019999999999"/>
    <n v="273.45999999999998"/>
    <x v="2"/>
    <n v="9"/>
    <n v="3.6"/>
  </r>
  <r>
    <n v="1788"/>
    <d v="2024-11-22T00:00:00"/>
    <x v="4"/>
    <s v="Q4"/>
    <x v="10"/>
    <n v="11"/>
    <n v="1499"/>
    <x v="2"/>
    <x v="0"/>
    <n v="5"/>
    <n v="549.80999999999995"/>
    <n v="0.34"/>
    <n v="362.87459999999999"/>
    <n v="1814.37"/>
    <x v="2"/>
    <n v="10"/>
    <n v="2.2999999999999998"/>
  </r>
  <r>
    <n v="1789"/>
    <d v="2024-11-23T00:00:00"/>
    <x v="4"/>
    <s v="Q4"/>
    <x v="10"/>
    <n v="11"/>
    <n v="1505"/>
    <x v="1"/>
    <x v="1"/>
    <n v="7"/>
    <n v="311.01"/>
    <n v="0.15"/>
    <n v="264.35849999999999"/>
    <n v="1850.51"/>
    <x v="1"/>
    <n v="9"/>
    <n v="4.9000000000000004"/>
  </r>
  <r>
    <n v="1790"/>
    <d v="2024-11-24T00:00:00"/>
    <x v="4"/>
    <s v="Q4"/>
    <x v="10"/>
    <n v="11"/>
    <n v="1853"/>
    <x v="1"/>
    <x v="0"/>
    <n v="1"/>
    <n v="333.07"/>
    <n v="0.14000000000000001"/>
    <n v="286.4402"/>
    <n v="286.44"/>
    <x v="2"/>
    <n v="1"/>
    <n v="2.8"/>
  </r>
  <r>
    <n v="1791"/>
    <d v="2024-11-25T00:00:00"/>
    <x v="4"/>
    <s v="Q4"/>
    <x v="10"/>
    <n v="11"/>
    <n v="1363"/>
    <x v="2"/>
    <x v="1"/>
    <n v="4"/>
    <n v="290.92"/>
    <n v="0.16"/>
    <n v="244.37280000000001"/>
    <n v="977.49"/>
    <x v="2"/>
    <n v="10"/>
    <n v="2.2999999999999998"/>
  </r>
  <r>
    <n v="1792"/>
    <d v="2024-11-26T00:00:00"/>
    <x v="4"/>
    <s v="Q4"/>
    <x v="10"/>
    <n v="11"/>
    <n v="1279"/>
    <x v="2"/>
    <x v="3"/>
    <n v="5"/>
    <n v="172.31"/>
    <n v="0.03"/>
    <n v="167.14070000000001"/>
    <n v="835.7"/>
    <x v="2"/>
    <n v="6"/>
    <n v="2.2000000000000002"/>
  </r>
  <r>
    <n v="1793"/>
    <d v="2024-11-27T00:00:00"/>
    <x v="4"/>
    <s v="Q4"/>
    <x v="10"/>
    <n v="11"/>
    <n v="1592"/>
    <x v="1"/>
    <x v="0"/>
    <n v="6"/>
    <n v="47.78"/>
    <n v="0.19"/>
    <n v="38.701799999999999"/>
    <n v="232.21"/>
    <x v="2"/>
    <n v="1"/>
    <n v="1.2"/>
  </r>
  <r>
    <n v="1794"/>
    <d v="2024-11-28T00:00:00"/>
    <x v="4"/>
    <s v="Q4"/>
    <x v="10"/>
    <n v="11"/>
    <n v="1713"/>
    <x v="3"/>
    <x v="3"/>
    <n v="6"/>
    <n v="254.06"/>
    <n v="0.12"/>
    <n v="223.5728"/>
    <n v="1341.44"/>
    <x v="1"/>
    <n v="11"/>
    <n v="3.7"/>
  </r>
  <r>
    <n v="1795"/>
    <d v="2024-11-29T00:00:00"/>
    <x v="4"/>
    <s v="Q4"/>
    <x v="10"/>
    <n v="11"/>
    <n v="1157"/>
    <x v="1"/>
    <x v="1"/>
    <n v="7"/>
    <n v="45.77"/>
    <n v="0.04"/>
    <n v="43.9392"/>
    <n v="307.57"/>
    <x v="1"/>
    <n v="4"/>
    <n v="2.1"/>
  </r>
  <r>
    <n v="1796"/>
    <d v="2024-11-30T00:00:00"/>
    <x v="4"/>
    <s v="Q4"/>
    <x v="10"/>
    <n v="11"/>
    <n v="1631"/>
    <x v="2"/>
    <x v="1"/>
    <n v="3"/>
    <n v="337.04"/>
    <n v="0.16"/>
    <n v="283.11360000000002"/>
    <n v="849.34"/>
    <x v="2"/>
    <n v="7"/>
    <n v="4.8"/>
  </r>
  <r>
    <n v="1797"/>
    <d v="2024-12-01T00:00:00"/>
    <x v="4"/>
    <s v="Q4"/>
    <x v="11"/>
    <n v="12"/>
    <n v="1058"/>
    <x v="3"/>
    <x v="1"/>
    <n v="7"/>
    <n v="194.77"/>
    <n v="0"/>
    <n v="194.77"/>
    <n v="1363.39"/>
    <x v="1"/>
    <n v="4"/>
    <n v="1.8"/>
  </r>
  <r>
    <n v="1798"/>
    <d v="2024-12-02T00:00:00"/>
    <x v="4"/>
    <s v="Q4"/>
    <x v="11"/>
    <n v="12"/>
    <n v="1726"/>
    <x v="2"/>
    <x v="1"/>
    <n v="3"/>
    <n v="327.16000000000003"/>
    <n v="0.14000000000000001"/>
    <n v="281.35760000000005"/>
    <n v="844.07"/>
    <x v="1"/>
    <n v="9"/>
    <n v="3.1"/>
  </r>
  <r>
    <n v="1799"/>
    <d v="2024-12-03T00:00:00"/>
    <x v="4"/>
    <s v="Q4"/>
    <x v="11"/>
    <n v="12"/>
    <n v="1127"/>
    <x v="1"/>
    <x v="2"/>
    <n v="4"/>
    <n v="93.56"/>
    <n v="0.04"/>
    <n v="89.817599999999999"/>
    <n v="359.27"/>
    <x v="1"/>
    <n v="10"/>
    <n v="3.9"/>
  </r>
  <r>
    <n v="1800"/>
    <d v="2024-12-04T00:00:00"/>
    <x v="4"/>
    <s v="Q4"/>
    <x v="11"/>
    <n v="12"/>
    <n v="1735"/>
    <x v="2"/>
    <x v="1"/>
    <n v="6"/>
    <n v="560.59"/>
    <n v="0.01"/>
    <n v="554.98410000000001"/>
    <n v="3329.9"/>
    <x v="1"/>
    <n v="5"/>
    <n v="4.5"/>
  </r>
  <r>
    <n v="1801"/>
    <d v="2024-12-05T00:00:00"/>
    <x v="4"/>
    <s v="Q4"/>
    <x v="11"/>
    <n v="12"/>
    <n v="1720"/>
    <x v="2"/>
    <x v="0"/>
    <n v="5"/>
    <n v="538.29"/>
    <n v="0.28999999999999998"/>
    <n v="382.18589999999995"/>
    <n v="1910.93"/>
    <x v="0"/>
    <n v="9"/>
    <n v="1.6"/>
  </r>
  <r>
    <n v="1802"/>
    <d v="2024-12-06T00:00:00"/>
    <x v="4"/>
    <s v="Q4"/>
    <x v="11"/>
    <n v="12"/>
    <n v="1881"/>
    <x v="2"/>
    <x v="1"/>
    <n v="6"/>
    <n v="126.15"/>
    <n v="0.32"/>
    <n v="85.782000000000011"/>
    <n v="514.69000000000005"/>
    <x v="2"/>
    <n v="1"/>
    <n v="4.9000000000000004"/>
  </r>
  <r>
    <n v="1803"/>
    <d v="2024-12-07T00:00:00"/>
    <x v="4"/>
    <s v="Q4"/>
    <x v="11"/>
    <n v="12"/>
    <n v="1114"/>
    <x v="1"/>
    <x v="3"/>
    <n v="3"/>
    <n v="215.91"/>
    <n v="7.0000000000000007E-2"/>
    <n v="200.7963"/>
    <n v="602.39"/>
    <x v="1"/>
    <n v="4"/>
    <n v="4.5999999999999996"/>
  </r>
  <r>
    <n v="1804"/>
    <d v="2024-12-08T00:00:00"/>
    <x v="4"/>
    <s v="Q4"/>
    <x v="11"/>
    <n v="12"/>
    <n v="1208"/>
    <x v="2"/>
    <x v="2"/>
    <n v="7"/>
    <n v="373.89"/>
    <n v="0.19"/>
    <n v="302.85089999999997"/>
    <n v="2119.96"/>
    <x v="2"/>
    <n v="7"/>
    <n v="4.9000000000000004"/>
  </r>
  <r>
    <n v="1805"/>
    <d v="2024-12-09T00:00:00"/>
    <x v="4"/>
    <s v="Q4"/>
    <x v="11"/>
    <n v="12"/>
    <n v="1525"/>
    <x v="1"/>
    <x v="0"/>
    <n v="4"/>
    <n v="70.98"/>
    <n v="0.1"/>
    <n v="63.882000000000005"/>
    <n v="255.53"/>
    <x v="1"/>
    <n v="2"/>
    <n v="4.4000000000000004"/>
  </r>
  <r>
    <n v="1806"/>
    <d v="2024-12-10T00:00:00"/>
    <x v="4"/>
    <s v="Q4"/>
    <x v="11"/>
    <n v="12"/>
    <n v="1520"/>
    <x v="1"/>
    <x v="2"/>
    <n v="6"/>
    <n v="222.42"/>
    <n v="0.17"/>
    <n v="184.6086"/>
    <n v="1107.6500000000001"/>
    <x v="2"/>
    <n v="9"/>
    <n v="4.5"/>
  </r>
  <r>
    <n v="1807"/>
    <d v="2024-12-11T00:00:00"/>
    <x v="4"/>
    <s v="Q4"/>
    <x v="11"/>
    <n v="12"/>
    <n v="1551"/>
    <x v="1"/>
    <x v="2"/>
    <n v="4"/>
    <n v="161.9"/>
    <n v="0.15"/>
    <n v="137.61500000000001"/>
    <n v="550.46"/>
    <x v="1"/>
    <n v="3"/>
    <n v="3.4"/>
  </r>
  <r>
    <n v="1808"/>
    <d v="2024-12-12T00:00:00"/>
    <x v="4"/>
    <s v="Q4"/>
    <x v="11"/>
    <n v="12"/>
    <n v="1961"/>
    <x v="1"/>
    <x v="2"/>
    <n v="6"/>
    <n v="550.58000000000004"/>
    <n v="0.09"/>
    <n v="501.02780000000007"/>
    <n v="3006.17"/>
    <x v="0"/>
    <n v="4"/>
    <n v="4.4000000000000004"/>
  </r>
  <r>
    <n v="1809"/>
    <d v="2024-12-13T00:00:00"/>
    <x v="4"/>
    <s v="Q4"/>
    <x v="11"/>
    <n v="12"/>
    <n v="1236"/>
    <x v="3"/>
    <x v="3"/>
    <n v="7"/>
    <n v="513.72"/>
    <n v="0.25"/>
    <n v="385.29"/>
    <n v="2697.03"/>
    <x v="1"/>
    <n v="4"/>
    <n v="3.1"/>
  </r>
  <r>
    <n v="1810"/>
    <d v="2024-12-14T00:00:00"/>
    <x v="4"/>
    <s v="Q4"/>
    <x v="11"/>
    <n v="12"/>
    <n v="1280"/>
    <x v="2"/>
    <x v="2"/>
    <n v="1"/>
    <n v="354.2"/>
    <n v="0.04"/>
    <n v="340.03199999999998"/>
    <n v="340.03"/>
    <x v="2"/>
    <n v="8"/>
    <n v="3.2"/>
  </r>
  <r>
    <n v="1811"/>
    <d v="2024-12-15T00:00:00"/>
    <x v="4"/>
    <s v="Q4"/>
    <x v="11"/>
    <n v="12"/>
    <n v="1358"/>
    <x v="1"/>
    <x v="2"/>
    <n v="7"/>
    <n v="319.39999999999998"/>
    <n v="0.02"/>
    <n v="313.012"/>
    <n v="2191.08"/>
    <x v="0"/>
    <n v="2"/>
    <n v="3.3"/>
  </r>
  <r>
    <n v="1812"/>
    <d v="2024-12-16T00:00:00"/>
    <x v="4"/>
    <s v="Q4"/>
    <x v="11"/>
    <n v="12"/>
    <n v="1200"/>
    <x v="2"/>
    <x v="1"/>
    <n v="6"/>
    <n v="559.47"/>
    <n v="0.27"/>
    <n v="408.41309999999999"/>
    <n v="2450.48"/>
    <x v="0"/>
    <n v="5"/>
    <n v="5"/>
  </r>
  <r>
    <n v="1813"/>
    <d v="2024-12-17T00:00:00"/>
    <x v="4"/>
    <s v="Q4"/>
    <x v="11"/>
    <n v="12"/>
    <n v="1757"/>
    <x v="2"/>
    <x v="3"/>
    <n v="3"/>
    <n v="560.47"/>
    <n v="0.23"/>
    <n v="431.56190000000004"/>
    <n v="1294.69"/>
    <x v="1"/>
    <n v="2"/>
    <n v="1.4"/>
  </r>
  <r>
    <n v="1814"/>
    <d v="2024-12-18T00:00:00"/>
    <x v="4"/>
    <s v="Q4"/>
    <x v="11"/>
    <n v="12"/>
    <n v="1277"/>
    <x v="1"/>
    <x v="0"/>
    <n v="7"/>
    <n v="582.05999999999995"/>
    <n v="0.17"/>
    <n v="483.10979999999995"/>
    <n v="3381.77"/>
    <x v="2"/>
    <n v="6"/>
    <n v="4.2"/>
  </r>
  <r>
    <n v="1815"/>
    <d v="2024-12-19T00:00:00"/>
    <x v="4"/>
    <s v="Q4"/>
    <x v="11"/>
    <n v="12"/>
    <n v="1234"/>
    <x v="1"/>
    <x v="0"/>
    <n v="5"/>
    <n v="88.35"/>
    <n v="0.16"/>
    <n v="74.213999999999999"/>
    <n v="371.07"/>
    <x v="1"/>
    <n v="9"/>
    <n v="2.1"/>
  </r>
  <r>
    <n v="1816"/>
    <d v="2024-12-20T00:00:00"/>
    <x v="4"/>
    <s v="Q4"/>
    <x v="11"/>
    <n v="12"/>
    <n v="1493"/>
    <x v="0"/>
    <x v="0"/>
    <n v="3"/>
    <n v="108.93"/>
    <n v="0.17"/>
    <n v="90.411900000000003"/>
    <n v="271.24"/>
    <x v="2"/>
    <n v="9"/>
    <n v="2.4"/>
  </r>
  <r>
    <n v="1817"/>
    <d v="2024-12-21T00:00:00"/>
    <x v="4"/>
    <s v="Q4"/>
    <x v="11"/>
    <n v="12"/>
    <n v="1003"/>
    <x v="1"/>
    <x v="3"/>
    <n v="3"/>
    <n v="410.89"/>
    <n v="0.15"/>
    <n v="349.25649999999996"/>
    <n v="1047.77"/>
    <x v="1"/>
    <n v="1"/>
    <n v="1.3"/>
  </r>
  <r>
    <n v="1818"/>
    <d v="2024-12-22T00:00:00"/>
    <x v="4"/>
    <s v="Q4"/>
    <x v="11"/>
    <n v="12"/>
    <n v="1665"/>
    <x v="0"/>
    <x v="0"/>
    <n v="3"/>
    <n v="331.74"/>
    <n v="0.14000000000000001"/>
    <n v="285.29640000000001"/>
    <n v="855.89"/>
    <x v="0"/>
    <n v="4"/>
    <n v="2.4"/>
  </r>
  <r>
    <n v="1819"/>
    <d v="2024-12-23T00:00:00"/>
    <x v="4"/>
    <s v="Q4"/>
    <x v="11"/>
    <n v="12"/>
    <n v="1441"/>
    <x v="2"/>
    <x v="3"/>
    <n v="4"/>
    <n v="25.8"/>
    <n v="0.17"/>
    <n v="21.414000000000001"/>
    <n v="85.66"/>
    <x v="1"/>
    <n v="4"/>
    <n v="5"/>
  </r>
  <r>
    <n v="1820"/>
    <d v="2024-12-24T00:00:00"/>
    <x v="4"/>
    <s v="Q4"/>
    <x v="11"/>
    <n v="12"/>
    <n v="1028"/>
    <x v="2"/>
    <x v="1"/>
    <n v="2"/>
    <n v="51.26"/>
    <n v="0.18"/>
    <n v="42.033200000000001"/>
    <n v="84.07"/>
    <x v="2"/>
    <n v="1"/>
    <n v="2.6"/>
  </r>
  <r>
    <n v="1821"/>
    <d v="2024-12-25T00:00:00"/>
    <x v="4"/>
    <s v="Q4"/>
    <x v="11"/>
    <n v="12"/>
    <n v="1108"/>
    <x v="2"/>
    <x v="1"/>
    <n v="2"/>
    <n v="534.53"/>
    <n v="0.24"/>
    <n v="406.24279999999999"/>
    <n v="812.49"/>
    <x v="2"/>
    <n v="10"/>
    <n v="3.7"/>
  </r>
  <r>
    <n v="1822"/>
    <d v="2024-12-26T00:00:00"/>
    <x v="4"/>
    <s v="Q4"/>
    <x v="11"/>
    <n v="12"/>
    <n v="1609"/>
    <x v="2"/>
    <x v="3"/>
    <n v="1"/>
    <n v="523.29"/>
    <n v="0.25"/>
    <n v="392.46749999999997"/>
    <n v="392.47"/>
    <x v="0"/>
    <n v="2"/>
    <n v="1.5"/>
  </r>
  <r>
    <n v="1823"/>
    <d v="2024-12-27T00:00:00"/>
    <x v="4"/>
    <s v="Q4"/>
    <x v="11"/>
    <n v="12"/>
    <n v="1726"/>
    <x v="1"/>
    <x v="0"/>
    <n v="3"/>
    <n v="224"/>
    <n v="0.13"/>
    <n v="194.88"/>
    <n v="584.64"/>
    <x v="2"/>
    <n v="6"/>
    <n v="4.7"/>
  </r>
  <r>
    <n v="1824"/>
    <d v="2024-12-28T00:00:00"/>
    <x v="4"/>
    <s v="Q4"/>
    <x v="11"/>
    <n v="12"/>
    <n v="1804"/>
    <x v="1"/>
    <x v="3"/>
    <n v="2"/>
    <n v="536.26"/>
    <n v="0.14000000000000001"/>
    <n v="461.18359999999996"/>
    <n v="922.37"/>
    <x v="1"/>
    <n v="10"/>
    <n v="4.3"/>
  </r>
  <r>
    <n v="1825"/>
    <d v="2024-12-29T00:00:00"/>
    <x v="4"/>
    <s v="Q4"/>
    <x v="11"/>
    <n v="12"/>
    <n v="1074"/>
    <x v="2"/>
    <x v="3"/>
    <n v="1"/>
    <n v="362.3"/>
    <n v="0.13"/>
    <n v="315.20100000000002"/>
    <n v="315.2"/>
    <x v="1"/>
    <n v="3"/>
    <n v="2.5"/>
  </r>
  <r>
    <n v="1826"/>
    <d v="2024-12-30T00:00:00"/>
    <x v="4"/>
    <s v="Q4"/>
    <x v="11"/>
    <n v="12"/>
    <n v="1837"/>
    <x v="0"/>
    <x v="2"/>
    <n v="4"/>
    <n v="486.45"/>
    <n v="0.19"/>
    <n v="394.02449999999999"/>
    <n v="1576.1"/>
    <x v="1"/>
    <n v="9"/>
    <n v="2.4"/>
  </r>
  <r>
    <n v="1827"/>
    <d v="2024-12-31T00:00:00"/>
    <x v="4"/>
    <s v="Q4"/>
    <x v="11"/>
    <n v="12"/>
    <n v="1145"/>
    <x v="3"/>
    <x v="3"/>
    <n v="3"/>
    <n v="265.05"/>
    <n v="0.16"/>
    <n v="222.642"/>
    <n v="667.93"/>
    <x v="2"/>
    <n v="3"/>
    <n v="2.7"/>
  </r>
  <r>
    <n v="1828"/>
    <d v="2025-01-01T00:00:00"/>
    <x v="5"/>
    <s v="Q1"/>
    <x v="0"/>
    <n v="1"/>
    <n v="1127"/>
    <x v="2"/>
    <x v="2"/>
    <n v="5"/>
    <n v="81.34"/>
    <n v="0.31"/>
    <n v="56.124600000000001"/>
    <n v="280.62"/>
    <x v="2"/>
    <n v="3"/>
    <n v="2.6"/>
  </r>
  <r>
    <n v="1829"/>
    <d v="2025-01-02T00:00:00"/>
    <x v="5"/>
    <s v="Q1"/>
    <x v="0"/>
    <n v="1"/>
    <n v="1852"/>
    <x v="2"/>
    <x v="1"/>
    <n v="4"/>
    <n v="268.73"/>
    <n v="0.24"/>
    <n v="204.23480000000001"/>
    <n v="816.94"/>
    <x v="2"/>
    <n v="9"/>
    <n v="2"/>
  </r>
  <r>
    <n v="1830"/>
    <d v="2025-01-03T00:00:00"/>
    <x v="5"/>
    <s v="Q1"/>
    <x v="0"/>
    <n v="1"/>
    <n v="1041"/>
    <x v="2"/>
    <x v="2"/>
    <n v="1"/>
    <n v="282.52"/>
    <n v="0.31"/>
    <n v="194.93879999999999"/>
    <n v="194.94"/>
    <x v="1"/>
    <n v="3"/>
    <n v="5"/>
  </r>
  <r>
    <n v="1831"/>
    <d v="2025-01-04T00:00:00"/>
    <x v="5"/>
    <s v="Q1"/>
    <x v="0"/>
    <n v="1"/>
    <n v="1355"/>
    <x v="2"/>
    <x v="3"/>
    <n v="4"/>
    <n v="337.3"/>
    <n v="0.25"/>
    <n v="252.97500000000002"/>
    <n v="1011.9"/>
    <x v="2"/>
    <n v="6"/>
    <n v="4.2"/>
  </r>
  <r>
    <n v="1832"/>
    <d v="2025-01-05T00:00:00"/>
    <x v="5"/>
    <s v="Q1"/>
    <x v="0"/>
    <n v="1"/>
    <n v="1040"/>
    <x v="2"/>
    <x v="1"/>
    <n v="5"/>
    <n v="76.77"/>
    <n v="0.34"/>
    <n v="50.668199999999999"/>
    <n v="253.34"/>
    <x v="2"/>
    <n v="6"/>
    <n v="2.1"/>
  </r>
  <r>
    <n v="1833"/>
    <d v="2025-01-06T00:00:00"/>
    <x v="5"/>
    <s v="Q1"/>
    <x v="0"/>
    <n v="1"/>
    <n v="1933"/>
    <x v="1"/>
    <x v="2"/>
    <n v="4"/>
    <n v="594.97"/>
    <n v="0.22"/>
    <n v="464.07659999999998"/>
    <n v="1856.31"/>
    <x v="0"/>
    <n v="1"/>
    <n v="4.9000000000000004"/>
  </r>
  <r>
    <n v="1834"/>
    <d v="2025-01-07T00:00:00"/>
    <x v="5"/>
    <s v="Q1"/>
    <x v="0"/>
    <n v="1"/>
    <n v="1033"/>
    <x v="2"/>
    <x v="3"/>
    <n v="1"/>
    <n v="157.82"/>
    <n v="0.34"/>
    <n v="104.16119999999999"/>
    <n v="104.16"/>
    <x v="2"/>
    <n v="7"/>
    <n v="1.1000000000000001"/>
  </r>
  <r>
    <n v="1835"/>
    <d v="2025-01-08T00:00:00"/>
    <x v="5"/>
    <s v="Q1"/>
    <x v="0"/>
    <n v="1"/>
    <n v="1016"/>
    <x v="1"/>
    <x v="1"/>
    <n v="5"/>
    <n v="131.15"/>
    <n v="0.06"/>
    <n v="123.28100000000001"/>
    <n v="616.4"/>
    <x v="1"/>
    <n v="9"/>
    <n v="2.8"/>
  </r>
  <r>
    <n v="1836"/>
    <d v="2025-01-09T00:00:00"/>
    <x v="5"/>
    <s v="Q1"/>
    <x v="0"/>
    <n v="1"/>
    <n v="1676"/>
    <x v="0"/>
    <x v="2"/>
    <n v="5"/>
    <n v="323.18"/>
    <n v="0.02"/>
    <n v="316.71640000000002"/>
    <n v="1583.58"/>
    <x v="1"/>
    <n v="9"/>
    <n v="3.3"/>
  </r>
  <r>
    <n v="1837"/>
    <d v="2025-01-10T00:00:00"/>
    <x v="5"/>
    <s v="Q1"/>
    <x v="0"/>
    <n v="1"/>
    <n v="1152"/>
    <x v="3"/>
    <x v="3"/>
    <n v="4"/>
    <n v="329.27"/>
    <n v="0.2"/>
    <n v="263.416"/>
    <n v="1053.6600000000001"/>
    <x v="1"/>
    <n v="9"/>
    <n v="1.2"/>
  </r>
  <r>
    <n v="1838"/>
    <d v="2025-01-11T00:00:00"/>
    <x v="5"/>
    <s v="Q1"/>
    <x v="0"/>
    <n v="1"/>
    <n v="1997"/>
    <x v="0"/>
    <x v="3"/>
    <n v="5"/>
    <n v="272.3"/>
    <n v="0.34"/>
    <n v="179.71800000000002"/>
    <n v="898.59"/>
    <x v="2"/>
    <n v="2"/>
    <n v="1.6"/>
  </r>
  <r>
    <n v="1839"/>
    <d v="2025-01-12T00:00:00"/>
    <x v="5"/>
    <s v="Q1"/>
    <x v="0"/>
    <n v="1"/>
    <n v="1377"/>
    <x v="2"/>
    <x v="0"/>
    <n v="7"/>
    <n v="466.56"/>
    <n v="0.15"/>
    <n v="396.57600000000002"/>
    <n v="2776.03"/>
    <x v="2"/>
    <n v="1"/>
    <n v="2"/>
  </r>
  <r>
    <n v="1840"/>
    <d v="2025-01-13T00:00:00"/>
    <x v="5"/>
    <s v="Q1"/>
    <x v="0"/>
    <n v="1"/>
    <n v="1587"/>
    <x v="1"/>
    <x v="0"/>
    <n v="4"/>
    <n v="317.24"/>
    <n v="7.0000000000000007E-2"/>
    <n v="295.03320000000002"/>
    <n v="1180.1300000000001"/>
    <x v="1"/>
    <n v="6"/>
    <n v="3.9"/>
  </r>
  <r>
    <n v="1841"/>
    <d v="2025-01-14T00:00:00"/>
    <x v="5"/>
    <s v="Q1"/>
    <x v="0"/>
    <n v="1"/>
    <n v="1598"/>
    <x v="1"/>
    <x v="2"/>
    <n v="3"/>
    <n v="371.67"/>
    <n v="0.18"/>
    <n v="304.76940000000002"/>
    <n v="914.31"/>
    <x v="1"/>
    <n v="6"/>
    <n v="4.8"/>
  </r>
  <r>
    <n v="1842"/>
    <d v="2025-01-15T00:00:00"/>
    <x v="5"/>
    <s v="Q1"/>
    <x v="0"/>
    <n v="1"/>
    <n v="1628"/>
    <x v="2"/>
    <x v="2"/>
    <n v="5"/>
    <n v="438.39"/>
    <n v="0.23"/>
    <n v="337.56029999999998"/>
    <n v="1687.8"/>
    <x v="1"/>
    <n v="4"/>
    <n v="3.5"/>
  </r>
  <r>
    <n v="1843"/>
    <d v="2025-01-16T00:00:00"/>
    <x v="5"/>
    <s v="Q1"/>
    <x v="0"/>
    <n v="1"/>
    <n v="1873"/>
    <x v="2"/>
    <x v="2"/>
    <n v="4"/>
    <n v="29.64"/>
    <n v="0.11"/>
    <n v="26.3796"/>
    <n v="105.52"/>
    <x v="0"/>
    <n v="8"/>
    <n v="3.3"/>
  </r>
  <r>
    <n v="1844"/>
    <d v="2025-01-17T00:00:00"/>
    <x v="5"/>
    <s v="Q1"/>
    <x v="0"/>
    <n v="1"/>
    <n v="1341"/>
    <x v="3"/>
    <x v="3"/>
    <n v="3"/>
    <n v="348.83"/>
    <n v="0.25"/>
    <n v="261.6225"/>
    <n v="784.87"/>
    <x v="1"/>
    <n v="5"/>
    <n v="3.1"/>
  </r>
  <r>
    <n v="1845"/>
    <d v="2025-01-18T00:00:00"/>
    <x v="5"/>
    <s v="Q1"/>
    <x v="0"/>
    <n v="1"/>
    <n v="1980"/>
    <x v="1"/>
    <x v="2"/>
    <n v="5"/>
    <n v="532.25"/>
    <n v="0.34"/>
    <n v="351.28499999999997"/>
    <n v="1756.42"/>
    <x v="1"/>
    <n v="7"/>
    <n v="2.4"/>
  </r>
  <r>
    <n v="1846"/>
    <d v="2025-01-19T00:00:00"/>
    <x v="5"/>
    <s v="Q1"/>
    <x v="0"/>
    <n v="1"/>
    <n v="1026"/>
    <x v="1"/>
    <x v="3"/>
    <n v="3"/>
    <n v="25.17"/>
    <n v="0.31"/>
    <n v="17.3673"/>
    <n v="52.1"/>
    <x v="1"/>
    <n v="9"/>
    <n v="4.3"/>
  </r>
  <r>
    <n v="1847"/>
    <d v="2025-01-20T00:00:00"/>
    <x v="5"/>
    <s v="Q1"/>
    <x v="0"/>
    <n v="1"/>
    <n v="1824"/>
    <x v="1"/>
    <x v="2"/>
    <n v="6"/>
    <n v="252.03"/>
    <n v="0.1"/>
    <n v="226.827"/>
    <n v="1360.96"/>
    <x v="1"/>
    <n v="1"/>
    <n v="3.2"/>
  </r>
  <r>
    <n v="1848"/>
    <d v="2025-01-21T00:00:00"/>
    <x v="5"/>
    <s v="Q1"/>
    <x v="0"/>
    <n v="1"/>
    <n v="1286"/>
    <x v="1"/>
    <x v="3"/>
    <n v="5"/>
    <n v="556.84"/>
    <n v="0.11"/>
    <n v="495.58760000000001"/>
    <n v="2477.94"/>
    <x v="2"/>
    <n v="9"/>
    <n v="1.9"/>
  </r>
  <r>
    <n v="1849"/>
    <d v="2025-01-22T00:00:00"/>
    <x v="5"/>
    <s v="Q1"/>
    <x v="0"/>
    <n v="1"/>
    <n v="1645"/>
    <x v="2"/>
    <x v="3"/>
    <n v="6"/>
    <n v="221.6"/>
    <n v="0.13"/>
    <n v="192.792"/>
    <n v="1156.75"/>
    <x v="0"/>
    <n v="4"/>
    <n v="1.5"/>
  </r>
  <r>
    <n v="1850"/>
    <d v="2025-01-23T00:00:00"/>
    <x v="5"/>
    <s v="Q1"/>
    <x v="0"/>
    <n v="1"/>
    <n v="1730"/>
    <x v="2"/>
    <x v="0"/>
    <n v="1"/>
    <n v="283.36"/>
    <n v="0.14000000000000001"/>
    <n v="243.68960000000001"/>
    <n v="243.69"/>
    <x v="1"/>
    <n v="7"/>
    <n v="4.9000000000000004"/>
  </r>
  <r>
    <n v="1851"/>
    <d v="2025-01-24T00:00:00"/>
    <x v="5"/>
    <s v="Q1"/>
    <x v="0"/>
    <n v="1"/>
    <n v="1167"/>
    <x v="2"/>
    <x v="1"/>
    <n v="1"/>
    <n v="589.20000000000005"/>
    <n v="0.04"/>
    <n v="565.63200000000006"/>
    <n v="565.63"/>
    <x v="2"/>
    <n v="11"/>
    <n v="1.1000000000000001"/>
  </r>
  <r>
    <n v="1852"/>
    <d v="2025-01-25T00:00:00"/>
    <x v="5"/>
    <s v="Q1"/>
    <x v="0"/>
    <n v="1"/>
    <n v="1609"/>
    <x v="2"/>
    <x v="3"/>
    <n v="4"/>
    <n v="131.6"/>
    <n v="0.27"/>
    <n v="96.067999999999984"/>
    <n v="384.27"/>
    <x v="1"/>
    <n v="4"/>
    <n v="4.7"/>
  </r>
  <r>
    <n v="1853"/>
    <d v="2025-01-26T00:00:00"/>
    <x v="5"/>
    <s v="Q1"/>
    <x v="0"/>
    <n v="1"/>
    <n v="1267"/>
    <x v="0"/>
    <x v="2"/>
    <n v="2"/>
    <n v="53.17"/>
    <n v="0.13"/>
    <n v="46.257899999999999"/>
    <n v="92.52"/>
    <x v="0"/>
    <n v="4"/>
    <n v="1.9"/>
  </r>
  <r>
    <n v="1854"/>
    <d v="2025-01-27T00:00:00"/>
    <x v="5"/>
    <s v="Q1"/>
    <x v="0"/>
    <n v="1"/>
    <n v="1748"/>
    <x v="1"/>
    <x v="0"/>
    <n v="6"/>
    <n v="517.76"/>
    <n v="0.31"/>
    <n v="357.25440000000003"/>
    <n v="2143.5300000000002"/>
    <x v="1"/>
    <n v="4"/>
    <n v="3.6"/>
  </r>
  <r>
    <n v="1855"/>
    <d v="2025-01-28T00:00:00"/>
    <x v="5"/>
    <s v="Q1"/>
    <x v="0"/>
    <n v="1"/>
    <n v="1820"/>
    <x v="3"/>
    <x v="2"/>
    <n v="6"/>
    <n v="523.04999999999995"/>
    <n v="0.32"/>
    <n v="355.67399999999998"/>
    <n v="2134.04"/>
    <x v="1"/>
    <n v="6"/>
    <n v="2.2000000000000002"/>
  </r>
  <r>
    <n v="1856"/>
    <d v="2025-01-29T00:00:00"/>
    <x v="5"/>
    <s v="Q1"/>
    <x v="0"/>
    <n v="1"/>
    <n v="1454"/>
    <x v="2"/>
    <x v="2"/>
    <n v="1"/>
    <n v="291.17"/>
    <n v="0.01"/>
    <n v="288.25830000000002"/>
    <n v="288.26"/>
    <x v="2"/>
    <n v="5"/>
    <n v="4.4000000000000004"/>
  </r>
  <r>
    <n v="1857"/>
    <d v="2025-01-30T00:00:00"/>
    <x v="5"/>
    <s v="Q1"/>
    <x v="0"/>
    <n v="1"/>
    <n v="1905"/>
    <x v="1"/>
    <x v="3"/>
    <n v="6"/>
    <n v="315.81"/>
    <n v="0.35"/>
    <n v="205.2765"/>
    <n v="1231.6600000000001"/>
    <x v="1"/>
    <n v="2"/>
    <n v="3.2"/>
  </r>
  <r>
    <n v="1858"/>
    <d v="2025-01-31T00:00:00"/>
    <x v="5"/>
    <s v="Q1"/>
    <x v="0"/>
    <n v="1"/>
    <n v="1684"/>
    <x v="2"/>
    <x v="3"/>
    <n v="2"/>
    <n v="503.95"/>
    <n v="0.25"/>
    <n v="377.96249999999998"/>
    <n v="755.92"/>
    <x v="1"/>
    <n v="9"/>
    <n v="1.6"/>
  </r>
  <r>
    <n v="1859"/>
    <d v="2025-02-01T00:00:00"/>
    <x v="5"/>
    <s v="Q1"/>
    <x v="1"/>
    <n v="2"/>
    <n v="1400"/>
    <x v="2"/>
    <x v="1"/>
    <n v="3"/>
    <n v="447.06"/>
    <n v="0.18"/>
    <n v="366.58920000000001"/>
    <n v="1099.77"/>
    <x v="2"/>
    <n v="11"/>
    <n v="2.1"/>
  </r>
  <r>
    <n v="1860"/>
    <d v="2025-02-02T00:00:00"/>
    <x v="5"/>
    <s v="Q1"/>
    <x v="1"/>
    <n v="2"/>
    <n v="1921"/>
    <x v="2"/>
    <x v="3"/>
    <n v="3"/>
    <n v="170.11"/>
    <n v="0.14000000000000001"/>
    <n v="146.2946"/>
    <n v="438.88"/>
    <x v="2"/>
    <n v="6"/>
    <n v="2.2999999999999998"/>
  </r>
  <r>
    <n v="1861"/>
    <d v="2025-02-03T00:00:00"/>
    <x v="5"/>
    <s v="Q1"/>
    <x v="1"/>
    <n v="2"/>
    <n v="1980"/>
    <x v="3"/>
    <x v="3"/>
    <n v="2"/>
    <n v="24.88"/>
    <n v="0.18"/>
    <n v="20.401599999999998"/>
    <n v="40.799999999999997"/>
    <x v="2"/>
    <n v="10"/>
    <n v="4.5"/>
  </r>
  <r>
    <n v="1862"/>
    <d v="2025-02-04T00:00:00"/>
    <x v="5"/>
    <s v="Q1"/>
    <x v="1"/>
    <n v="2"/>
    <n v="1475"/>
    <x v="3"/>
    <x v="1"/>
    <n v="6"/>
    <n v="295.62"/>
    <n v="0.11"/>
    <n v="263.10180000000003"/>
    <n v="1578.61"/>
    <x v="2"/>
    <n v="6"/>
    <n v="4.0999999999999996"/>
  </r>
  <r>
    <n v="1863"/>
    <d v="2025-02-05T00:00:00"/>
    <x v="5"/>
    <s v="Q1"/>
    <x v="1"/>
    <n v="2"/>
    <n v="1701"/>
    <x v="1"/>
    <x v="2"/>
    <n v="6"/>
    <n v="517.46"/>
    <n v="0.22"/>
    <n v="403.61880000000002"/>
    <n v="2421.71"/>
    <x v="2"/>
    <n v="9"/>
    <n v="4.3"/>
  </r>
  <r>
    <n v="1864"/>
    <d v="2025-02-06T00:00:00"/>
    <x v="5"/>
    <s v="Q1"/>
    <x v="1"/>
    <n v="2"/>
    <n v="1633"/>
    <x v="1"/>
    <x v="1"/>
    <n v="6"/>
    <n v="539.05999999999995"/>
    <n v="0.03"/>
    <n v="522.88819999999998"/>
    <n v="3137.33"/>
    <x v="2"/>
    <n v="1"/>
    <n v="1.2"/>
  </r>
  <r>
    <n v="1865"/>
    <d v="2025-02-07T00:00:00"/>
    <x v="5"/>
    <s v="Q1"/>
    <x v="1"/>
    <n v="2"/>
    <n v="1557"/>
    <x v="0"/>
    <x v="1"/>
    <n v="7"/>
    <n v="574.39"/>
    <n v="0.22"/>
    <n v="448.02420000000001"/>
    <n v="3136.17"/>
    <x v="2"/>
    <n v="7"/>
    <n v="3.3"/>
  </r>
  <r>
    <n v="1866"/>
    <d v="2025-02-08T00:00:00"/>
    <x v="5"/>
    <s v="Q1"/>
    <x v="1"/>
    <n v="2"/>
    <n v="1575"/>
    <x v="2"/>
    <x v="1"/>
    <n v="4"/>
    <n v="529.54"/>
    <n v="0.1"/>
    <n v="476.58599999999996"/>
    <n v="1906.34"/>
    <x v="2"/>
    <n v="3"/>
    <n v="5"/>
  </r>
  <r>
    <n v="1867"/>
    <d v="2025-02-09T00:00:00"/>
    <x v="5"/>
    <s v="Q1"/>
    <x v="1"/>
    <n v="2"/>
    <n v="1129"/>
    <x v="2"/>
    <x v="0"/>
    <n v="5"/>
    <n v="354.33"/>
    <n v="0.01"/>
    <n v="350.7867"/>
    <n v="1753.93"/>
    <x v="1"/>
    <n v="4"/>
    <n v="4.0999999999999996"/>
  </r>
  <r>
    <n v="1868"/>
    <d v="2025-02-10T00:00:00"/>
    <x v="5"/>
    <s v="Q1"/>
    <x v="1"/>
    <n v="2"/>
    <n v="1821"/>
    <x v="2"/>
    <x v="2"/>
    <n v="2"/>
    <n v="275.08999999999997"/>
    <n v="0.19"/>
    <n v="222.82289999999998"/>
    <n v="445.65"/>
    <x v="1"/>
    <n v="1"/>
    <n v="1.5"/>
  </r>
  <r>
    <n v="1869"/>
    <d v="2025-02-11T00:00:00"/>
    <x v="5"/>
    <s v="Q1"/>
    <x v="1"/>
    <n v="2"/>
    <n v="1362"/>
    <x v="3"/>
    <x v="0"/>
    <n v="2"/>
    <n v="468.29"/>
    <n v="0.2"/>
    <n v="374.63200000000001"/>
    <n v="749.26"/>
    <x v="1"/>
    <n v="3"/>
    <n v="3.7"/>
  </r>
  <r>
    <n v="1870"/>
    <d v="2025-02-12T00:00:00"/>
    <x v="5"/>
    <s v="Q1"/>
    <x v="1"/>
    <n v="2"/>
    <n v="1704"/>
    <x v="0"/>
    <x v="0"/>
    <n v="7"/>
    <n v="447.8"/>
    <n v="0.15"/>
    <n v="380.63"/>
    <n v="2664.41"/>
    <x v="1"/>
    <n v="7"/>
    <n v="4"/>
  </r>
  <r>
    <n v="1871"/>
    <d v="2025-02-13T00:00:00"/>
    <x v="5"/>
    <s v="Q1"/>
    <x v="1"/>
    <n v="2"/>
    <n v="1818"/>
    <x v="2"/>
    <x v="3"/>
    <n v="2"/>
    <n v="329.81"/>
    <n v="0.03"/>
    <n v="319.91570000000002"/>
    <n v="639.83000000000004"/>
    <x v="2"/>
    <n v="6"/>
    <n v="3.1"/>
  </r>
  <r>
    <n v="1872"/>
    <d v="2025-02-14T00:00:00"/>
    <x v="5"/>
    <s v="Q1"/>
    <x v="1"/>
    <n v="2"/>
    <n v="1692"/>
    <x v="0"/>
    <x v="1"/>
    <n v="2"/>
    <n v="66.09"/>
    <n v="0.31"/>
    <n v="45.602100000000007"/>
    <n v="91.2"/>
    <x v="1"/>
    <n v="1"/>
    <n v="1.3"/>
  </r>
  <r>
    <n v="1873"/>
    <d v="2025-02-15T00:00:00"/>
    <x v="5"/>
    <s v="Q1"/>
    <x v="1"/>
    <n v="2"/>
    <n v="1291"/>
    <x v="3"/>
    <x v="1"/>
    <n v="7"/>
    <n v="556.76"/>
    <n v="0.21"/>
    <n v="439.84039999999999"/>
    <n v="3078.88"/>
    <x v="1"/>
    <n v="9"/>
    <n v="1.1000000000000001"/>
  </r>
  <r>
    <n v="1874"/>
    <d v="2025-02-16T00:00:00"/>
    <x v="5"/>
    <s v="Q1"/>
    <x v="1"/>
    <n v="2"/>
    <n v="1370"/>
    <x v="2"/>
    <x v="0"/>
    <n v="2"/>
    <n v="281.52999999999997"/>
    <n v="0.04"/>
    <n v="270.2688"/>
    <n v="540.54"/>
    <x v="1"/>
    <n v="4"/>
    <n v="4.8"/>
  </r>
  <r>
    <n v="1875"/>
    <d v="2025-02-17T00:00:00"/>
    <x v="5"/>
    <s v="Q1"/>
    <x v="1"/>
    <n v="2"/>
    <n v="1793"/>
    <x v="1"/>
    <x v="3"/>
    <n v="6"/>
    <n v="227.55"/>
    <n v="0.18"/>
    <n v="186.59100000000001"/>
    <n v="1119.55"/>
    <x v="1"/>
    <n v="7"/>
    <n v="2"/>
  </r>
  <r>
    <n v="1876"/>
    <d v="2025-02-18T00:00:00"/>
    <x v="5"/>
    <s v="Q1"/>
    <x v="1"/>
    <n v="2"/>
    <n v="1028"/>
    <x v="1"/>
    <x v="3"/>
    <n v="7"/>
    <n v="383.3"/>
    <n v="0.17"/>
    <n v="318.13900000000001"/>
    <n v="2226.9699999999998"/>
    <x v="2"/>
    <n v="4"/>
    <n v="2.5"/>
  </r>
  <r>
    <n v="1877"/>
    <d v="2025-02-19T00:00:00"/>
    <x v="5"/>
    <s v="Q1"/>
    <x v="1"/>
    <n v="2"/>
    <n v="1148"/>
    <x v="0"/>
    <x v="3"/>
    <n v="4"/>
    <n v="409.2"/>
    <n v="0.02"/>
    <n v="401.01599999999996"/>
    <n v="1604.06"/>
    <x v="2"/>
    <n v="7"/>
    <n v="4.2"/>
  </r>
  <r>
    <n v="1878"/>
    <d v="2025-02-20T00:00:00"/>
    <x v="5"/>
    <s v="Q1"/>
    <x v="1"/>
    <n v="2"/>
    <n v="1778"/>
    <x v="2"/>
    <x v="2"/>
    <n v="1"/>
    <n v="138.25"/>
    <n v="0.21"/>
    <n v="109.2175"/>
    <n v="109.22"/>
    <x v="2"/>
    <n v="5"/>
    <n v="3.8"/>
  </r>
  <r>
    <n v="1879"/>
    <d v="2025-02-21T00:00:00"/>
    <x v="5"/>
    <s v="Q1"/>
    <x v="1"/>
    <n v="2"/>
    <n v="1295"/>
    <x v="3"/>
    <x v="0"/>
    <n v="6"/>
    <n v="504.61"/>
    <n v="0.28000000000000003"/>
    <n v="363.31920000000002"/>
    <n v="2179.92"/>
    <x v="1"/>
    <n v="1"/>
    <n v="4.9000000000000004"/>
  </r>
  <r>
    <n v="1880"/>
    <d v="2025-02-22T00:00:00"/>
    <x v="5"/>
    <s v="Q1"/>
    <x v="1"/>
    <n v="2"/>
    <n v="1010"/>
    <x v="2"/>
    <x v="2"/>
    <n v="6"/>
    <n v="184.61"/>
    <n v="0.26"/>
    <n v="136.6114"/>
    <n v="819.67"/>
    <x v="0"/>
    <n v="4"/>
    <n v="1.4"/>
  </r>
  <r>
    <n v="1881"/>
    <d v="2025-02-23T00:00:00"/>
    <x v="5"/>
    <s v="Q1"/>
    <x v="1"/>
    <n v="2"/>
    <n v="1511"/>
    <x v="3"/>
    <x v="3"/>
    <n v="5"/>
    <n v="124.21"/>
    <n v="7.0000000000000007E-2"/>
    <n v="115.5153"/>
    <n v="577.58000000000004"/>
    <x v="0"/>
    <n v="3"/>
    <n v="3.8"/>
  </r>
  <r>
    <n v="1882"/>
    <d v="2025-02-24T00:00:00"/>
    <x v="5"/>
    <s v="Q1"/>
    <x v="1"/>
    <n v="2"/>
    <n v="1675"/>
    <x v="1"/>
    <x v="3"/>
    <n v="7"/>
    <n v="252.74"/>
    <n v="0.3"/>
    <n v="176.91800000000001"/>
    <n v="1238.43"/>
    <x v="2"/>
    <n v="6"/>
    <n v="1.3"/>
  </r>
  <r>
    <n v="1883"/>
    <d v="2025-02-25T00:00:00"/>
    <x v="5"/>
    <s v="Q1"/>
    <x v="1"/>
    <n v="2"/>
    <n v="1112"/>
    <x v="1"/>
    <x v="3"/>
    <n v="1"/>
    <n v="442.38"/>
    <n v="0.12"/>
    <n v="389.2944"/>
    <n v="389.29"/>
    <x v="0"/>
    <n v="6"/>
    <n v="1"/>
  </r>
  <r>
    <n v="1884"/>
    <d v="2025-02-26T00:00:00"/>
    <x v="5"/>
    <s v="Q1"/>
    <x v="1"/>
    <n v="2"/>
    <n v="1186"/>
    <x v="3"/>
    <x v="1"/>
    <n v="2"/>
    <n v="579.79"/>
    <n v="0.33"/>
    <n v="388.45929999999998"/>
    <n v="776.92"/>
    <x v="2"/>
    <n v="1"/>
    <n v="1.5"/>
  </r>
  <r>
    <n v="1885"/>
    <d v="2025-02-27T00:00:00"/>
    <x v="5"/>
    <s v="Q1"/>
    <x v="1"/>
    <n v="2"/>
    <n v="1806"/>
    <x v="3"/>
    <x v="0"/>
    <n v="1"/>
    <n v="488.43"/>
    <n v="0.03"/>
    <n v="473.77710000000002"/>
    <n v="473.78"/>
    <x v="0"/>
    <n v="11"/>
    <n v="3.5"/>
  </r>
  <r>
    <n v="1886"/>
    <d v="2025-02-28T00:00:00"/>
    <x v="5"/>
    <s v="Q1"/>
    <x v="1"/>
    <n v="2"/>
    <n v="1743"/>
    <x v="0"/>
    <x v="1"/>
    <n v="4"/>
    <n v="565.1"/>
    <n v="0.17"/>
    <n v="469.03300000000002"/>
    <n v="1876.13"/>
    <x v="0"/>
    <n v="2"/>
    <n v="3.7"/>
  </r>
  <r>
    <n v="1887"/>
    <d v="2025-03-01T00:00:00"/>
    <x v="5"/>
    <s v="Q1"/>
    <x v="2"/>
    <n v="3"/>
    <n v="1226"/>
    <x v="2"/>
    <x v="2"/>
    <n v="3"/>
    <n v="97.25"/>
    <n v="0.21"/>
    <n v="76.827500000000001"/>
    <n v="230.48"/>
    <x v="0"/>
    <n v="2"/>
    <n v="2.8"/>
  </r>
  <r>
    <n v="1888"/>
    <d v="2025-03-02T00:00:00"/>
    <x v="5"/>
    <s v="Q1"/>
    <x v="2"/>
    <n v="3"/>
    <n v="1309"/>
    <x v="3"/>
    <x v="1"/>
    <n v="6"/>
    <n v="56.64"/>
    <n v="0.09"/>
    <n v="51.542400000000001"/>
    <n v="309.25"/>
    <x v="2"/>
    <n v="10"/>
    <n v="1.2"/>
  </r>
  <r>
    <n v="1889"/>
    <d v="2025-03-03T00:00:00"/>
    <x v="5"/>
    <s v="Q1"/>
    <x v="2"/>
    <n v="3"/>
    <n v="1097"/>
    <x v="2"/>
    <x v="0"/>
    <n v="7"/>
    <n v="341.26"/>
    <n v="0.27"/>
    <n v="249.1198"/>
    <n v="1743.84"/>
    <x v="2"/>
    <n v="4"/>
    <n v="3.5"/>
  </r>
  <r>
    <n v="1890"/>
    <d v="2025-03-04T00:00:00"/>
    <x v="5"/>
    <s v="Q1"/>
    <x v="2"/>
    <n v="3"/>
    <n v="1054"/>
    <x v="1"/>
    <x v="1"/>
    <n v="7"/>
    <n v="184.82"/>
    <n v="0.22"/>
    <n v="144.15960000000001"/>
    <n v="1009.12"/>
    <x v="2"/>
    <n v="9"/>
    <n v="1.3"/>
  </r>
  <r>
    <n v="1891"/>
    <d v="2025-03-05T00:00:00"/>
    <x v="5"/>
    <s v="Q1"/>
    <x v="2"/>
    <n v="3"/>
    <n v="1622"/>
    <x v="1"/>
    <x v="3"/>
    <n v="1"/>
    <n v="499.41"/>
    <n v="0.01"/>
    <n v="494.41590000000002"/>
    <n v="494.42"/>
    <x v="1"/>
    <n v="11"/>
    <n v="1.6"/>
  </r>
  <r>
    <n v="1892"/>
    <d v="2025-03-06T00:00:00"/>
    <x v="5"/>
    <s v="Q1"/>
    <x v="2"/>
    <n v="3"/>
    <n v="1663"/>
    <x v="1"/>
    <x v="2"/>
    <n v="5"/>
    <n v="408.11"/>
    <n v="0.21"/>
    <n v="322.40690000000001"/>
    <n v="1612.03"/>
    <x v="1"/>
    <n v="2"/>
    <n v="3.1"/>
  </r>
  <r>
    <n v="1893"/>
    <d v="2025-03-07T00:00:00"/>
    <x v="5"/>
    <s v="Q1"/>
    <x v="2"/>
    <n v="3"/>
    <n v="1757"/>
    <x v="1"/>
    <x v="2"/>
    <n v="4"/>
    <n v="582.88"/>
    <n v="0.17"/>
    <n v="483.79039999999998"/>
    <n v="1935.16"/>
    <x v="0"/>
    <n v="11"/>
    <n v="2.4"/>
  </r>
  <r>
    <n v="1894"/>
    <d v="2025-03-08T00:00:00"/>
    <x v="5"/>
    <s v="Q1"/>
    <x v="2"/>
    <n v="3"/>
    <n v="1405"/>
    <x v="0"/>
    <x v="3"/>
    <n v="3"/>
    <n v="164.05"/>
    <n v="7.0000000000000007E-2"/>
    <n v="152.56650000000002"/>
    <n v="457.7"/>
    <x v="1"/>
    <n v="8"/>
    <n v="2.9"/>
  </r>
  <r>
    <n v="1895"/>
    <d v="2025-03-09T00:00:00"/>
    <x v="5"/>
    <s v="Q1"/>
    <x v="2"/>
    <n v="3"/>
    <n v="1068"/>
    <x v="2"/>
    <x v="3"/>
    <n v="4"/>
    <n v="299.18"/>
    <n v="0.35"/>
    <n v="194.46700000000001"/>
    <n v="777.87"/>
    <x v="2"/>
    <n v="11"/>
    <n v="3.5"/>
  </r>
  <r>
    <n v="1896"/>
    <d v="2025-03-10T00:00:00"/>
    <x v="5"/>
    <s v="Q1"/>
    <x v="2"/>
    <n v="3"/>
    <n v="1311"/>
    <x v="3"/>
    <x v="3"/>
    <n v="7"/>
    <n v="308.23"/>
    <n v="0.31"/>
    <n v="212.67869999999999"/>
    <n v="1488.75"/>
    <x v="1"/>
    <n v="1"/>
    <n v="1.6"/>
  </r>
  <r>
    <n v="1897"/>
    <d v="2025-03-11T00:00:00"/>
    <x v="5"/>
    <s v="Q1"/>
    <x v="2"/>
    <n v="3"/>
    <n v="1288"/>
    <x v="1"/>
    <x v="0"/>
    <n v="2"/>
    <n v="154.91999999999999"/>
    <n v="0.1"/>
    <n v="139.428"/>
    <n v="278.86"/>
    <x v="1"/>
    <n v="8"/>
    <n v="4.5999999999999996"/>
  </r>
  <r>
    <n v="1898"/>
    <d v="2025-03-12T00:00:00"/>
    <x v="5"/>
    <s v="Q1"/>
    <x v="2"/>
    <n v="3"/>
    <n v="1761"/>
    <x v="2"/>
    <x v="1"/>
    <n v="3"/>
    <n v="360.2"/>
    <n v="0.19"/>
    <n v="291.762"/>
    <n v="875.29"/>
    <x v="0"/>
    <n v="3"/>
    <n v="3.2"/>
  </r>
  <r>
    <n v="1899"/>
    <d v="2025-03-13T00:00:00"/>
    <x v="5"/>
    <s v="Q1"/>
    <x v="2"/>
    <n v="3"/>
    <n v="1547"/>
    <x v="2"/>
    <x v="2"/>
    <n v="7"/>
    <n v="274.32"/>
    <n v="0.11"/>
    <n v="244.1448"/>
    <n v="1709.01"/>
    <x v="0"/>
    <n v="5"/>
    <n v="1.1000000000000001"/>
  </r>
  <r>
    <n v="1900"/>
    <d v="2025-03-14T00:00:00"/>
    <x v="5"/>
    <s v="Q1"/>
    <x v="2"/>
    <n v="3"/>
    <n v="1750"/>
    <x v="0"/>
    <x v="1"/>
    <n v="5"/>
    <n v="276.33"/>
    <n v="0.27"/>
    <n v="201.72089999999997"/>
    <n v="1008.6"/>
    <x v="2"/>
    <n v="1"/>
    <n v="3.5"/>
  </r>
  <r>
    <n v="1901"/>
    <d v="2025-03-15T00:00:00"/>
    <x v="5"/>
    <s v="Q1"/>
    <x v="2"/>
    <n v="3"/>
    <n v="1147"/>
    <x v="0"/>
    <x v="3"/>
    <n v="3"/>
    <n v="227.2"/>
    <n v="0.33"/>
    <n v="152.22399999999999"/>
    <n v="456.67"/>
    <x v="1"/>
    <n v="1"/>
    <n v="2.9"/>
  </r>
  <r>
    <n v="1902"/>
    <d v="2025-03-16T00:00:00"/>
    <x v="5"/>
    <s v="Q1"/>
    <x v="2"/>
    <n v="3"/>
    <n v="1466"/>
    <x v="0"/>
    <x v="3"/>
    <n v="7"/>
    <n v="24.9"/>
    <n v="0.13"/>
    <n v="21.662999999999997"/>
    <n v="151.63999999999999"/>
    <x v="2"/>
    <n v="6"/>
    <n v="3.8"/>
  </r>
  <r>
    <n v="1903"/>
    <d v="2025-03-17T00:00:00"/>
    <x v="5"/>
    <s v="Q1"/>
    <x v="2"/>
    <n v="3"/>
    <n v="1738"/>
    <x v="0"/>
    <x v="1"/>
    <n v="5"/>
    <n v="320.43"/>
    <n v="0.28000000000000003"/>
    <n v="230.70959999999999"/>
    <n v="1153.55"/>
    <x v="1"/>
    <n v="3"/>
    <n v="4.0999999999999996"/>
  </r>
  <r>
    <n v="1904"/>
    <d v="2025-03-18T00:00:00"/>
    <x v="5"/>
    <s v="Q1"/>
    <x v="2"/>
    <n v="3"/>
    <n v="1243"/>
    <x v="2"/>
    <x v="2"/>
    <n v="2"/>
    <n v="211.12"/>
    <n v="0.17"/>
    <n v="175.2296"/>
    <n v="350.46"/>
    <x v="1"/>
    <n v="8"/>
    <n v="4.8"/>
  </r>
  <r>
    <n v="1905"/>
    <d v="2025-03-19T00:00:00"/>
    <x v="5"/>
    <s v="Q1"/>
    <x v="2"/>
    <n v="3"/>
    <n v="1490"/>
    <x v="1"/>
    <x v="0"/>
    <n v="5"/>
    <n v="15.77"/>
    <n v="0.14000000000000001"/>
    <n v="13.562199999999999"/>
    <n v="67.81"/>
    <x v="1"/>
    <n v="4"/>
    <n v="5"/>
  </r>
  <r>
    <n v="1906"/>
    <d v="2025-03-20T00:00:00"/>
    <x v="5"/>
    <s v="Q1"/>
    <x v="2"/>
    <n v="3"/>
    <n v="1848"/>
    <x v="3"/>
    <x v="1"/>
    <n v="4"/>
    <n v="195.15"/>
    <n v="0.33"/>
    <n v="130.75049999999999"/>
    <n v="523"/>
    <x v="2"/>
    <n v="6"/>
    <n v="3.2"/>
  </r>
  <r>
    <n v="1907"/>
    <d v="2025-03-21T00:00:00"/>
    <x v="5"/>
    <s v="Q1"/>
    <x v="2"/>
    <n v="3"/>
    <n v="1957"/>
    <x v="1"/>
    <x v="3"/>
    <n v="1"/>
    <n v="178"/>
    <n v="0.18"/>
    <n v="145.96"/>
    <n v="145.96"/>
    <x v="1"/>
    <n v="10"/>
    <n v="3.2"/>
  </r>
  <r>
    <n v="1908"/>
    <d v="2025-03-22T00:00:00"/>
    <x v="5"/>
    <s v="Q1"/>
    <x v="2"/>
    <n v="3"/>
    <n v="1506"/>
    <x v="1"/>
    <x v="3"/>
    <n v="4"/>
    <n v="245.17"/>
    <n v="0.16"/>
    <n v="205.94279999999998"/>
    <n v="823.77"/>
    <x v="2"/>
    <n v="9"/>
    <n v="1.1000000000000001"/>
  </r>
  <r>
    <n v="1909"/>
    <d v="2025-03-23T00:00:00"/>
    <x v="5"/>
    <s v="Q1"/>
    <x v="2"/>
    <n v="3"/>
    <n v="1364"/>
    <x v="1"/>
    <x v="0"/>
    <n v="7"/>
    <n v="92.13"/>
    <n v="0.24"/>
    <n v="70.018799999999999"/>
    <n v="490.13"/>
    <x v="1"/>
    <n v="8"/>
    <n v="4.5"/>
  </r>
  <r>
    <n v="1910"/>
    <d v="2025-03-24T00:00:00"/>
    <x v="5"/>
    <s v="Q1"/>
    <x v="2"/>
    <n v="3"/>
    <n v="1481"/>
    <x v="1"/>
    <x v="1"/>
    <n v="7"/>
    <n v="312"/>
    <n v="0.09"/>
    <n v="283.92"/>
    <n v="1987.44"/>
    <x v="1"/>
    <n v="4"/>
    <n v="1.1000000000000001"/>
  </r>
  <r>
    <n v="1911"/>
    <d v="2025-03-25T00:00:00"/>
    <x v="5"/>
    <s v="Q1"/>
    <x v="2"/>
    <n v="3"/>
    <n v="1200"/>
    <x v="1"/>
    <x v="0"/>
    <n v="6"/>
    <n v="420.08"/>
    <n v="0.11"/>
    <n v="373.87119999999999"/>
    <n v="2243.23"/>
    <x v="1"/>
    <n v="10"/>
    <n v="3.5"/>
  </r>
  <r>
    <n v="1912"/>
    <d v="2025-03-26T00:00:00"/>
    <x v="5"/>
    <s v="Q1"/>
    <x v="2"/>
    <n v="3"/>
    <n v="1153"/>
    <x v="2"/>
    <x v="0"/>
    <n v="4"/>
    <n v="383.66"/>
    <n v="0.33"/>
    <n v="257.05220000000003"/>
    <n v="1028.21"/>
    <x v="0"/>
    <n v="8"/>
    <n v="1.4"/>
  </r>
  <r>
    <n v="1913"/>
    <d v="2025-03-27T00:00:00"/>
    <x v="5"/>
    <s v="Q1"/>
    <x v="2"/>
    <n v="3"/>
    <n v="1449"/>
    <x v="1"/>
    <x v="2"/>
    <n v="3"/>
    <n v="485.2"/>
    <n v="0.24"/>
    <n v="368.75200000000001"/>
    <n v="1106.26"/>
    <x v="2"/>
    <n v="7"/>
    <n v="2.1"/>
  </r>
  <r>
    <n v="1914"/>
    <d v="2025-03-28T00:00:00"/>
    <x v="5"/>
    <s v="Q1"/>
    <x v="2"/>
    <n v="3"/>
    <n v="1500"/>
    <x v="1"/>
    <x v="2"/>
    <n v="2"/>
    <n v="279.42"/>
    <n v="0.28999999999999998"/>
    <n v="198.38820000000001"/>
    <n v="396.78"/>
    <x v="1"/>
    <n v="5"/>
    <n v="1.6"/>
  </r>
  <r>
    <n v="1915"/>
    <d v="2025-03-29T00:00:00"/>
    <x v="5"/>
    <s v="Q1"/>
    <x v="2"/>
    <n v="3"/>
    <n v="1072"/>
    <x v="1"/>
    <x v="3"/>
    <n v="6"/>
    <n v="318.67"/>
    <n v="0.09"/>
    <n v="289.98970000000003"/>
    <n v="1739.94"/>
    <x v="2"/>
    <n v="7"/>
    <n v="1.5"/>
  </r>
  <r>
    <n v="1916"/>
    <d v="2025-03-30T00:00:00"/>
    <x v="5"/>
    <s v="Q1"/>
    <x v="2"/>
    <n v="3"/>
    <n v="1712"/>
    <x v="2"/>
    <x v="1"/>
    <n v="6"/>
    <n v="489.09"/>
    <n v="0.19"/>
    <n v="396.16289999999998"/>
    <n v="2376.98"/>
    <x v="0"/>
    <n v="7"/>
    <n v="1.3"/>
  </r>
  <r>
    <n v="1917"/>
    <d v="2025-03-31T00:00:00"/>
    <x v="5"/>
    <s v="Q1"/>
    <x v="2"/>
    <n v="3"/>
    <n v="1295"/>
    <x v="3"/>
    <x v="2"/>
    <n v="6"/>
    <n v="265.20999999999998"/>
    <n v="0.34"/>
    <n v="175.03859999999997"/>
    <n v="1050.23"/>
    <x v="2"/>
    <n v="10"/>
    <n v="2.2999999999999998"/>
  </r>
  <r>
    <n v="1918"/>
    <d v="2025-04-01T00:00:00"/>
    <x v="5"/>
    <s v="Q2"/>
    <x v="3"/>
    <n v="4"/>
    <n v="1016"/>
    <x v="2"/>
    <x v="3"/>
    <n v="7"/>
    <n v="425.44"/>
    <n v="0.11"/>
    <n v="378.64159999999998"/>
    <n v="2650.49"/>
    <x v="2"/>
    <n v="2"/>
    <n v="2.7"/>
  </r>
  <r>
    <n v="1919"/>
    <d v="2025-04-02T00:00:00"/>
    <x v="5"/>
    <s v="Q2"/>
    <x v="3"/>
    <n v="4"/>
    <n v="1640"/>
    <x v="1"/>
    <x v="1"/>
    <n v="1"/>
    <n v="269.24"/>
    <n v="0.06"/>
    <n v="253.0856"/>
    <n v="253.09"/>
    <x v="1"/>
    <n v="7"/>
    <n v="2.9"/>
  </r>
  <r>
    <n v="1920"/>
    <d v="2025-04-03T00:00:00"/>
    <x v="5"/>
    <s v="Q2"/>
    <x v="3"/>
    <n v="4"/>
    <n v="1216"/>
    <x v="3"/>
    <x v="3"/>
    <n v="5"/>
    <n v="259.38"/>
    <n v="0.18"/>
    <n v="212.69159999999999"/>
    <n v="1063.46"/>
    <x v="2"/>
    <n v="3"/>
    <n v="2.8"/>
  </r>
  <r>
    <n v="1921"/>
    <d v="2025-04-04T00:00:00"/>
    <x v="5"/>
    <s v="Q2"/>
    <x v="3"/>
    <n v="4"/>
    <n v="1060"/>
    <x v="1"/>
    <x v="2"/>
    <n v="3"/>
    <n v="459.72"/>
    <n v="0.14000000000000001"/>
    <n v="395.35919999999999"/>
    <n v="1186.08"/>
    <x v="2"/>
    <n v="8"/>
    <n v="3.1"/>
  </r>
  <r>
    <n v="1922"/>
    <d v="2025-04-05T00:00:00"/>
    <x v="5"/>
    <s v="Q2"/>
    <x v="3"/>
    <n v="4"/>
    <n v="1938"/>
    <x v="2"/>
    <x v="3"/>
    <n v="7"/>
    <n v="117.28"/>
    <n v="0.06"/>
    <n v="110.2432"/>
    <n v="771.7"/>
    <x v="2"/>
    <n v="8"/>
    <n v="4.4000000000000004"/>
  </r>
  <r>
    <n v="1923"/>
    <d v="2025-04-06T00:00:00"/>
    <x v="5"/>
    <s v="Q2"/>
    <x v="3"/>
    <n v="4"/>
    <n v="1615"/>
    <x v="3"/>
    <x v="1"/>
    <n v="2"/>
    <n v="213.07"/>
    <n v="0.31"/>
    <n v="147.01830000000001"/>
    <n v="294.04000000000002"/>
    <x v="0"/>
    <n v="9"/>
    <n v="3.5"/>
  </r>
  <r>
    <n v="1924"/>
    <d v="2025-04-07T00:00:00"/>
    <x v="5"/>
    <s v="Q2"/>
    <x v="3"/>
    <n v="4"/>
    <n v="1041"/>
    <x v="1"/>
    <x v="1"/>
    <n v="7"/>
    <n v="146.13999999999999"/>
    <n v="0.35"/>
    <n v="94.990999999999985"/>
    <n v="664.94"/>
    <x v="1"/>
    <n v="11"/>
    <n v="1.1000000000000001"/>
  </r>
  <r>
    <n v="1925"/>
    <d v="2025-04-08T00:00:00"/>
    <x v="5"/>
    <s v="Q2"/>
    <x v="3"/>
    <n v="4"/>
    <n v="1024"/>
    <x v="3"/>
    <x v="3"/>
    <n v="1"/>
    <n v="225.08"/>
    <n v="0.2"/>
    <n v="180.06400000000002"/>
    <n v="180.06"/>
    <x v="1"/>
    <n v="4"/>
    <n v="1.7"/>
  </r>
  <r>
    <n v="1926"/>
    <d v="2025-04-09T00:00:00"/>
    <x v="5"/>
    <s v="Q2"/>
    <x v="3"/>
    <n v="4"/>
    <n v="1038"/>
    <x v="3"/>
    <x v="1"/>
    <n v="7"/>
    <n v="149.77000000000001"/>
    <n v="0.27"/>
    <n v="109.3321"/>
    <n v="765.32"/>
    <x v="0"/>
    <n v="10"/>
    <n v="2.4"/>
  </r>
  <r>
    <n v="1927"/>
    <d v="2025-04-10T00:00:00"/>
    <x v="5"/>
    <s v="Q2"/>
    <x v="3"/>
    <n v="4"/>
    <n v="1802"/>
    <x v="1"/>
    <x v="3"/>
    <n v="7"/>
    <n v="353.95"/>
    <n v="0.3"/>
    <n v="247.76499999999999"/>
    <n v="1734.36"/>
    <x v="2"/>
    <n v="3"/>
    <n v="4.8"/>
  </r>
  <r>
    <n v="1928"/>
    <d v="2025-04-11T00:00:00"/>
    <x v="5"/>
    <s v="Q2"/>
    <x v="3"/>
    <n v="4"/>
    <n v="1130"/>
    <x v="1"/>
    <x v="1"/>
    <n v="4"/>
    <n v="481.93"/>
    <n v="0.25"/>
    <n v="361.44749999999999"/>
    <n v="1445.79"/>
    <x v="1"/>
    <n v="9"/>
    <n v="1.3"/>
  </r>
  <r>
    <n v="1929"/>
    <d v="2025-04-12T00:00:00"/>
    <x v="5"/>
    <s v="Q2"/>
    <x v="3"/>
    <n v="4"/>
    <n v="1497"/>
    <x v="2"/>
    <x v="3"/>
    <n v="2"/>
    <n v="475.17"/>
    <n v="0.02"/>
    <n v="465.66660000000002"/>
    <n v="931.33"/>
    <x v="1"/>
    <n v="9"/>
    <n v="3.8"/>
  </r>
  <r>
    <n v="1930"/>
    <d v="2025-04-13T00:00:00"/>
    <x v="5"/>
    <s v="Q2"/>
    <x v="3"/>
    <n v="4"/>
    <n v="1228"/>
    <x v="2"/>
    <x v="3"/>
    <n v="6"/>
    <n v="228.23"/>
    <n v="0.06"/>
    <n v="214.53619999999998"/>
    <n v="1287.22"/>
    <x v="0"/>
    <n v="2"/>
    <n v="1.1000000000000001"/>
  </r>
  <r>
    <n v="1931"/>
    <d v="2025-04-14T00:00:00"/>
    <x v="5"/>
    <s v="Q2"/>
    <x v="3"/>
    <n v="4"/>
    <n v="1107"/>
    <x v="1"/>
    <x v="3"/>
    <n v="2"/>
    <n v="593.41999999999996"/>
    <n v="0.02"/>
    <n v="581.55160000000001"/>
    <n v="1163.0999999999999"/>
    <x v="1"/>
    <n v="6"/>
    <n v="2.5"/>
  </r>
  <r>
    <n v="1932"/>
    <d v="2025-04-15T00:00:00"/>
    <x v="5"/>
    <s v="Q2"/>
    <x v="3"/>
    <n v="4"/>
    <n v="1171"/>
    <x v="1"/>
    <x v="0"/>
    <n v="2"/>
    <n v="362.4"/>
    <n v="0"/>
    <n v="362.4"/>
    <n v="724.8"/>
    <x v="1"/>
    <n v="3"/>
    <n v="4.0999999999999996"/>
  </r>
  <r>
    <n v="1933"/>
    <d v="2025-04-16T00:00:00"/>
    <x v="5"/>
    <s v="Q2"/>
    <x v="3"/>
    <n v="4"/>
    <n v="1434"/>
    <x v="1"/>
    <x v="1"/>
    <n v="4"/>
    <n v="248.65"/>
    <n v="0.11"/>
    <n v="221.29849999999999"/>
    <n v="885.19"/>
    <x v="1"/>
    <n v="5"/>
    <n v="2.4"/>
  </r>
  <r>
    <n v="1934"/>
    <d v="2025-04-17T00:00:00"/>
    <x v="5"/>
    <s v="Q2"/>
    <x v="3"/>
    <n v="4"/>
    <n v="1477"/>
    <x v="2"/>
    <x v="2"/>
    <n v="5"/>
    <n v="503.79"/>
    <n v="0.14000000000000001"/>
    <n v="433.25940000000003"/>
    <n v="2166.3000000000002"/>
    <x v="0"/>
    <n v="2"/>
    <n v="2.7"/>
  </r>
  <r>
    <n v="1935"/>
    <d v="2025-04-18T00:00:00"/>
    <x v="5"/>
    <s v="Q2"/>
    <x v="3"/>
    <n v="4"/>
    <n v="1101"/>
    <x v="2"/>
    <x v="3"/>
    <n v="7"/>
    <n v="441.98"/>
    <n v="0.08"/>
    <n v="406.6216"/>
    <n v="2846.35"/>
    <x v="0"/>
    <n v="4"/>
    <n v="4.5999999999999996"/>
  </r>
  <r>
    <n v="1936"/>
    <d v="2025-04-19T00:00:00"/>
    <x v="5"/>
    <s v="Q2"/>
    <x v="3"/>
    <n v="4"/>
    <n v="1865"/>
    <x v="1"/>
    <x v="0"/>
    <n v="3"/>
    <n v="453.33"/>
    <n v="0.02"/>
    <n v="444.26339999999999"/>
    <n v="1332.79"/>
    <x v="2"/>
    <n v="11"/>
    <n v="1.3"/>
  </r>
  <r>
    <n v="1937"/>
    <d v="2025-04-20T00:00:00"/>
    <x v="5"/>
    <s v="Q2"/>
    <x v="3"/>
    <n v="4"/>
    <n v="1523"/>
    <x v="2"/>
    <x v="2"/>
    <n v="6"/>
    <n v="129.74"/>
    <n v="0.19"/>
    <n v="105.08940000000001"/>
    <n v="630.54"/>
    <x v="2"/>
    <n v="3"/>
    <n v="3.1"/>
  </r>
  <r>
    <n v="1938"/>
    <d v="2025-04-21T00:00:00"/>
    <x v="5"/>
    <s v="Q2"/>
    <x v="3"/>
    <n v="4"/>
    <n v="1274"/>
    <x v="3"/>
    <x v="3"/>
    <n v="5"/>
    <n v="288.97000000000003"/>
    <n v="0.1"/>
    <n v="260.07300000000004"/>
    <n v="1300.3699999999999"/>
    <x v="1"/>
    <n v="2"/>
    <n v="2.5"/>
  </r>
  <r>
    <n v="1939"/>
    <d v="2025-04-22T00:00:00"/>
    <x v="5"/>
    <s v="Q2"/>
    <x v="3"/>
    <n v="4"/>
    <n v="1612"/>
    <x v="2"/>
    <x v="2"/>
    <n v="1"/>
    <n v="519.16999999999996"/>
    <n v="0.28000000000000003"/>
    <n v="373.80239999999992"/>
    <n v="373.8"/>
    <x v="1"/>
    <n v="6"/>
    <n v="4.9000000000000004"/>
  </r>
  <r>
    <n v="1940"/>
    <d v="2025-04-23T00:00:00"/>
    <x v="5"/>
    <s v="Q2"/>
    <x v="3"/>
    <n v="4"/>
    <n v="1043"/>
    <x v="1"/>
    <x v="0"/>
    <n v="7"/>
    <n v="309.86"/>
    <n v="0"/>
    <n v="309.86"/>
    <n v="2169.02"/>
    <x v="0"/>
    <n v="11"/>
    <n v="4.2"/>
  </r>
  <r>
    <n v="1941"/>
    <d v="2025-04-24T00:00:00"/>
    <x v="5"/>
    <s v="Q2"/>
    <x v="3"/>
    <n v="4"/>
    <n v="1954"/>
    <x v="0"/>
    <x v="2"/>
    <n v="6"/>
    <n v="414.82"/>
    <n v="0.28999999999999998"/>
    <n v="294.5222"/>
    <n v="1767.13"/>
    <x v="1"/>
    <n v="3"/>
    <n v="1.5"/>
  </r>
  <r>
    <n v="1942"/>
    <d v="2025-04-25T00:00:00"/>
    <x v="5"/>
    <s v="Q2"/>
    <x v="3"/>
    <n v="4"/>
    <n v="1816"/>
    <x v="2"/>
    <x v="3"/>
    <n v="3"/>
    <n v="358.94"/>
    <n v="0.33"/>
    <n v="240.4898"/>
    <n v="721.47"/>
    <x v="2"/>
    <n v="4"/>
    <n v="4.7"/>
  </r>
  <r>
    <n v="1943"/>
    <d v="2025-04-26T00:00:00"/>
    <x v="5"/>
    <s v="Q2"/>
    <x v="3"/>
    <n v="4"/>
    <n v="1956"/>
    <x v="1"/>
    <x v="2"/>
    <n v="7"/>
    <n v="507.78"/>
    <n v="0.25"/>
    <n v="380.83499999999998"/>
    <n v="2665.84"/>
    <x v="2"/>
    <n v="6"/>
    <n v="1.8"/>
  </r>
  <r>
    <n v="1944"/>
    <d v="2025-04-27T00:00:00"/>
    <x v="5"/>
    <s v="Q2"/>
    <x v="3"/>
    <n v="4"/>
    <n v="1016"/>
    <x v="2"/>
    <x v="2"/>
    <n v="1"/>
    <n v="181.47"/>
    <n v="0.26"/>
    <n v="134.2878"/>
    <n v="134.29"/>
    <x v="1"/>
    <n v="5"/>
    <n v="1.3"/>
  </r>
  <r>
    <n v="1945"/>
    <d v="2025-04-28T00:00:00"/>
    <x v="5"/>
    <s v="Q2"/>
    <x v="3"/>
    <n v="4"/>
    <n v="1329"/>
    <x v="1"/>
    <x v="3"/>
    <n v="4"/>
    <n v="351.65"/>
    <n v="0.33"/>
    <n v="235.60549999999998"/>
    <n v="942.42"/>
    <x v="2"/>
    <n v="4"/>
    <n v="3.2"/>
  </r>
  <r>
    <n v="1946"/>
    <d v="2025-04-29T00:00:00"/>
    <x v="5"/>
    <s v="Q2"/>
    <x v="3"/>
    <n v="4"/>
    <n v="1568"/>
    <x v="1"/>
    <x v="0"/>
    <n v="5"/>
    <n v="87.09"/>
    <n v="7.0000000000000007E-2"/>
    <n v="80.993700000000004"/>
    <n v="404.97"/>
    <x v="2"/>
    <n v="4"/>
    <n v="3.9"/>
  </r>
  <r>
    <n v="1947"/>
    <d v="2025-04-30T00:00:00"/>
    <x v="5"/>
    <s v="Q2"/>
    <x v="3"/>
    <n v="4"/>
    <n v="1822"/>
    <x v="1"/>
    <x v="0"/>
    <n v="7"/>
    <n v="418.77"/>
    <n v="0.35"/>
    <n v="272.20050000000003"/>
    <n v="1905.4"/>
    <x v="2"/>
    <n v="2"/>
    <n v="3.9"/>
  </r>
  <r>
    <n v="1948"/>
    <d v="2025-05-01T00:00:00"/>
    <x v="5"/>
    <s v="Q2"/>
    <x v="4"/>
    <n v="5"/>
    <n v="1496"/>
    <x v="1"/>
    <x v="2"/>
    <n v="6"/>
    <n v="443.2"/>
    <n v="0.27"/>
    <n v="323.536"/>
    <n v="1941.22"/>
    <x v="1"/>
    <n v="10"/>
    <n v="3.1"/>
  </r>
  <r>
    <n v="1949"/>
    <d v="2025-05-02T00:00:00"/>
    <x v="5"/>
    <s v="Q2"/>
    <x v="4"/>
    <n v="5"/>
    <n v="1814"/>
    <x v="0"/>
    <x v="1"/>
    <n v="2"/>
    <n v="40.06"/>
    <n v="0.25"/>
    <n v="30.045000000000002"/>
    <n v="60.09"/>
    <x v="1"/>
    <n v="4"/>
    <n v="3"/>
  </r>
  <r>
    <n v="1950"/>
    <d v="2025-05-03T00:00:00"/>
    <x v="5"/>
    <s v="Q2"/>
    <x v="4"/>
    <n v="5"/>
    <n v="1011"/>
    <x v="2"/>
    <x v="2"/>
    <n v="3"/>
    <n v="410.34"/>
    <n v="0.13"/>
    <n v="356.99579999999997"/>
    <n v="1070.99"/>
    <x v="2"/>
    <n v="8"/>
    <n v="4.9000000000000004"/>
  </r>
  <r>
    <n v="1951"/>
    <d v="2025-05-04T00:00:00"/>
    <x v="5"/>
    <s v="Q2"/>
    <x v="4"/>
    <n v="5"/>
    <n v="1317"/>
    <x v="2"/>
    <x v="1"/>
    <n v="7"/>
    <n v="257.58999999999997"/>
    <n v="0.19"/>
    <n v="208.64789999999999"/>
    <n v="1460.54"/>
    <x v="0"/>
    <n v="5"/>
    <n v="4.3"/>
  </r>
  <r>
    <n v="1952"/>
    <d v="2025-05-05T00:00:00"/>
    <x v="5"/>
    <s v="Q2"/>
    <x v="4"/>
    <n v="5"/>
    <n v="1591"/>
    <x v="0"/>
    <x v="2"/>
    <n v="6"/>
    <n v="87.6"/>
    <n v="0.23"/>
    <n v="67.451999999999998"/>
    <n v="404.71"/>
    <x v="1"/>
    <n v="11"/>
    <n v="3.8"/>
  </r>
  <r>
    <n v="1953"/>
    <d v="2025-05-06T00:00:00"/>
    <x v="5"/>
    <s v="Q2"/>
    <x v="4"/>
    <n v="5"/>
    <n v="1215"/>
    <x v="1"/>
    <x v="0"/>
    <n v="2"/>
    <n v="260.64999999999998"/>
    <n v="0.22"/>
    <n v="203.30699999999999"/>
    <n v="406.61"/>
    <x v="0"/>
    <n v="10"/>
    <n v="1.8"/>
  </r>
  <r>
    <n v="1954"/>
    <d v="2025-05-07T00:00:00"/>
    <x v="5"/>
    <s v="Q2"/>
    <x v="4"/>
    <n v="5"/>
    <n v="1338"/>
    <x v="0"/>
    <x v="2"/>
    <n v="6"/>
    <n v="128.63"/>
    <n v="0.25"/>
    <n v="96.472499999999997"/>
    <n v="578.84"/>
    <x v="2"/>
    <n v="10"/>
    <n v="4.3"/>
  </r>
  <r>
    <n v="1955"/>
    <d v="2025-05-08T00:00:00"/>
    <x v="5"/>
    <s v="Q2"/>
    <x v="4"/>
    <n v="5"/>
    <n v="1775"/>
    <x v="1"/>
    <x v="2"/>
    <n v="7"/>
    <n v="258.10000000000002"/>
    <n v="0.03"/>
    <n v="250.35700000000003"/>
    <n v="1752.5"/>
    <x v="0"/>
    <n v="8"/>
    <n v="4"/>
  </r>
  <r>
    <n v="1956"/>
    <d v="2025-05-09T00:00:00"/>
    <x v="5"/>
    <s v="Q2"/>
    <x v="4"/>
    <n v="5"/>
    <n v="1990"/>
    <x v="3"/>
    <x v="1"/>
    <n v="1"/>
    <n v="239.84"/>
    <n v="0.12"/>
    <n v="211.0592"/>
    <n v="211.06"/>
    <x v="1"/>
    <n v="6"/>
    <n v="5"/>
  </r>
  <r>
    <n v="1957"/>
    <d v="2025-05-10T00:00:00"/>
    <x v="5"/>
    <s v="Q2"/>
    <x v="4"/>
    <n v="5"/>
    <n v="1660"/>
    <x v="1"/>
    <x v="0"/>
    <n v="2"/>
    <n v="446.96"/>
    <n v="0.15"/>
    <n v="379.916"/>
    <n v="759.83"/>
    <x v="1"/>
    <n v="10"/>
    <n v="1.5"/>
  </r>
  <r>
    <n v="1958"/>
    <d v="2025-05-11T00:00:00"/>
    <x v="5"/>
    <s v="Q2"/>
    <x v="4"/>
    <n v="5"/>
    <n v="1080"/>
    <x v="3"/>
    <x v="1"/>
    <n v="2"/>
    <n v="467.92"/>
    <n v="0.09"/>
    <n v="425.80720000000002"/>
    <n v="851.61"/>
    <x v="1"/>
    <n v="5"/>
    <n v="3.9"/>
  </r>
  <r>
    <n v="1959"/>
    <d v="2025-05-12T00:00:00"/>
    <x v="5"/>
    <s v="Q2"/>
    <x v="4"/>
    <n v="5"/>
    <n v="1726"/>
    <x v="0"/>
    <x v="2"/>
    <n v="6"/>
    <n v="370.11"/>
    <n v="0.06"/>
    <n v="347.90340000000003"/>
    <n v="2087.42"/>
    <x v="1"/>
    <n v="4"/>
    <n v="4.9000000000000004"/>
  </r>
  <r>
    <n v="1960"/>
    <d v="2025-05-13T00:00:00"/>
    <x v="5"/>
    <s v="Q2"/>
    <x v="4"/>
    <n v="5"/>
    <n v="1484"/>
    <x v="1"/>
    <x v="3"/>
    <n v="4"/>
    <n v="28.27"/>
    <n v="0.05"/>
    <n v="26.8565"/>
    <n v="107.43"/>
    <x v="0"/>
    <n v="10"/>
    <n v="2.9"/>
  </r>
  <r>
    <n v="1961"/>
    <d v="2025-05-14T00:00:00"/>
    <x v="5"/>
    <s v="Q2"/>
    <x v="4"/>
    <n v="5"/>
    <n v="1373"/>
    <x v="2"/>
    <x v="2"/>
    <n v="7"/>
    <n v="559.65"/>
    <n v="0.13"/>
    <n v="486.89549999999997"/>
    <n v="3408.27"/>
    <x v="1"/>
    <n v="9"/>
    <n v="3.9"/>
  </r>
  <r>
    <n v="1962"/>
    <d v="2025-05-15T00:00:00"/>
    <x v="5"/>
    <s v="Q2"/>
    <x v="4"/>
    <n v="5"/>
    <n v="1975"/>
    <x v="2"/>
    <x v="2"/>
    <n v="4"/>
    <n v="416.45"/>
    <n v="0.17"/>
    <n v="345.65350000000001"/>
    <n v="1382.61"/>
    <x v="2"/>
    <n v="10"/>
    <n v="4.9000000000000004"/>
  </r>
  <r>
    <n v="1963"/>
    <d v="2025-05-16T00:00:00"/>
    <x v="5"/>
    <s v="Q2"/>
    <x v="4"/>
    <n v="5"/>
    <n v="1709"/>
    <x v="2"/>
    <x v="1"/>
    <n v="5"/>
    <n v="35"/>
    <n v="0.02"/>
    <n v="34.299999999999997"/>
    <n v="171.5"/>
    <x v="1"/>
    <n v="5"/>
    <n v="3.2"/>
  </r>
  <r>
    <n v="1964"/>
    <d v="2025-05-17T00:00:00"/>
    <x v="5"/>
    <s v="Q2"/>
    <x v="4"/>
    <n v="5"/>
    <n v="1199"/>
    <x v="2"/>
    <x v="3"/>
    <n v="1"/>
    <n v="494.02"/>
    <n v="0.33"/>
    <n v="330.99339999999995"/>
    <n v="330.99"/>
    <x v="2"/>
    <n v="10"/>
    <n v="3.8"/>
  </r>
  <r>
    <n v="1965"/>
    <d v="2025-05-18T00:00:00"/>
    <x v="5"/>
    <s v="Q2"/>
    <x v="4"/>
    <n v="5"/>
    <n v="1536"/>
    <x v="2"/>
    <x v="3"/>
    <n v="4"/>
    <n v="132.16"/>
    <n v="0.27"/>
    <n v="96.476799999999997"/>
    <n v="385.91"/>
    <x v="1"/>
    <n v="11"/>
    <n v="1.1000000000000001"/>
  </r>
  <r>
    <n v="1966"/>
    <d v="2025-05-19T00:00:00"/>
    <x v="5"/>
    <s v="Q2"/>
    <x v="4"/>
    <n v="5"/>
    <n v="1465"/>
    <x v="1"/>
    <x v="1"/>
    <n v="6"/>
    <n v="353.84"/>
    <n v="0.26"/>
    <n v="261.84159999999997"/>
    <n v="1571.05"/>
    <x v="1"/>
    <n v="6"/>
    <n v="3.1"/>
  </r>
  <r>
    <n v="1967"/>
    <d v="2025-05-20T00:00:00"/>
    <x v="5"/>
    <s v="Q2"/>
    <x v="4"/>
    <n v="5"/>
    <n v="1088"/>
    <x v="1"/>
    <x v="0"/>
    <n v="7"/>
    <n v="287.98"/>
    <n v="0.06"/>
    <n v="270.70120000000003"/>
    <n v="1894.91"/>
    <x v="1"/>
    <n v="7"/>
    <n v="2"/>
  </r>
  <r>
    <n v="1968"/>
    <d v="2025-05-21T00:00:00"/>
    <x v="5"/>
    <s v="Q2"/>
    <x v="4"/>
    <n v="5"/>
    <n v="1267"/>
    <x v="1"/>
    <x v="3"/>
    <n v="4"/>
    <n v="260.61"/>
    <n v="0.21"/>
    <n v="205.88190000000003"/>
    <n v="823.53"/>
    <x v="2"/>
    <n v="11"/>
    <n v="1.5"/>
  </r>
  <r>
    <n v="1969"/>
    <d v="2025-05-22T00:00:00"/>
    <x v="5"/>
    <s v="Q2"/>
    <x v="4"/>
    <n v="5"/>
    <n v="1654"/>
    <x v="1"/>
    <x v="3"/>
    <n v="5"/>
    <n v="535.48"/>
    <n v="0.19"/>
    <n v="433.73880000000003"/>
    <n v="2168.69"/>
    <x v="1"/>
    <n v="11"/>
    <n v="3.8"/>
  </r>
  <r>
    <n v="1970"/>
    <d v="2025-05-23T00:00:00"/>
    <x v="5"/>
    <s v="Q2"/>
    <x v="4"/>
    <n v="5"/>
    <n v="1570"/>
    <x v="2"/>
    <x v="1"/>
    <n v="3"/>
    <n v="270.86"/>
    <n v="0.34"/>
    <n v="178.76760000000002"/>
    <n v="536.29999999999995"/>
    <x v="1"/>
    <n v="1"/>
    <n v="1.2"/>
  </r>
  <r>
    <n v="1971"/>
    <d v="2025-05-24T00:00:00"/>
    <x v="5"/>
    <s v="Q2"/>
    <x v="4"/>
    <n v="5"/>
    <n v="1921"/>
    <x v="2"/>
    <x v="0"/>
    <n v="5"/>
    <n v="59.08"/>
    <n v="0.26"/>
    <n v="43.719200000000001"/>
    <n v="218.6"/>
    <x v="1"/>
    <n v="9"/>
    <n v="4.5999999999999996"/>
  </r>
  <r>
    <n v="1972"/>
    <d v="2025-05-25T00:00:00"/>
    <x v="5"/>
    <s v="Q2"/>
    <x v="4"/>
    <n v="5"/>
    <n v="1488"/>
    <x v="2"/>
    <x v="0"/>
    <n v="2"/>
    <n v="568.78"/>
    <n v="0.2"/>
    <n v="455.024"/>
    <n v="910.05"/>
    <x v="0"/>
    <n v="8"/>
    <n v="3.1"/>
  </r>
  <r>
    <n v="1973"/>
    <d v="2025-05-26T00:00:00"/>
    <x v="5"/>
    <s v="Q2"/>
    <x v="4"/>
    <n v="5"/>
    <n v="1876"/>
    <x v="1"/>
    <x v="2"/>
    <n v="7"/>
    <n v="553.51"/>
    <n v="0.3"/>
    <n v="387.45699999999999"/>
    <n v="2712.2"/>
    <x v="2"/>
    <n v="11"/>
    <n v="3.6"/>
  </r>
  <r>
    <n v="1974"/>
    <d v="2025-05-27T00:00:00"/>
    <x v="5"/>
    <s v="Q2"/>
    <x v="4"/>
    <n v="5"/>
    <n v="1537"/>
    <x v="2"/>
    <x v="2"/>
    <n v="2"/>
    <n v="415.39"/>
    <n v="0.05"/>
    <n v="394.62049999999999"/>
    <n v="789.24"/>
    <x v="2"/>
    <n v="5"/>
    <n v="2"/>
  </r>
  <r>
    <n v="1975"/>
    <d v="2025-05-28T00:00:00"/>
    <x v="5"/>
    <s v="Q2"/>
    <x v="4"/>
    <n v="5"/>
    <n v="1046"/>
    <x v="2"/>
    <x v="1"/>
    <n v="4"/>
    <n v="288.72000000000003"/>
    <n v="0.01"/>
    <n v="285.83280000000002"/>
    <n v="1143.33"/>
    <x v="2"/>
    <n v="3"/>
    <n v="1.7"/>
  </r>
  <r>
    <n v="1976"/>
    <d v="2025-05-29T00:00:00"/>
    <x v="5"/>
    <s v="Q2"/>
    <x v="4"/>
    <n v="5"/>
    <n v="1287"/>
    <x v="1"/>
    <x v="0"/>
    <n v="4"/>
    <n v="69.319999999999993"/>
    <n v="0.24"/>
    <n v="52.683199999999999"/>
    <n v="210.73"/>
    <x v="1"/>
    <n v="5"/>
    <n v="2"/>
  </r>
  <r>
    <n v="1977"/>
    <d v="2025-05-30T00:00:00"/>
    <x v="5"/>
    <s v="Q2"/>
    <x v="4"/>
    <n v="5"/>
    <n v="1777"/>
    <x v="3"/>
    <x v="1"/>
    <n v="5"/>
    <n v="477.59"/>
    <n v="0.03"/>
    <n v="463.26229999999998"/>
    <n v="2316.31"/>
    <x v="2"/>
    <n v="5"/>
    <n v="1.9"/>
  </r>
  <r>
    <n v="1978"/>
    <d v="2025-05-31T00:00:00"/>
    <x v="5"/>
    <s v="Q2"/>
    <x v="4"/>
    <n v="5"/>
    <n v="1015"/>
    <x v="2"/>
    <x v="2"/>
    <n v="5"/>
    <n v="59.15"/>
    <n v="0.04"/>
    <n v="56.783999999999999"/>
    <n v="283.92"/>
    <x v="1"/>
    <n v="9"/>
    <n v="4.5"/>
  </r>
  <r>
    <n v="1979"/>
    <d v="2025-06-01T00:00:00"/>
    <x v="5"/>
    <s v="Q2"/>
    <x v="5"/>
    <n v="6"/>
    <n v="1710"/>
    <x v="1"/>
    <x v="1"/>
    <n v="6"/>
    <n v="55.13"/>
    <n v="0.26"/>
    <n v="40.796199999999999"/>
    <n v="244.78"/>
    <x v="1"/>
    <n v="7"/>
    <n v="4.0999999999999996"/>
  </r>
  <r>
    <n v="1980"/>
    <d v="2025-06-02T00:00:00"/>
    <x v="5"/>
    <s v="Q2"/>
    <x v="5"/>
    <n v="6"/>
    <n v="1400"/>
    <x v="3"/>
    <x v="1"/>
    <n v="1"/>
    <n v="329.37"/>
    <n v="0.09"/>
    <n v="299.72669999999999"/>
    <n v="299.73"/>
    <x v="2"/>
    <n v="2"/>
    <n v="4.4000000000000004"/>
  </r>
  <r>
    <n v="1981"/>
    <d v="2025-06-03T00:00:00"/>
    <x v="5"/>
    <s v="Q2"/>
    <x v="5"/>
    <n v="6"/>
    <n v="1918"/>
    <x v="3"/>
    <x v="3"/>
    <n v="6"/>
    <n v="108.68"/>
    <n v="0.22"/>
    <n v="84.770400000000009"/>
    <n v="508.62"/>
    <x v="2"/>
    <n v="5"/>
    <n v="3.9"/>
  </r>
  <r>
    <n v="1982"/>
    <d v="2025-06-04T00:00:00"/>
    <x v="5"/>
    <s v="Q2"/>
    <x v="5"/>
    <n v="6"/>
    <n v="1793"/>
    <x v="0"/>
    <x v="3"/>
    <n v="2"/>
    <n v="19.52"/>
    <n v="0.32"/>
    <n v="13.273599999999998"/>
    <n v="26.55"/>
    <x v="1"/>
    <n v="9"/>
    <n v="3.6"/>
  </r>
  <r>
    <n v="1983"/>
    <d v="2025-06-05T00:00:00"/>
    <x v="5"/>
    <s v="Q2"/>
    <x v="5"/>
    <n v="6"/>
    <n v="1980"/>
    <x v="2"/>
    <x v="3"/>
    <n v="6"/>
    <n v="262.52"/>
    <n v="0.11"/>
    <n v="233.64279999999999"/>
    <n v="1401.86"/>
    <x v="1"/>
    <n v="11"/>
    <n v="3.1"/>
  </r>
  <r>
    <n v="1984"/>
    <d v="2025-06-06T00:00:00"/>
    <x v="5"/>
    <s v="Q2"/>
    <x v="5"/>
    <n v="6"/>
    <n v="1085"/>
    <x v="2"/>
    <x v="2"/>
    <n v="5"/>
    <n v="95.27"/>
    <n v="0.08"/>
    <n v="87.648399999999995"/>
    <n v="438.24"/>
    <x v="2"/>
    <n v="2"/>
    <n v="2.1"/>
  </r>
  <r>
    <n v="1985"/>
    <d v="2025-06-07T00:00:00"/>
    <x v="5"/>
    <s v="Q2"/>
    <x v="5"/>
    <n v="6"/>
    <n v="1249"/>
    <x v="0"/>
    <x v="1"/>
    <n v="7"/>
    <n v="108.9"/>
    <n v="0.04"/>
    <n v="104.54400000000001"/>
    <n v="731.81"/>
    <x v="2"/>
    <n v="8"/>
    <n v="3.8"/>
  </r>
  <r>
    <n v="1986"/>
    <d v="2025-06-08T00:00:00"/>
    <x v="5"/>
    <s v="Q2"/>
    <x v="5"/>
    <n v="6"/>
    <n v="1390"/>
    <x v="1"/>
    <x v="3"/>
    <n v="6"/>
    <n v="59.99"/>
    <n v="0.05"/>
    <n v="56.990500000000004"/>
    <n v="341.94"/>
    <x v="1"/>
    <n v="3"/>
    <n v="1.5"/>
  </r>
  <r>
    <n v="1987"/>
    <d v="2025-06-09T00:00:00"/>
    <x v="5"/>
    <s v="Q2"/>
    <x v="5"/>
    <n v="6"/>
    <n v="1781"/>
    <x v="1"/>
    <x v="3"/>
    <n v="3"/>
    <n v="134.97999999999999"/>
    <n v="0.02"/>
    <n v="132.28039999999999"/>
    <n v="396.84"/>
    <x v="1"/>
    <n v="4"/>
    <n v="3"/>
  </r>
  <r>
    <n v="1988"/>
    <d v="2025-06-10T00:00:00"/>
    <x v="5"/>
    <s v="Q2"/>
    <x v="5"/>
    <n v="6"/>
    <n v="1334"/>
    <x v="3"/>
    <x v="3"/>
    <n v="1"/>
    <n v="433.56"/>
    <n v="0.03"/>
    <n v="420.5532"/>
    <n v="420.55"/>
    <x v="0"/>
    <n v="2"/>
    <n v="1.8"/>
  </r>
  <r>
    <n v="1989"/>
    <d v="2025-06-11T00:00:00"/>
    <x v="5"/>
    <s v="Q2"/>
    <x v="5"/>
    <n v="6"/>
    <n v="1628"/>
    <x v="3"/>
    <x v="2"/>
    <n v="5"/>
    <n v="488.22"/>
    <n v="0.15"/>
    <n v="414.98700000000002"/>
    <n v="2074.94"/>
    <x v="2"/>
    <n v="9"/>
    <n v="3"/>
  </r>
  <r>
    <n v="1990"/>
    <d v="2025-06-12T00:00:00"/>
    <x v="5"/>
    <s v="Q2"/>
    <x v="5"/>
    <n v="6"/>
    <n v="1518"/>
    <x v="0"/>
    <x v="2"/>
    <n v="7"/>
    <n v="279.73"/>
    <n v="0.11"/>
    <n v="248.95970000000003"/>
    <n v="1742.72"/>
    <x v="0"/>
    <n v="6"/>
    <n v="2.2000000000000002"/>
  </r>
  <r>
    <n v="1991"/>
    <d v="2025-06-13T00:00:00"/>
    <x v="5"/>
    <s v="Q2"/>
    <x v="5"/>
    <n v="6"/>
    <n v="1136"/>
    <x v="0"/>
    <x v="1"/>
    <n v="4"/>
    <n v="311.33"/>
    <n v="0.25"/>
    <n v="233.4975"/>
    <n v="933.99"/>
    <x v="1"/>
    <n v="9"/>
    <n v="1.2"/>
  </r>
  <r>
    <n v="1992"/>
    <d v="2025-06-14T00:00:00"/>
    <x v="5"/>
    <s v="Q2"/>
    <x v="5"/>
    <n v="6"/>
    <n v="1882"/>
    <x v="3"/>
    <x v="1"/>
    <n v="6"/>
    <n v="34.1"/>
    <n v="0.3"/>
    <n v="23.87"/>
    <n v="143.22"/>
    <x v="2"/>
    <n v="11"/>
    <n v="3"/>
  </r>
  <r>
    <n v="1993"/>
    <d v="2025-06-15T00:00:00"/>
    <x v="5"/>
    <s v="Q2"/>
    <x v="5"/>
    <n v="6"/>
    <n v="1687"/>
    <x v="2"/>
    <x v="1"/>
    <n v="5"/>
    <n v="55.55"/>
    <n v="0.27"/>
    <n v="40.551499999999997"/>
    <n v="202.76"/>
    <x v="1"/>
    <n v="8"/>
    <n v="1.7"/>
  </r>
  <r>
    <n v="1994"/>
    <d v="2025-06-16T00:00:00"/>
    <x v="5"/>
    <s v="Q2"/>
    <x v="5"/>
    <n v="6"/>
    <n v="1839"/>
    <x v="0"/>
    <x v="3"/>
    <n v="4"/>
    <n v="165.68"/>
    <n v="0.19"/>
    <n v="134.20080000000002"/>
    <n v="536.79999999999995"/>
    <x v="2"/>
    <n v="9"/>
    <n v="1.6"/>
  </r>
  <r>
    <n v="1995"/>
    <d v="2025-06-17T00:00:00"/>
    <x v="5"/>
    <s v="Q2"/>
    <x v="5"/>
    <n v="6"/>
    <n v="1497"/>
    <x v="2"/>
    <x v="0"/>
    <n v="4"/>
    <n v="333.18"/>
    <n v="0.04"/>
    <n v="319.8528"/>
    <n v="1279.4100000000001"/>
    <x v="1"/>
    <n v="5"/>
    <n v="2.5"/>
  </r>
  <r>
    <n v="1996"/>
    <d v="2025-06-18T00:00:00"/>
    <x v="5"/>
    <s v="Q2"/>
    <x v="5"/>
    <n v="6"/>
    <n v="1826"/>
    <x v="2"/>
    <x v="2"/>
    <n v="2"/>
    <n v="447.64"/>
    <n v="0.25"/>
    <n v="335.73"/>
    <n v="671.46"/>
    <x v="1"/>
    <n v="6"/>
    <n v="2.4"/>
  </r>
  <r>
    <n v="1997"/>
    <d v="2025-06-19T00:00:00"/>
    <x v="5"/>
    <s v="Q2"/>
    <x v="5"/>
    <n v="6"/>
    <n v="1726"/>
    <x v="0"/>
    <x v="3"/>
    <n v="2"/>
    <n v="368.93"/>
    <n v="0.13"/>
    <n v="320.96910000000003"/>
    <n v="641.94000000000005"/>
    <x v="1"/>
    <n v="7"/>
    <n v="4.5"/>
  </r>
  <r>
    <n v="1998"/>
    <d v="2025-06-20T00:00:00"/>
    <x v="5"/>
    <s v="Q2"/>
    <x v="5"/>
    <n v="6"/>
    <n v="1476"/>
    <x v="2"/>
    <x v="3"/>
    <n v="7"/>
    <n v="244.39"/>
    <n v="0.03"/>
    <n v="237.05829999999997"/>
    <n v="1659.41"/>
    <x v="2"/>
    <n v="5"/>
    <n v="3.3"/>
  </r>
  <r>
    <n v="1999"/>
    <d v="2025-06-21T00:00:00"/>
    <x v="5"/>
    <s v="Q2"/>
    <x v="5"/>
    <n v="6"/>
    <n v="1593"/>
    <x v="2"/>
    <x v="1"/>
    <n v="5"/>
    <n v="84.22"/>
    <n v="0.28999999999999998"/>
    <n v="59.796199999999999"/>
    <n v="298.98"/>
    <x v="2"/>
    <n v="1"/>
    <n v="4.4000000000000004"/>
  </r>
  <r>
    <n v="2000"/>
    <d v="2025-06-22T00:00:00"/>
    <x v="5"/>
    <s v="Q2"/>
    <x v="5"/>
    <n v="6"/>
    <n v="1222"/>
    <x v="2"/>
    <x v="1"/>
    <n v="7"/>
    <n v="471.75"/>
    <n v="0.12"/>
    <n v="415.14"/>
    <n v="2905.98"/>
    <x v="2"/>
    <n v="9"/>
    <n v="1.6"/>
  </r>
  <r>
    <n v="2001"/>
    <d v="2025-06-23T00:00:00"/>
    <x v="5"/>
    <s v="Q2"/>
    <x v="5"/>
    <n v="6"/>
    <n v="1989"/>
    <x v="0"/>
    <x v="3"/>
    <n v="5"/>
    <n v="227.81"/>
    <n v="0.08"/>
    <n v="209.58519999999999"/>
    <n v="1047.93"/>
    <x v="0"/>
    <n v="2"/>
    <n v="2.4"/>
  </r>
  <r>
    <n v="2002"/>
    <d v="2025-06-24T00:00:00"/>
    <x v="5"/>
    <s v="Q2"/>
    <x v="5"/>
    <n v="6"/>
    <n v="1371"/>
    <x v="1"/>
    <x v="2"/>
    <n v="3"/>
    <n v="445.59"/>
    <n v="0.31"/>
    <n v="307.45709999999997"/>
    <n v="922.37"/>
    <x v="2"/>
    <n v="7"/>
    <n v="3.2"/>
  </r>
  <r>
    <n v="2003"/>
    <d v="2025-06-25T00:00:00"/>
    <x v="5"/>
    <s v="Q2"/>
    <x v="5"/>
    <n v="6"/>
    <n v="1934"/>
    <x v="3"/>
    <x v="2"/>
    <n v="1"/>
    <n v="315.08999999999997"/>
    <n v="0.32"/>
    <n v="214.26119999999997"/>
    <n v="214.26"/>
    <x v="2"/>
    <n v="8"/>
    <n v="1.6"/>
  </r>
  <r>
    <n v="2004"/>
    <d v="2025-06-26T00:00:00"/>
    <x v="5"/>
    <s v="Q2"/>
    <x v="5"/>
    <n v="6"/>
    <n v="1994"/>
    <x v="2"/>
    <x v="3"/>
    <n v="1"/>
    <n v="447.12"/>
    <n v="0.12"/>
    <n v="393.46559999999999"/>
    <n v="393.47"/>
    <x v="0"/>
    <n v="8"/>
    <n v="1.5"/>
  </r>
  <r>
    <n v="2005"/>
    <d v="2025-06-27T00:00:00"/>
    <x v="5"/>
    <s v="Q2"/>
    <x v="5"/>
    <n v="6"/>
    <n v="1401"/>
    <x v="3"/>
    <x v="0"/>
    <n v="5"/>
    <n v="545.76"/>
    <n v="0.12"/>
    <n v="480.2688"/>
    <n v="2401.34"/>
    <x v="2"/>
    <n v="1"/>
    <n v="3.6"/>
  </r>
  <r>
    <n v="2006"/>
    <d v="2025-06-28T00:00:00"/>
    <x v="5"/>
    <s v="Q2"/>
    <x v="5"/>
    <n v="6"/>
    <n v="1442"/>
    <x v="3"/>
    <x v="0"/>
    <n v="2"/>
    <n v="553.79999999999995"/>
    <n v="0.2"/>
    <n v="443.03999999999996"/>
    <n v="886.08"/>
    <x v="1"/>
    <n v="10"/>
    <n v="3.6"/>
  </r>
  <r>
    <n v="2007"/>
    <d v="2025-06-29T00:00:00"/>
    <x v="5"/>
    <s v="Q2"/>
    <x v="5"/>
    <n v="6"/>
    <n v="1489"/>
    <x v="2"/>
    <x v="2"/>
    <n v="6"/>
    <n v="328.04"/>
    <n v="0.26"/>
    <n v="242.74960000000002"/>
    <n v="1456.5"/>
    <x v="0"/>
    <n v="7"/>
    <n v="1.9"/>
  </r>
  <r>
    <n v="2008"/>
    <d v="2025-06-30T00:00:00"/>
    <x v="5"/>
    <s v="Q2"/>
    <x v="5"/>
    <n v="6"/>
    <n v="1614"/>
    <x v="1"/>
    <x v="1"/>
    <n v="7"/>
    <n v="314.23"/>
    <n v="0.02"/>
    <n v="307.94540000000001"/>
    <n v="2155.62"/>
    <x v="1"/>
    <n v="9"/>
    <n v="1.9"/>
  </r>
  <r>
    <n v="2009"/>
    <d v="2025-07-01T00:00:00"/>
    <x v="5"/>
    <s v="Q3"/>
    <x v="6"/>
    <n v="7"/>
    <n v="1272"/>
    <x v="2"/>
    <x v="0"/>
    <n v="3"/>
    <n v="170.42"/>
    <n v="0.21"/>
    <n v="134.6318"/>
    <n v="403.9"/>
    <x v="2"/>
    <n v="11"/>
    <n v="4"/>
  </r>
  <r>
    <n v="2010"/>
    <d v="2025-07-02T00:00:00"/>
    <x v="5"/>
    <s v="Q3"/>
    <x v="6"/>
    <n v="7"/>
    <n v="1525"/>
    <x v="0"/>
    <x v="0"/>
    <n v="1"/>
    <n v="562.44000000000005"/>
    <n v="0.33"/>
    <n v="376.83480000000003"/>
    <n v="376.83"/>
    <x v="1"/>
    <n v="11"/>
    <n v="1.5"/>
  </r>
  <r>
    <n v="2011"/>
    <d v="2025-07-03T00:00:00"/>
    <x v="5"/>
    <s v="Q3"/>
    <x v="6"/>
    <n v="7"/>
    <n v="1158"/>
    <x v="1"/>
    <x v="1"/>
    <n v="5"/>
    <n v="282.88"/>
    <n v="0.09"/>
    <n v="257.42079999999999"/>
    <n v="1287.0999999999999"/>
    <x v="2"/>
    <n v="3"/>
    <n v="4.7"/>
  </r>
  <r>
    <n v="2012"/>
    <d v="2025-07-04T00:00:00"/>
    <x v="5"/>
    <s v="Q3"/>
    <x v="6"/>
    <n v="7"/>
    <n v="1151"/>
    <x v="0"/>
    <x v="0"/>
    <n v="2"/>
    <n v="89.64"/>
    <n v="0.32"/>
    <n v="60.955200000000005"/>
    <n v="121.91"/>
    <x v="2"/>
    <n v="8"/>
    <n v="4.8"/>
  </r>
  <r>
    <n v="2013"/>
    <d v="2025-07-05T00:00:00"/>
    <x v="5"/>
    <s v="Q3"/>
    <x v="6"/>
    <n v="7"/>
    <n v="1994"/>
    <x v="2"/>
    <x v="3"/>
    <n v="2"/>
    <n v="268.13"/>
    <n v="0.33"/>
    <n v="179.64709999999999"/>
    <n v="359.29"/>
    <x v="1"/>
    <n v="8"/>
    <n v="4.5"/>
  </r>
  <r>
    <n v="2014"/>
    <d v="2025-07-06T00:00:00"/>
    <x v="5"/>
    <s v="Q3"/>
    <x v="6"/>
    <n v="7"/>
    <n v="1619"/>
    <x v="3"/>
    <x v="0"/>
    <n v="2"/>
    <n v="89.33"/>
    <n v="0.09"/>
    <n v="81.290300000000002"/>
    <n v="162.58000000000001"/>
    <x v="2"/>
    <n v="9"/>
    <n v="1.8"/>
  </r>
  <r>
    <n v="2015"/>
    <d v="2025-07-07T00:00:00"/>
    <x v="5"/>
    <s v="Q3"/>
    <x v="6"/>
    <n v="7"/>
    <n v="1187"/>
    <x v="3"/>
    <x v="1"/>
    <n v="7"/>
    <n v="308.98"/>
    <n v="0.26"/>
    <n v="228.64520000000002"/>
    <n v="1600.52"/>
    <x v="2"/>
    <n v="8"/>
    <n v="1.1000000000000001"/>
  </r>
  <r>
    <n v="2016"/>
    <d v="2025-07-08T00:00:00"/>
    <x v="5"/>
    <s v="Q3"/>
    <x v="6"/>
    <n v="7"/>
    <n v="1812"/>
    <x v="3"/>
    <x v="3"/>
    <n v="6"/>
    <n v="343.35"/>
    <n v="0.08"/>
    <n v="315.88200000000001"/>
    <n v="1895.29"/>
    <x v="1"/>
    <n v="5"/>
    <n v="4.7"/>
  </r>
  <r>
    <n v="2017"/>
    <d v="2025-07-09T00:00:00"/>
    <x v="5"/>
    <s v="Q3"/>
    <x v="6"/>
    <n v="7"/>
    <n v="1097"/>
    <x v="0"/>
    <x v="0"/>
    <n v="4"/>
    <n v="212.59"/>
    <n v="0.26"/>
    <n v="157.31659999999999"/>
    <n v="629.27"/>
    <x v="1"/>
    <n v="5"/>
    <n v="2.4"/>
  </r>
  <r>
    <n v="2018"/>
    <d v="2025-07-10T00:00:00"/>
    <x v="5"/>
    <s v="Q3"/>
    <x v="6"/>
    <n v="7"/>
    <n v="1130"/>
    <x v="1"/>
    <x v="2"/>
    <n v="7"/>
    <n v="56.92"/>
    <n v="0.28000000000000003"/>
    <n v="40.982399999999998"/>
    <n v="286.88"/>
    <x v="1"/>
    <n v="3"/>
    <n v="2.2000000000000002"/>
  </r>
  <r>
    <n v="2019"/>
    <d v="2025-07-11T00:00:00"/>
    <x v="5"/>
    <s v="Q3"/>
    <x v="6"/>
    <n v="7"/>
    <n v="1804"/>
    <x v="2"/>
    <x v="3"/>
    <n v="6"/>
    <n v="566.95000000000005"/>
    <n v="0.09"/>
    <n v="515.92450000000008"/>
    <n v="3095.55"/>
    <x v="0"/>
    <n v="6"/>
    <n v="2"/>
  </r>
  <r>
    <n v="2020"/>
    <d v="2025-07-12T00:00:00"/>
    <x v="5"/>
    <s v="Q3"/>
    <x v="6"/>
    <n v="7"/>
    <n v="1170"/>
    <x v="3"/>
    <x v="3"/>
    <n v="2"/>
    <n v="467.41"/>
    <n v="0.25"/>
    <n v="350.5575"/>
    <n v="701.12"/>
    <x v="2"/>
    <n v="10"/>
    <n v="2"/>
  </r>
  <r>
    <n v="2021"/>
    <d v="2025-07-13T00:00:00"/>
    <x v="5"/>
    <s v="Q3"/>
    <x v="6"/>
    <n v="7"/>
    <n v="1935"/>
    <x v="3"/>
    <x v="2"/>
    <n v="5"/>
    <n v="505.75"/>
    <n v="0.28000000000000003"/>
    <n v="364.14"/>
    <n v="1820.7"/>
    <x v="0"/>
    <n v="3"/>
    <n v="3.9"/>
  </r>
  <r>
    <n v="2022"/>
    <d v="2025-07-14T00:00:00"/>
    <x v="5"/>
    <s v="Q3"/>
    <x v="6"/>
    <n v="7"/>
    <n v="1985"/>
    <x v="1"/>
    <x v="2"/>
    <n v="3"/>
    <n v="229.62"/>
    <n v="0.13"/>
    <n v="199.76940000000002"/>
    <n v="599.30999999999995"/>
    <x v="1"/>
    <n v="2"/>
    <n v="4.5999999999999996"/>
  </r>
  <r>
    <n v="2023"/>
    <d v="2025-07-15T00:00:00"/>
    <x v="5"/>
    <s v="Q3"/>
    <x v="6"/>
    <n v="7"/>
    <n v="1182"/>
    <x v="2"/>
    <x v="0"/>
    <n v="6"/>
    <n v="460.09"/>
    <n v="0.06"/>
    <n v="432.4846"/>
    <n v="2594.91"/>
    <x v="1"/>
    <n v="7"/>
    <n v="4.0999999999999996"/>
  </r>
  <r>
    <n v="2024"/>
    <d v="2025-07-16T00:00:00"/>
    <x v="5"/>
    <s v="Q3"/>
    <x v="6"/>
    <n v="7"/>
    <n v="1982"/>
    <x v="1"/>
    <x v="0"/>
    <n v="5"/>
    <n v="298.94"/>
    <n v="0.03"/>
    <n v="289.97179999999997"/>
    <n v="1449.86"/>
    <x v="1"/>
    <n v="10"/>
    <n v="3.7"/>
  </r>
  <r>
    <n v="2025"/>
    <d v="2025-07-17T00:00:00"/>
    <x v="5"/>
    <s v="Q3"/>
    <x v="6"/>
    <n v="7"/>
    <n v="1363"/>
    <x v="2"/>
    <x v="1"/>
    <n v="7"/>
    <n v="132.63"/>
    <n v="0.2"/>
    <n v="106.104"/>
    <n v="742.73"/>
    <x v="1"/>
    <n v="3"/>
    <n v="2.2000000000000002"/>
  </r>
  <r>
    <n v="2026"/>
    <d v="2025-07-18T00:00:00"/>
    <x v="5"/>
    <s v="Q3"/>
    <x v="6"/>
    <n v="7"/>
    <n v="1038"/>
    <x v="1"/>
    <x v="1"/>
    <n v="7"/>
    <n v="87.79"/>
    <n v="0.34"/>
    <n v="57.941400000000002"/>
    <n v="405.59"/>
    <x v="2"/>
    <n v="4"/>
    <n v="3.2"/>
  </r>
  <r>
    <n v="2027"/>
    <d v="2025-07-19T00:00:00"/>
    <x v="5"/>
    <s v="Q3"/>
    <x v="6"/>
    <n v="7"/>
    <n v="1526"/>
    <x v="1"/>
    <x v="3"/>
    <n v="2"/>
    <n v="216.85"/>
    <n v="0.28999999999999998"/>
    <n v="153.96350000000001"/>
    <n v="307.93"/>
    <x v="0"/>
    <n v="11"/>
    <n v="1.9"/>
  </r>
  <r>
    <n v="2028"/>
    <d v="2025-07-20T00:00:00"/>
    <x v="5"/>
    <s v="Q3"/>
    <x v="6"/>
    <n v="7"/>
    <n v="1887"/>
    <x v="3"/>
    <x v="2"/>
    <n v="3"/>
    <n v="95.47"/>
    <n v="0.15"/>
    <n v="81.149500000000003"/>
    <n v="243.45"/>
    <x v="1"/>
    <n v="10"/>
    <n v="1.4"/>
  </r>
  <r>
    <n v="2029"/>
    <d v="2025-07-21T00:00:00"/>
    <x v="5"/>
    <s v="Q3"/>
    <x v="6"/>
    <n v="7"/>
    <n v="1496"/>
    <x v="2"/>
    <x v="2"/>
    <n v="1"/>
    <n v="598.99"/>
    <n v="0.19"/>
    <n v="485.18190000000004"/>
    <n v="485.18"/>
    <x v="0"/>
    <n v="8"/>
    <n v="1.5"/>
  </r>
  <r>
    <n v="2030"/>
    <d v="2025-07-22T00:00:00"/>
    <x v="5"/>
    <s v="Q3"/>
    <x v="6"/>
    <n v="7"/>
    <n v="1515"/>
    <x v="1"/>
    <x v="1"/>
    <n v="1"/>
    <n v="43.78"/>
    <n v="0.1"/>
    <n v="39.402000000000001"/>
    <n v="39.4"/>
    <x v="1"/>
    <n v="1"/>
    <n v="3.4"/>
  </r>
  <r>
    <n v="2031"/>
    <d v="2025-07-23T00:00:00"/>
    <x v="5"/>
    <s v="Q3"/>
    <x v="6"/>
    <n v="7"/>
    <n v="1348"/>
    <x v="2"/>
    <x v="3"/>
    <n v="7"/>
    <n v="273.07"/>
    <n v="0.06"/>
    <n v="256.68579999999997"/>
    <n v="1796.8"/>
    <x v="0"/>
    <n v="9"/>
    <n v="1.2"/>
  </r>
  <r>
    <n v="2032"/>
    <d v="2025-07-24T00:00:00"/>
    <x v="5"/>
    <s v="Q3"/>
    <x v="6"/>
    <n v="7"/>
    <n v="1981"/>
    <x v="2"/>
    <x v="3"/>
    <n v="5"/>
    <n v="279.47000000000003"/>
    <n v="0.17"/>
    <n v="231.96010000000001"/>
    <n v="1159.8"/>
    <x v="1"/>
    <n v="6"/>
    <n v="4.9000000000000004"/>
  </r>
  <r>
    <n v="2033"/>
    <d v="2025-07-25T00:00:00"/>
    <x v="5"/>
    <s v="Q3"/>
    <x v="6"/>
    <n v="7"/>
    <n v="1920"/>
    <x v="3"/>
    <x v="1"/>
    <n v="3"/>
    <n v="190.87"/>
    <n v="0.16"/>
    <n v="160.33080000000001"/>
    <n v="480.99"/>
    <x v="0"/>
    <n v="2"/>
    <n v="5"/>
  </r>
  <r>
    <n v="2034"/>
    <d v="2025-07-26T00:00:00"/>
    <x v="5"/>
    <s v="Q3"/>
    <x v="6"/>
    <n v="7"/>
    <n v="1396"/>
    <x v="0"/>
    <x v="1"/>
    <n v="5"/>
    <n v="349.24"/>
    <n v="0.18"/>
    <n v="286.3768"/>
    <n v="1431.88"/>
    <x v="1"/>
    <n v="3"/>
    <n v="1.6"/>
  </r>
  <r>
    <n v="2035"/>
    <d v="2025-07-27T00:00:00"/>
    <x v="5"/>
    <s v="Q3"/>
    <x v="6"/>
    <n v="7"/>
    <n v="1721"/>
    <x v="1"/>
    <x v="1"/>
    <n v="3"/>
    <n v="102.74"/>
    <n v="0.33"/>
    <n v="68.835799999999992"/>
    <n v="206.51"/>
    <x v="0"/>
    <n v="5"/>
    <n v="2.7"/>
  </r>
  <r>
    <n v="2036"/>
    <d v="2025-07-28T00:00:00"/>
    <x v="5"/>
    <s v="Q3"/>
    <x v="6"/>
    <n v="7"/>
    <n v="1160"/>
    <x v="3"/>
    <x v="0"/>
    <n v="3"/>
    <n v="473.59"/>
    <n v="0.21"/>
    <n v="374.1361"/>
    <n v="1122.4100000000001"/>
    <x v="1"/>
    <n v="11"/>
    <n v="4.0999999999999996"/>
  </r>
  <r>
    <n v="2037"/>
    <d v="2025-07-29T00:00:00"/>
    <x v="5"/>
    <s v="Q3"/>
    <x v="6"/>
    <n v="7"/>
    <n v="1015"/>
    <x v="0"/>
    <x v="3"/>
    <n v="7"/>
    <n v="209.48"/>
    <n v="0.21"/>
    <n v="165.48919999999998"/>
    <n v="1158.42"/>
    <x v="1"/>
    <n v="6"/>
    <n v="4.8"/>
  </r>
  <r>
    <n v="2038"/>
    <d v="2025-07-30T00:00:00"/>
    <x v="5"/>
    <s v="Q3"/>
    <x v="6"/>
    <n v="7"/>
    <n v="1492"/>
    <x v="3"/>
    <x v="3"/>
    <n v="5"/>
    <n v="360.94"/>
    <n v="0.04"/>
    <n v="346.50240000000002"/>
    <n v="1732.51"/>
    <x v="2"/>
    <n v="9"/>
    <n v="4.5999999999999996"/>
  </r>
  <r>
    <n v="2039"/>
    <d v="2025-07-31T00:00:00"/>
    <x v="5"/>
    <s v="Q3"/>
    <x v="6"/>
    <n v="7"/>
    <n v="1425"/>
    <x v="2"/>
    <x v="3"/>
    <n v="7"/>
    <n v="433.65"/>
    <n v="0.35"/>
    <n v="281.8725"/>
    <n v="1973.11"/>
    <x v="1"/>
    <n v="2"/>
    <n v="2"/>
  </r>
  <r>
    <n v="2040"/>
    <d v="2025-08-01T00:00:00"/>
    <x v="5"/>
    <s v="Q3"/>
    <x v="7"/>
    <n v="8"/>
    <n v="1107"/>
    <x v="0"/>
    <x v="1"/>
    <n v="3"/>
    <n v="535.09"/>
    <n v="0.27"/>
    <n v="390.6157"/>
    <n v="1171.8499999999999"/>
    <x v="2"/>
    <n v="5"/>
    <n v="1.3"/>
  </r>
  <r>
    <n v="2041"/>
    <d v="2025-08-02T00:00:00"/>
    <x v="5"/>
    <s v="Q3"/>
    <x v="7"/>
    <n v="8"/>
    <n v="1893"/>
    <x v="1"/>
    <x v="1"/>
    <n v="6"/>
    <n v="503.94"/>
    <n v="0.31"/>
    <n v="347.71860000000004"/>
    <n v="2086.31"/>
    <x v="0"/>
    <n v="7"/>
    <n v="2.2000000000000002"/>
  </r>
  <r>
    <n v="2042"/>
    <d v="2025-08-03T00:00:00"/>
    <x v="5"/>
    <s v="Q3"/>
    <x v="7"/>
    <n v="8"/>
    <n v="1449"/>
    <x v="2"/>
    <x v="1"/>
    <n v="2"/>
    <n v="370.86"/>
    <n v="0.15"/>
    <n v="315.23099999999999"/>
    <n v="630.46"/>
    <x v="2"/>
    <n v="11"/>
    <n v="2.7"/>
  </r>
  <r>
    <n v="2043"/>
    <d v="2025-08-04T00:00:00"/>
    <x v="5"/>
    <s v="Q3"/>
    <x v="7"/>
    <n v="8"/>
    <n v="1310"/>
    <x v="2"/>
    <x v="1"/>
    <n v="3"/>
    <n v="242.21"/>
    <n v="0.18"/>
    <n v="198.6122"/>
    <n v="595.84"/>
    <x v="2"/>
    <n v="11"/>
    <n v="2.4"/>
  </r>
  <r>
    <n v="2044"/>
    <d v="2025-08-05T00:00:00"/>
    <x v="5"/>
    <s v="Q3"/>
    <x v="7"/>
    <n v="8"/>
    <n v="1738"/>
    <x v="1"/>
    <x v="2"/>
    <n v="6"/>
    <n v="309.37"/>
    <n v="0.18"/>
    <n v="253.68340000000001"/>
    <n v="1522.1"/>
    <x v="1"/>
    <n v="7"/>
    <n v="4.0999999999999996"/>
  </r>
  <r>
    <n v="2045"/>
    <d v="2025-08-06T00:00:00"/>
    <x v="5"/>
    <s v="Q3"/>
    <x v="7"/>
    <n v="8"/>
    <n v="1169"/>
    <x v="2"/>
    <x v="1"/>
    <n v="3"/>
    <n v="464.71"/>
    <n v="7.0000000000000007E-2"/>
    <n v="432.18029999999999"/>
    <n v="1296.54"/>
    <x v="2"/>
    <n v="4"/>
    <n v="2"/>
  </r>
  <r>
    <n v="2046"/>
    <d v="2025-08-07T00:00:00"/>
    <x v="5"/>
    <s v="Q3"/>
    <x v="7"/>
    <n v="8"/>
    <n v="1545"/>
    <x v="2"/>
    <x v="0"/>
    <n v="6"/>
    <n v="528.36"/>
    <n v="0.24"/>
    <n v="401.55360000000002"/>
    <n v="2409.3200000000002"/>
    <x v="2"/>
    <n v="3"/>
    <n v="4.4000000000000004"/>
  </r>
  <r>
    <n v="2047"/>
    <d v="2025-08-08T00:00:00"/>
    <x v="5"/>
    <s v="Q3"/>
    <x v="7"/>
    <n v="8"/>
    <n v="1413"/>
    <x v="2"/>
    <x v="2"/>
    <n v="5"/>
    <n v="75.709999999999994"/>
    <n v="0.32"/>
    <n v="51.482799999999997"/>
    <n v="257.41000000000003"/>
    <x v="0"/>
    <n v="8"/>
    <n v="1.9"/>
  </r>
  <r>
    <n v="2048"/>
    <d v="2025-08-09T00:00:00"/>
    <x v="5"/>
    <s v="Q3"/>
    <x v="7"/>
    <n v="8"/>
    <n v="1250"/>
    <x v="3"/>
    <x v="2"/>
    <n v="1"/>
    <n v="240.14"/>
    <n v="0.06"/>
    <n v="225.73159999999999"/>
    <n v="225.73"/>
    <x v="1"/>
    <n v="2"/>
    <n v="2.4"/>
  </r>
  <r>
    <n v="2049"/>
    <d v="2025-08-10T00:00:00"/>
    <x v="5"/>
    <s v="Q3"/>
    <x v="7"/>
    <n v="8"/>
    <n v="1758"/>
    <x v="0"/>
    <x v="1"/>
    <n v="4"/>
    <n v="469.03"/>
    <n v="0.03"/>
    <n v="454.95909999999998"/>
    <n v="1819.84"/>
    <x v="2"/>
    <n v="5"/>
    <n v="2.8"/>
  </r>
  <r>
    <n v="2050"/>
    <d v="2025-08-11T00:00:00"/>
    <x v="5"/>
    <s v="Q3"/>
    <x v="7"/>
    <n v="8"/>
    <n v="1780"/>
    <x v="2"/>
    <x v="3"/>
    <n v="3"/>
    <n v="267.52"/>
    <n v="0.26"/>
    <n v="197.96479999999997"/>
    <n v="593.89"/>
    <x v="1"/>
    <n v="10"/>
    <n v="2.2000000000000002"/>
  </r>
  <r>
    <n v="2051"/>
    <d v="2025-08-12T00:00:00"/>
    <x v="5"/>
    <s v="Q3"/>
    <x v="7"/>
    <n v="8"/>
    <n v="1140"/>
    <x v="0"/>
    <x v="1"/>
    <n v="4"/>
    <n v="209.35"/>
    <n v="0.1"/>
    <n v="188.41499999999999"/>
    <n v="753.66"/>
    <x v="1"/>
    <n v="5"/>
    <n v="4.0999999999999996"/>
  </r>
  <r>
    <n v="2052"/>
    <d v="2025-08-13T00:00:00"/>
    <x v="5"/>
    <s v="Q3"/>
    <x v="7"/>
    <n v="8"/>
    <n v="1273"/>
    <x v="0"/>
    <x v="3"/>
    <n v="3"/>
    <n v="255.62"/>
    <n v="0.22"/>
    <n v="199.3836"/>
    <n v="598.15"/>
    <x v="1"/>
    <n v="1"/>
    <n v="2.6"/>
  </r>
  <r>
    <n v="2053"/>
    <d v="2025-08-14T00:00:00"/>
    <x v="5"/>
    <s v="Q3"/>
    <x v="7"/>
    <n v="8"/>
    <n v="1415"/>
    <x v="3"/>
    <x v="1"/>
    <n v="5"/>
    <n v="367.66"/>
    <n v="0.24"/>
    <n v="279.42160000000001"/>
    <n v="1397.11"/>
    <x v="1"/>
    <n v="7"/>
    <n v="4.5"/>
  </r>
  <r>
    <n v="2054"/>
    <d v="2025-08-15T00:00:00"/>
    <x v="5"/>
    <s v="Q3"/>
    <x v="7"/>
    <n v="8"/>
    <n v="1607"/>
    <x v="2"/>
    <x v="1"/>
    <n v="5"/>
    <n v="599.89"/>
    <n v="0.11"/>
    <n v="533.90210000000002"/>
    <n v="2669.51"/>
    <x v="1"/>
    <n v="4"/>
    <n v="4.9000000000000004"/>
  </r>
  <r>
    <n v="2055"/>
    <d v="2025-08-16T00:00:00"/>
    <x v="5"/>
    <s v="Q3"/>
    <x v="7"/>
    <n v="8"/>
    <n v="1738"/>
    <x v="3"/>
    <x v="3"/>
    <n v="6"/>
    <n v="303.39999999999998"/>
    <n v="0.28999999999999998"/>
    <n v="215.41399999999999"/>
    <n v="1292.48"/>
    <x v="1"/>
    <n v="10"/>
    <n v="4.4000000000000004"/>
  </r>
  <r>
    <n v="2056"/>
    <d v="2025-08-17T00:00:00"/>
    <x v="5"/>
    <s v="Q3"/>
    <x v="7"/>
    <n v="8"/>
    <n v="1890"/>
    <x v="0"/>
    <x v="3"/>
    <n v="3"/>
    <n v="136.97"/>
    <n v="0.19"/>
    <n v="110.9457"/>
    <n v="332.84"/>
    <x v="0"/>
    <n v="2"/>
    <n v="3.1"/>
  </r>
  <r>
    <n v="2057"/>
    <d v="2025-08-18T00:00:00"/>
    <x v="5"/>
    <s v="Q3"/>
    <x v="7"/>
    <n v="8"/>
    <n v="1038"/>
    <x v="3"/>
    <x v="3"/>
    <n v="5"/>
    <n v="110.27"/>
    <n v="0.3"/>
    <n v="77.188999999999993"/>
    <n v="385.94"/>
    <x v="1"/>
    <n v="8"/>
    <n v="3"/>
  </r>
  <r>
    <n v="2058"/>
    <d v="2025-08-19T00:00:00"/>
    <x v="5"/>
    <s v="Q3"/>
    <x v="7"/>
    <n v="8"/>
    <n v="1813"/>
    <x v="2"/>
    <x v="3"/>
    <n v="5"/>
    <n v="39.770000000000003"/>
    <n v="0.27"/>
    <n v="29.0321"/>
    <n v="145.16"/>
    <x v="0"/>
    <n v="4"/>
    <n v="1.9"/>
  </r>
  <r>
    <n v="2059"/>
    <d v="2025-08-20T00:00:00"/>
    <x v="5"/>
    <s v="Q3"/>
    <x v="7"/>
    <n v="8"/>
    <n v="1028"/>
    <x v="1"/>
    <x v="0"/>
    <n v="3"/>
    <n v="341.91"/>
    <n v="0.3"/>
    <n v="239.33700000000002"/>
    <n v="718.01"/>
    <x v="1"/>
    <n v="1"/>
    <n v="3.4"/>
  </r>
  <r>
    <n v="2060"/>
    <d v="2025-08-21T00:00:00"/>
    <x v="5"/>
    <s v="Q3"/>
    <x v="7"/>
    <n v="8"/>
    <n v="1957"/>
    <x v="1"/>
    <x v="3"/>
    <n v="6"/>
    <n v="333.57"/>
    <n v="0.01"/>
    <n v="330.23430000000002"/>
    <n v="1981.41"/>
    <x v="1"/>
    <n v="8"/>
    <n v="4.8"/>
  </r>
  <r>
    <n v="2061"/>
    <d v="2025-08-22T00:00:00"/>
    <x v="5"/>
    <s v="Q3"/>
    <x v="7"/>
    <n v="8"/>
    <n v="1476"/>
    <x v="1"/>
    <x v="1"/>
    <n v="6"/>
    <n v="135.06"/>
    <n v="0.09"/>
    <n v="122.9046"/>
    <n v="737.43"/>
    <x v="2"/>
    <n v="11"/>
    <n v="1.3"/>
  </r>
  <r>
    <n v="2062"/>
    <d v="2025-08-23T00:00:00"/>
    <x v="5"/>
    <s v="Q3"/>
    <x v="7"/>
    <n v="8"/>
    <n v="1317"/>
    <x v="2"/>
    <x v="1"/>
    <n v="6"/>
    <n v="421.77"/>
    <n v="0.03"/>
    <n v="409.11689999999999"/>
    <n v="2454.6999999999998"/>
    <x v="2"/>
    <n v="7"/>
    <n v="4"/>
  </r>
  <r>
    <n v="2063"/>
    <d v="2025-08-24T00:00:00"/>
    <x v="5"/>
    <s v="Q3"/>
    <x v="7"/>
    <n v="8"/>
    <n v="1244"/>
    <x v="2"/>
    <x v="0"/>
    <n v="6"/>
    <n v="448.55"/>
    <n v="0.15"/>
    <n v="381.26750000000004"/>
    <n v="2287.6"/>
    <x v="2"/>
    <n v="3"/>
    <n v="4.5"/>
  </r>
  <r>
    <n v="2064"/>
    <d v="2025-08-25T00:00:00"/>
    <x v="5"/>
    <s v="Q3"/>
    <x v="7"/>
    <n v="8"/>
    <n v="1747"/>
    <x v="3"/>
    <x v="3"/>
    <n v="1"/>
    <n v="166.57"/>
    <n v="0.31"/>
    <n v="114.9333"/>
    <n v="114.93"/>
    <x v="2"/>
    <n v="3"/>
    <n v="4.9000000000000004"/>
  </r>
  <r>
    <n v="2065"/>
    <d v="2025-08-26T00:00:00"/>
    <x v="5"/>
    <s v="Q3"/>
    <x v="7"/>
    <n v="8"/>
    <n v="1696"/>
    <x v="0"/>
    <x v="1"/>
    <n v="3"/>
    <n v="216.3"/>
    <n v="0.16"/>
    <n v="181.69200000000001"/>
    <n v="545.08000000000004"/>
    <x v="1"/>
    <n v="7"/>
    <n v="2.2999999999999998"/>
  </r>
  <r>
    <n v="2066"/>
    <d v="2025-08-27T00:00:00"/>
    <x v="5"/>
    <s v="Q3"/>
    <x v="7"/>
    <n v="8"/>
    <n v="1271"/>
    <x v="2"/>
    <x v="0"/>
    <n v="7"/>
    <n v="594.42999999999995"/>
    <n v="0.3"/>
    <n v="416.101"/>
    <n v="2912.71"/>
    <x v="2"/>
    <n v="2"/>
    <n v="2.4"/>
  </r>
  <r>
    <n v="2067"/>
    <d v="2025-08-28T00:00:00"/>
    <x v="5"/>
    <s v="Q3"/>
    <x v="7"/>
    <n v="8"/>
    <n v="1439"/>
    <x v="0"/>
    <x v="1"/>
    <n v="1"/>
    <n v="233.94"/>
    <n v="0.11"/>
    <n v="208.20660000000001"/>
    <n v="208.21"/>
    <x v="2"/>
    <n v="5"/>
    <n v="1.9"/>
  </r>
  <r>
    <n v="2068"/>
    <d v="2025-08-29T00:00:00"/>
    <x v="5"/>
    <s v="Q3"/>
    <x v="7"/>
    <n v="8"/>
    <n v="1747"/>
    <x v="2"/>
    <x v="0"/>
    <n v="5"/>
    <n v="460.07"/>
    <n v="0.12"/>
    <n v="404.86160000000001"/>
    <n v="2024.31"/>
    <x v="1"/>
    <n v="7"/>
    <n v="4.2"/>
  </r>
  <r>
    <n v="2069"/>
    <d v="2025-08-30T00:00:00"/>
    <x v="5"/>
    <s v="Q3"/>
    <x v="7"/>
    <n v="8"/>
    <n v="1238"/>
    <x v="3"/>
    <x v="0"/>
    <n v="1"/>
    <n v="279.83999999999997"/>
    <n v="0.31"/>
    <n v="193.08959999999999"/>
    <n v="193.09"/>
    <x v="0"/>
    <n v="6"/>
    <n v="1.6"/>
  </r>
  <r>
    <n v="2070"/>
    <d v="2025-08-31T00:00:00"/>
    <x v="5"/>
    <s v="Q3"/>
    <x v="7"/>
    <n v="8"/>
    <n v="1376"/>
    <x v="3"/>
    <x v="2"/>
    <n v="7"/>
    <n v="479.11"/>
    <n v="0.15"/>
    <n v="407.24350000000004"/>
    <n v="2850.7"/>
    <x v="2"/>
    <n v="10"/>
    <n v="2.1"/>
  </r>
  <r>
    <n v="2071"/>
    <d v="2025-09-01T00:00:00"/>
    <x v="5"/>
    <s v="Q3"/>
    <x v="8"/>
    <n v="9"/>
    <n v="1265"/>
    <x v="3"/>
    <x v="2"/>
    <n v="7"/>
    <n v="464.88"/>
    <n v="0.28000000000000003"/>
    <n v="334.71359999999999"/>
    <n v="2343"/>
    <x v="1"/>
    <n v="7"/>
    <n v="2.2000000000000002"/>
  </r>
  <r>
    <n v="2072"/>
    <d v="2025-09-02T00:00:00"/>
    <x v="5"/>
    <s v="Q3"/>
    <x v="8"/>
    <n v="9"/>
    <n v="1925"/>
    <x v="0"/>
    <x v="3"/>
    <n v="7"/>
    <n v="405.64"/>
    <n v="0.08"/>
    <n v="373.18880000000001"/>
    <n v="2612.3200000000002"/>
    <x v="0"/>
    <n v="2"/>
    <n v="2.5"/>
  </r>
  <r>
    <n v="2073"/>
    <d v="2025-09-03T00:00:00"/>
    <x v="5"/>
    <s v="Q3"/>
    <x v="8"/>
    <n v="9"/>
    <n v="1920"/>
    <x v="2"/>
    <x v="2"/>
    <n v="6"/>
    <n v="515.04999999999995"/>
    <n v="0.33"/>
    <n v="345.08349999999996"/>
    <n v="2070.5"/>
    <x v="0"/>
    <n v="7"/>
    <n v="2.7"/>
  </r>
  <r>
    <n v="2074"/>
    <d v="2025-09-04T00:00:00"/>
    <x v="5"/>
    <s v="Q3"/>
    <x v="8"/>
    <n v="9"/>
    <n v="1358"/>
    <x v="0"/>
    <x v="0"/>
    <n v="5"/>
    <n v="564.44000000000005"/>
    <n v="0.2"/>
    <n v="451.55200000000002"/>
    <n v="2257.7600000000002"/>
    <x v="2"/>
    <n v="2"/>
    <n v="3.2"/>
  </r>
  <r>
    <n v="2075"/>
    <d v="2025-09-05T00:00:00"/>
    <x v="5"/>
    <s v="Q3"/>
    <x v="8"/>
    <n v="9"/>
    <n v="1339"/>
    <x v="2"/>
    <x v="1"/>
    <n v="1"/>
    <n v="354.29"/>
    <n v="0.27"/>
    <n v="258.63170000000002"/>
    <n v="258.63"/>
    <x v="1"/>
    <n v="7"/>
    <n v="4.8"/>
  </r>
  <r>
    <n v="2076"/>
    <d v="2025-09-06T00:00:00"/>
    <x v="5"/>
    <s v="Q3"/>
    <x v="8"/>
    <n v="9"/>
    <n v="1388"/>
    <x v="3"/>
    <x v="1"/>
    <n v="1"/>
    <n v="153.91999999999999"/>
    <n v="0.03"/>
    <n v="149.30239999999998"/>
    <n v="149.30000000000001"/>
    <x v="0"/>
    <n v="8"/>
    <n v="2"/>
  </r>
  <r>
    <n v="2077"/>
    <d v="2025-09-07T00:00:00"/>
    <x v="5"/>
    <s v="Q3"/>
    <x v="8"/>
    <n v="9"/>
    <n v="1576"/>
    <x v="3"/>
    <x v="3"/>
    <n v="3"/>
    <n v="248.2"/>
    <n v="0.17"/>
    <n v="206.00599999999997"/>
    <n v="618.02"/>
    <x v="1"/>
    <n v="10"/>
    <n v="4.0999999999999996"/>
  </r>
  <r>
    <n v="2078"/>
    <d v="2025-09-08T00:00:00"/>
    <x v="5"/>
    <s v="Q3"/>
    <x v="8"/>
    <n v="9"/>
    <n v="1989"/>
    <x v="3"/>
    <x v="2"/>
    <n v="1"/>
    <n v="458.61"/>
    <n v="0.32"/>
    <n v="311.85480000000001"/>
    <n v="311.85000000000002"/>
    <x v="1"/>
    <n v="8"/>
    <n v="3.7"/>
  </r>
  <r>
    <n v="2079"/>
    <d v="2025-09-09T00:00:00"/>
    <x v="5"/>
    <s v="Q3"/>
    <x v="8"/>
    <n v="9"/>
    <n v="1688"/>
    <x v="2"/>
    <x v="3"/>
    <n v="5"/>
    <n v="395.77"/>
    <n v="0.31"/>
    <n v="273.0813"/>
    <n v="1365.41"/>
    <x v="1"/>
    <n v="5"/>
    <n v="1.5"/>
  </r>
  <r>
    <n v="2080"/>
    <d v="2025-09-10T00:00:00"/>
    <x v="5"/>
    <s v="Q3"/>
    <x v="8"/>
    <n v="9"/>
    <n v="1002"/>
    <x v="0"/>
    <x v="0"/>
    <n v="6"/>
    <n v="119.01"/>
    <n v="0.02"/>
    <n v="116.6298"/>
    <n v="699.78"/>
    <x v="2"/>
    <n v="7"/>
    <n v="4.2"/>
  </r>
  <r>
    <n v="2081"/>
    <d v="2025-09-11T00:00:00"/>
    <x v="5"/>
    <s v="Q3"/>
    <x v="8"/>
    <n v="9"/>
    <n v="1428"/>
    <x v="2"/>
    <x v="2"/>
    <n v="3"/>
    <n v="44.98"/>
    <n v="0.11"/>
    <n v="40.032199999999996"/>
    <n v="120.1"/>
    <x v="0"/>
    <n v="11"/>
    <n v="1.4"/>
  </r>
  <r>
    <n v="2082"/>
    <d v="2025-09-12T00:00:00"/>
    <x v="5"/>
    <s v="Q3"/>
    <x v="8"/>
    <n v="9"/>
    <n v="1141"/>
    <x v="2"/>
    <x v="3"/>
    <n v="1"/>
    <n v="414.53"/>
    <n v="0.16"/>
    <n v="348.20519999999999"/>
    <n v="348.21"/>
    <x v="2"/>
    <n v="8"/>
    <n v="4"/>
  </r>
  <r>
    <n v="2083"/>
    <d v="2025-09-13T00:00:00"/>
    <x v="5"/>
    <s v="Q3"/>
    <x v="8"/>
    <n v="9"/>
    <n v="1375"/>
    <x v="3"/>
    <x v="1"/>
    <n v="3"/>
    <n v="161.88"/>
    <n v="0.06"/>
    <n v="152.16720000000001"/>
    <n v="456.5"/>
    <x v="0"/>
    <n v="4"/>
    <n v="3.9"/>
  </r>
  <r>
    <n v="2084"/>
    <d v="2025-09-14T00:00:00"/>
    <x v="5"/>
    <s v="Q3"/>
    <x v="8"/>
    <n v="9"/>
    <n v="1669"/>
    <x v="1"/>
    <x v="1"/>
    <n v="4"/>
    <n v="307.31"/>
    <n v="0.26"/>
    <n v="227.40940000000001"/>
    <n v="909.64"/>
    <x v="1"/>
    <n v="2"/>
    <n v="3.8"/>
  </r>
  <r>
    <n v="2085"/>
    <d v="2025-09-15T00:00:00"/>
    <x v="5"/>
    <s v="Q3"/>
    <x v="8"/>
    <n v="9"/>
    <n v="1323"/>
    <x v="3"/>
    <x v="3"/>
    <n v="3"/>
    <n v="451.85"/>
    <n v="0.06"/>
    <n v="424.73900000000003"/>
    <n v="1274.22"/>
    <x v="1"/>
    <n v="7"/>
    <n v="2.1"/>
  </r>
  <r>
    <n v="2086"/>
    <d v="2025-09-16T00:00:00"/>
    <x v="5"/>
    <s v="Q3"/>
    <x v="8"/>
    <n v="9"/>
    <n v="1145"/>
    <x v="1"/>
    <x v="3"/>
    <n v="7"/>
    <n v="344.16"/>
    <n v="0.12"/>
    <n v="302.86080000000004"/>
    <n v="2120.0300000000002"/>
    <x v="2"/>
    <n v="1"/>
    <n v="3.3"/>
  </r>
  <r>
    <n v="2087"/>
    <d v="2025-09-17T00:00:00"/>
    <x v="5"/>
    <s v="Q3"/>
    <x v="8"/>
    <n v="9"/>
    <n v="1957"/>
    <x v="2"/>
    <x v="3"/>
    <n v="6"/>
    <n v="63.73"/>
    <n v="0.23"/>
    <n v="49.072099999999999"/>
    <n v="294.43"/>
    <x v="0"/>
    <n v="2"/>
    <n v="4"/>
  </r>
  <r>
    <n v="2088"/>
    <d v="2025-09-18T00:00:00"/>
    <x v="5"/>
    <s v="Q3"/>
    <x v="8"/>
    <n v="9"/>
    <n v="1292"/>
    <x v="3"/>
    <x v="0"/>
    <n v="7"/>
    <n v="123.56"/>
    <n v="0.17"/>
    <n v="102.5548"/>
    <n v="717.88"/>
    <x v="2"/>
    <n v="10"/>
    <n v="3.6"/>
  </r>
  <r>
    <n v="2089"/>
    <d v="2025-09-19T00:00:00"/>
    <x v="5"/>
    <s v="Q3"/>
    <x v="8"/>
    <n v="9"/>
    <n v="1664"/>
    <x v="1"/>
    <x v="0"/>
    <n v="4"/>
    <n v="143.31"/>
    <n v="0.26"/>
    <n v="106.04939999999999"/>
    <n v="424.2"/>
    <x v="1"/>
    <n v="7"/>
    <n v="4.2"/>
  </r>
  <r>
    <n v="2090"/>
    <d v="2025-09-20T00:00:00"/>
    <x v="5"/>
    <s v="Q3"/>
    <x v="8"/>
    <n v="9"/>
    <n v="1431"/>
    <x v="2"/>
    <x v="1"/>
    <n v="7"/>
    <n v="165.85"/>
    <n v="0.34"/>
    <n v="109.46099999999998"/>
    <n v="766.23"/>
    <x v="1"/>
    <n v="10"/>
    <n v="3.8"/>
  </r>
  <r>
    <n v="2091"/>
    <d v="2025-09-21T00:00:00"/>
    <x v="5"/>
    <s v="Q3"/>
    <x v="8"/>
    <n v="9"/>
    <n v="1704"/>
    <x v="3"/>
    <x v="0"/>
    <n v="4"/>
    <n v="345.76"/>
    <n v="0.04"/>
    <n v="331.92959999999999"/>
    <n v="1327.72"/>
    <x v="1"/>
    <n v="1"/>
    <n v="2.1"/>
  </r>
  <r>
    <n v="2092"/>
    <d v="2025-09-22T00:00:00"/>
    <x v="5"/>
    <s v="Q3"/>
    <x v="8"/>
    <n v="9"/>
    <n v="1948"/>
    <x v="1"/>
    <x v="0"/>
    <n v="3"/>
    <n v="309.82"/>
    <n v="0.25"/>
    <n v="232.36500000000001"/>
    <n v="697.1"/>
    <x v="1"/>
    <n v="7"/>
    <n v="1.6"/>
  </r>
  <r>
    <n v="2093"/>
    <d v="2025-09-23T00:00:00"/>
    <x v="5"/>
    <s v="Q3"/>
    <x v="8"/>
    <n v="9"/>
    <n v="1974"/>
    <x v="1"/>
    <x v="2"/>
    <n v="5"/>
    <n v="133.85"/>
    <n v="0.08"/>
    <n v="123.142"/>
    <n v="615.71"/>
    <x v="1"/>
    <n v="5"/>
    <n v="3.5"/>
  </r>
  <r>
    <n v="2094"/>
    <d v="2025-09-24T00:00:00"/>
    <x v="5"/>
    <s v="Q3"/>
    <x v="8"/>
    <n v="9"/>
    <n v="1584"/>
    <x v="1"/>
    <x v="0"/>
    <n v="6"/>
    <n v="54.52"/>
    <n v="0.15"/>
    <n v="46.341999999999999"/>
    <n v="278.05"/>
    <x v="0"/>
    <n v="11"/>
    <n v="4"/>
  </r>
  <r>
    <n v="2095"/>
    <d v="2025-09-25T00:00:00"/>
    <x v="5"/>
    <s v="Q3"/>
    <x v="8"/>
    <n v="9"/>
    <n v="1398"/>
    <x v="3"/>
    <x v="2"/>
    <n v="5"/>
    <n v="115.29"/>
    <n v="0.01"/>
    <n v="114.1371"/>
    <n v="570.69000000000005"/>
    <x v="2"/>
    <n v="3"/>
    <n v="1.6"/>
  </r>
  <r>
    <n v="2096"/>
    <d v="2025-09-26T00:00:00"/>
    <x v="5"/>
    <s v="Q3"/>
    <x v="8"/>
    <n v="9"/>
    <n v="1816"/>
    <x v="3"/>
    <x v="0"/>
    <n v="6"/>
    <n v="590.86"/>
    <n v="0.05"/>
    <n v="561.31700000000001"/>
    <n v="3367.9"/>
    <x v="2"/>
    <n v="11"/>
    <n v="1.7"/>
  </r>
  <r>
    <n v="2097"/>
    <d v="2025-09-27T00:00:00"/>
    <x v="5"/>
    <s v="Q3"/>
    <x v="8"/>
    <n v="9"/>
    <n v="1888"/>
    <x v="3"/>
    <x v="1"/>
    <n v="6"/>
    <n v="289.10000000000002"/>
    <n v="0.11"/>
    <n v="257.29900000000004"/>
    <n v="1543.79"/>
    <x v="1"/>
    <n v="2"/>
    <n v="1"/>
  </r>
  <r>
    <n v="2098"/>
    <d v="2025-09-28T00:00:00"/>
    <x v="5"/>
    <s v="Q3"/>
    <x v="8"/>
    <n v="9"/>
    <n v="1343"/>
    <x v="2"/>
    <x v="3"/>
    <n v="7"/>
    <n v="522.4"/>
    <n v="0.12"/>
    <n v="459.71199999999999"/>
    <n v="3217.98"/>
    <x v="1"/>
    <n v="7"/>
    <n v="3.1"/>
  </r>
  <r>
    <n v="2099"/>
    <d v="2025-09-29T00:00:00"/>
    <x v="5"/>
    <s v="Q3"/>
    <x v="8"/>
    <n v="9"/>
    <n v="1963"/>
    <x v="3"/>
    <x v="1"/>
    <n v="7"/>
    <n v="511.52"/>
    <n v="0.31"/>
    <n v="352.94880000000001"/>
    <n v="2470.64"/>
    <x v="2"/>
    <n v="9"/>
    <n v="3.2"/>
  </r>
  <r>
    <n v="2100"/>
    <d v="2025-09-30T00:00:00"/>
    <x v="5"/>
    <s v="Q3"/>
    <x v="8"/>
    <n v="9"/>
    <n v="1139"/>
    <x v="3"/>
    <x v="0"/>
    <n v="5"/>
    <n v="314.24"/>
    <n v="0.26"/>
    <n v="232.5376"/>
    <n v="1162.69"/>
    <x v="0"/>
    <n v="9"/>
    <n v="3"/>
  </r>
  <r>
    <n v="2101"/>
    <d v="2025-10-01T00:00:00"/>
    <x v="5"/>
    <s v="Q4"/>
    <x v="9"/>
    <n v="10"/>
    <n v="1186"/>
    <x v="3"/>
    <x v="3"/>
    <n v="2"/>
    <n v="428.41"/>
    <n v="0.34"/>
    <n v="282.75060000000002"/>
    <n v="565.5"/>
    <x v="2"/>
    <n v="10"/>
    <n v="2.2999999999999998"/>
  </r>
  <r>
    <n v="2102"/>
    <d v="2025-10-02T00:00:00"/>
    <x v="5"/>
    <s v="Q4"/>
    <x v="9"/>
    <n v="10"/>
    <n v="1804"/>
    <x v="1"/>
    <x v="3"/>
    <n v="4"/>
    <n v="127.76"/>
    <n v="0.21"/>
    <n v="100.93040000000001"/>
    <n v="403.72"/>
    <x v="0"/>
    <n v="10"/>
    <n v="2.7"/>
  </r>
  <r>
    <n v="2103"/>
    <d v="2025-10-03T00:00:00"/>
    <x v="5"/>
    <s v="Q4"/>
    <x v="9"/>
    <n v="10"/>
    <n v="1060"/>
    <x v="0"/>
    <x v="3"/>
    <n v="7"/>
    <n v="417.71"/>
    <n v="0.08"/>
    <n v="384.29319999999996"/>
    <n v="2690.05"/>
    <x v="0"/>
    <n v="8"/>
    <n v="4.0999999999999996"/>
  </r>
  <r>
    <n v="2104"/>
    <d v="2025-10-04T00:00:00"/>
    <x v="5"/>
    <s v="Q4"/>
    <x v="9"/>
    <n v="10"/>
    <n v="1996"/>
    <x v="3"/>
    <x v="2"/>
    <n v="7"/>
    <n v="174.34"/>
    <n v="0.11"/>
    <n v="155.1626"/>
    <n v="1086.1400000000001"/>
    <x v="1"/>
    <n v="2"/>
    <n v="1.7"/>
  </r>
  <r>
    <n v="2105"/>
    <d v="2025-10-05T00:00:00"/>
    <x v="5"/>
    <s v="Q4"/>
    <x v="9"/>
    <n v="10"/>
    <n v="1938"/>
    <x v="2"/>
    <x v="1"/>
    <n v="7"/>
    <n v="501.76"/>
    <n v="0.11"/>
    <n v="446.56639999999999"/>
    <n v="3125.96"/>
    <x v="1"/>
    <n v="1"/>
    <n v="1.8"/>
  </r>
  <r>
    <n v="2106"/>
    <d v="2025-10-06T00:00:00"/>
    <x v="5"/>
    <s v="Q4"/>
    <x v="9"/>
    <n v="10"/>
    <n v="1379"/>
    <x v="1"/>
    <x v="2"/>
    <n v="3"/>
    <n v="63.98"/>
    <n v="0.11"/>
    <n v="56.9422"/>
    <n v="170.83"/>
    <x v="2"/>
    <n v="8"/>
    <n v="3.7"/>
  </r>
  <r>
    <n v="2107"/>
    <d v="2025-10-07T00:00:00"/>
    <x v="5"/>
    <s v="Q4"/>
    <x v="9"/>
    <n v="10"/>
    <n v="1709"/>
    <x v="0"/>
    <x v="3"/>
    <n v="5"/>
    <n v="467.29"/>
    <n v="0.24"/>
    <n v="355.1404"/>
    <n v="1775.7"/>
    <x v="1"/>
    <n v="2"/>
    <n v="4.5"/>
  </r>
  <r>
    <n v="2108"/>
    <d v="2025-10-08T00:00:00"/>
    <x v="5"/>
    <s v="Q4"/>
    <x v="9"/>
    <n v="10"/>
    <n v="1806"/>
    <x v="2"/>
    <x v="1"/>
    <n v="5"/>
    <n v="73.459999999999994"/>
    <n v="0.19"/>
    <n v="59.502599999999994"/>
    <n v="297.51"/>
    <x v="1"/>
    <n v="4"/>
    <n v="2.4"/>
  </r>
  <r>
    <n v="2109"/>
    <d v="2025-10-09T00:00:00"/>
    <x v="5"/>
    <s v="Q4"/>
    <x v="9"/>
    <n v="10"/>
    <n v="1439"/>
    <x v="0"/>
    <x v="1"/>
    <n v="7"/>
    <n v="530.5"/>
    <n v="0.13"/>
    <n v="461.53499999999997"/>
    <n v="3230.74"/>
    <x v="1"/>
    <n v="4"/>
    <n v="4.7"/>
  </r>
  <r>
    <n v="2110"/>
    <d v="2025-10-10T00:00:00"/>
    <x v="5"/>
    <s v="Q4"/>
    <x v="9"/>
    <n v="10"/>
    <n v="1318"/>
    <x v="3"/>
    <x v="0"/>
    <n v="3"/>
    <n v="192.96"/>
    <n v="0.05"/>
    <n v="183.31200000000001"/>
    <n v="549.94000000000005"/>
    <x v="1"/>
    <n v="2"/>
    <n v="1.2"/>
  </r>
  <r>
    <n v="2111"/>
    <d v="2025-10-11T00:00:00"/>
    <x v="5"/>
    <s v="Q4"/>
    <x v="9"/>
    <n v="10"/>
    <n v="1301"/>
    <x v="1"/>
    <x v="2"/>
    <n v="7"/>
    <n v="397.82"/>
    <n v="0.01"/>
    <n v="393.84179999999998"/>
    <n v="2756.89"/>
    <x v="0"/>
    <n v="4"/>
    <n v="1.5"/>
  </r>
  <r>
    <n v="2112"/>
    <d v="2025-10-12T00:00:00"/>
    <x v="5"/>
    <s v="Q4"/>
    <x v="9"/>
    <n v="10"/>
    <n v="1343"/>
    <x v="2"/>
    <x v="2"/>
    <n v="4"/>
    <n v="300.19"/>
    <n v="0.08"/>
    <n v="276.1748"/>
    <n v="1104.7"/>
    <x v="1"/>
    <n v="7"/>
    <n v="2.8"/>
  </r>
  <r>
    <n v="2113"/>
    <d v="2025-10-13T00:00:00"/>
    <x v="5"/>
    <s v="Q4"/>
    <x v="9"/>
    <n v="10"/>
    <n v="1010"/>
    <x v="2"/>
    <x v="0"/>
    <n v="3"/>
    <n v="229.29"/>
    <n v="0.04"/>
    <n v="220.11839999999998"/>
    <n v="660.36"/>
    <x v="1"/>
    <n v="6"/>
    <n v="3.9"/>
  </r>
  <r>
    <n v="2114"/>
    <d v="2025-10-14T00:00:00"/>
    <x v="5"/>
    <s v="Q4"/>
    <x v="9"/>
    <n v="10"/>
    <n v="1061"/>
    <x v="0"/>
    <x v="2"/>
    <n v="7"/>
    <n v="392.58"/>
    <n v="0.27"/>
    <n v="286.58339999999998"/>
    <n v="2006.08"/>
    <x v="2"/>
    <n v="10"/>
    <n v="2.5"/>
  </r>
  <r>
    <n v="2115"/>
    <d v="2025-10-15T00:00:00"/>
    <x v="5"/>
    <s v="Q4"/>
    <x v="9"/>
    <n v="10"/>
    <n v="1844"/>
    <x v="2"/>
    <x v="3"/>
    <n v="6"/>
    <n v="569.29999999999995"/>
    <n v="0.04"/>
    <n v="546.52799999999991"/>
    <n v="3279.17"/>
    <x v="2"/>
    <n v="6"/>
    <n v="3.2"/>
  </r>
  <r>
    <n v="2116"/>
    <d v="2025-10-16T00:00:00"/>
    <x v="5"/>
    <s v="Q4"/>
    <x v="9"/>
    <n v="10"/>
    <n v="1225"/>
    <x v="3"/>
    <x v="3"/>
    <n v="2"/>
    <n v="39.14"/>
    <n v="0.25"/>
    <n v="29.355"/>
    <n v="58.71"/>
    <x v="2"/>
    <n v="4"/>
    <n v="1.1000000000000001"/>
  </r>
  <r>
    <n v="2117"/>
    <d v="2025-10-17T00:00:00"/>
    <x v="5"/>
    <s v="Q4"/>
    <x v="9"/>
    <n v="10"/>
    <n v="1152"/>
    <x v="1"/>
    <x v="2"/>
    <n v="6"/>
    <n v="552.53"/>
    <n v="0.13"/>
    <n v="480.7011"/>
    <n v="2884.21"/>
    <x v="0"/>
    <n v="2"/>
    <n v="2.8"/>
  </r>
  <r>
    <n v="2118"/>
    <d v="2025-10-18T00:00:00"/>
    <x v="5"/>
    <s v="Q4"/>
    <x v="9"/>
    <n v="10"/>
    <n v="1710"/>
    <x v="2"/>
    <x v="0"/>
    <n v="2"/>
    <n v="371.31"/>
    <n v="0.03"/>
    <n v="360.17070000000001"/>
    <n v="720.34"/>
    <x v="2"/>
    <n v="5"/>
    <n v="2"/>
  </r>
  <r>
    <n v="2119"/>
    <d v="2025-10-19T00:00:00"/>
    <x v="5"/>
    <s v="Q4"/>
    <x v="9"/>
    <n v="10"/>
    <n v="1563"/>
    <x v="2"/>
    <x v="1"/>
    <n v="3"/>
    <n v="487.28"/>
    <n v="0.28000000000000003"/>
    <n v="350.84159999999997"/>
    <n v="1052.52"/>
    <x v="2"/>
    <n v="11"/>
    <n v="3.1"/>
  </r>
  <r>
    <n v="2120"/>
    <d v="2025-10-20T00:00:00"/>
    <x v="5"/>
    <s v="Q4"/>
    <x v="9"/>
    <n v="10"/>
    <n v="1771"/>
    <x v="1"/>
    <x v="2"/>
    <n v="6"/>
    <n v="239.57"/>
    <n v="0.2"/>
    <n v="191.65600000000001"/>
    <n v="1149.94"/>
    <x v="1"/>
    <n v="3"/>
    <n v="3.1"/>
  </r>
  <r>
    <n v="2121"/>
    <d v="2025-10-21T00:00:00"/>
    <x v="5"/>
    <s v="Q4"/>
    <x v="9"/>
    <n v="10"/>
    <n v="1570"/>
    <x v="0"/>
    <x v="1"/>
    <n v="4"/>
    <n v="291.02999999999997"/>
    <n v="0.08"/>
    <n v="267.74759999999998"/>
    <n v="1070.99"/>
    <x v="2"/>
    <n v="3"/>
    <n v="4"/>
  </r>
  <r>
    <n v="2122"/>
    <d v="2025-10-22T00:00:00"/>
    <x v="5"/>
    <s v="Q4"/>
    <x v="9"/>
    <n v="10"/>
    <n v="1583"/>
    <x v="1"/>
    <x v="0"/>
    <n v="6"/>
    <n v="523.28"/>
    <n v="0.31"/>
    <n v="361.06319999999999"/>
    <n v="2166.38"/>
    <x v="2"/>
    <n v="4"/>
    <n v="3.2"/>
  </r>
  <r>
    <n v="2123"/>
    <d v="2025-10-23T00:00:00"/>
    <x v="5"/>
    <s v="Q4"/>
    <x v="9"/>
    <n v="10"/>
    <n v="1659"/>
    <x v="1"/>
    <x v="1"/>
    <n v="5"/>
    <n v="257.69"/>
    <n v="0.02"/>
    <n v="252.53620000000001"/>
    <n v="1262.68"/>
    <x v="0"/>
    <n v="11"/>
    <n v="3.5"/>
  </r>
  <r>
    <n v="2124"/>
    <d v="2025-10-24T00:00:00"/>
    <x v="5"/>
    <s v="Q4"/>
    <x v="9"/>
    <n v="10"/>
    <n v="1860"/>
    <x v="2"/>
    <x v="0"/>
    <n v="2"/>
    <n v="327.78"/>
    <n v="7.0000000000000007E-2"/>
    <n v="304.83539999999999"/>
    <n v="609.66999999999996"/>
    <x v="0"/>
    <n v="11"/>
    <n v="3.1"/>
  </r>
  <r>
    <n v="2125"/>
    <d v="2025-10-25T00:00:00"/>
    <x v="5"/>
    <s v="Q4"/>
    <x v="9"/>
    <n v="10"/>
    <n v="1574"/>
    <x v="1"/>
    <x v="0"/>
    <n v="2"/>
    <n v="26.81"/>
    <n v="0.26"/>
    <n v="19.839399999999998"/>
    <n v="39.68"/>
    <x v="2"/>
    <n v="5"/>
    <n v="5"/>
  </r>
  <r>
    <n v="2126"/>
    <d v="2025-10-26T00:00:00"/>
    <x v="5"/>
    <s v="Q4"/>
    <x v="9"/>
    <n v="10"/>
    <n v="1309"/>
    <x v="1"/>
    <x v="3"/>
    <n v="7"/>
    <n v="107.78"/>
    <n v="0.25"/>
    <n v="80.835000000000008"/>
    <n v="565.84"/>
    <x v="2"/>
    <n v="11"/>
    <n v="4.2"/>
  </r>
  <r>
    <n v="2127"/>
    <d v="2025-10-27T00:00:00"/>
    <x v="5"/>
    <s v="Q4"/>
    <x v="9"/>
    <n v="10"/>
    <n v="1884"/>
    <x v="0"/>
    <x v="3"/>
    <n v="4"/>
    <n v="390.39"/>
    <n v="0.1"/>
    <n v="351.351"/>
    <n v="1405.4"/>
    <x v="1"/>
    <n v="2"/>
    <n v="4"/>
  </r>
  <r>
    <n v="2128"/>
    <d v="2025-10-28T00:00:00"/>
    <x v="5"/>
    <s v="Q4"/>
    <x v="9"/>
    <n v="10"/>
    <n v="1242"/>
    <x v="1"/>
    <x v="0"/>
    <n v="2"/>
    <n v="434.43"/>
    <n v="0.02"/>
    <n v="425.7414"/>
    <n v="851.48"/>
    <x v="1"/>
    <n v="6"/>
    <n v="3.5"/>
  </r>
  <r>
    <n v="2129"/>
    <d v="2025-10-29T00:00:00"/>
    <x v="5"/>
    <s v="Q4"/>
    <x v="9"/>
    <n v="10"/>
    <n v="1492"/>
    <x v="1"/>
    <x v="2"/>
    <n v="2"/>
    <n v="355.82"/>
    <n v="0.3"/>
    <n v="249.07400000000001"/>
    <n v="498.15"/>
    <x v="1"/>
    <n v="6"/>
    <n v="3.1"/>
  </r>
  <r>
    <n v="2130"/>
    <d v="2025-10-30T00:00:00"/>
    <x v="5"/>
    <s v="Q4"/>
    <x v="9"/>
    <n v="10"/>
    <n v="1365"/>
    <x v="2"/>
    <x v="3"/>
    <n v="7"/>
    <n v="98.84"/>
    <n v="0.11"/>
    <n v="87.967600000000004"/>
    <n v="615.77"/>
    <x v="1"/>
    <n v="8"/>
    <n v="2.4"/>
  </r>
  <r>
    <n v="2131"/>
    <d v="2025-10-31T00:00:00"/>
    <x v="5"/>
    <s v="Q4"/>
    <x v="9"/>
    <n v="10"/>
    <n v="1329"/>
    <x v="0"/>
    <x v="0"/>
    <n v="4"/>
    <n v="275.56"/>
    <n v="7.0000000000000007E-2"/>
    <n v="256.27080000000001"/>
    <n v="1025.08"/>
    <x v="1"/>
    <n v="2"/>
    <n v="4.0999999999999996"/>
  </r>
  <r>
    <n v="2132"/>
    <d v="2025-11-01T00:00:00"/>
    <x v="5"/>
    <s v="Q4"/>
    <x v="10"/>
    <n v="11"/>
    <n v="1106"/>
    <x v="2"/>
    <x v="1"/>
    <n v="6"/>
    <n v="222.73"/>
    <n v="0.18"/>
    <n v="182.6386"/>
    <n v="1095.83"/>
    <x v="1"/>
    <n v="8"/>
    <n v="1.8"/>
  </r>
  <r>
    <n v="2133"/>
    <d v="2025-11-02T00:00:00"/>
    <x v="5"/>
    <s v="Q4"/>
    <x v="10"/>
    <n v="11"/>
    <n v="1225"/>
    <x v="2"/>
    <x v="1"/>
    <n v="3"/>
    <n v="304.95999999999998"/>
    <n v="0.32"/>
    <n v="207.37279999999998"/>
    <n v="622.12"/>
    <x v="2"/>
    <n v="8"/>
    <n v="1.1000000000000001"/>
  </r>
  <r>
    <n v="2134"/>
    <d v="2025-11-03T00:00:00"/>
    <x v="5"/>
    <s v="Q4"/>
    <x v="10"/>
    <n v="11"/>
    <n v="1824"/>
    <x v="3"/>
    <x v="2"/>
    <n v="6"/>
    <n v="524.14"/>
    <n v="0.02"/>
    <n v="513.65719999999999"/>
    <n v="3081.94"/>
    <x v="2"/>
    <n v="4"/>
    <n v="3.8"/>
  </r>
  <r>
    <n v="2135"/>
    <d v="2025-11-04T00:00:00"/>
    <x v="5"/>
    <s v="Q4"/>
    <x v="10"/>
    <n v="11"/>
    <n v="1217"/>
    <x v="1"/>
    <x v="1"/>
    <n v="5"/>
    <n v="468.88"/>
    <n v="0.27"/>
    <n v="342.2824"/>
    <n v="1711.41"/>
    <x v="2"/>
    <n v="7"/>
    <n v="1.6"/>
  </r>
  <r>
    <n v="2136"/>
    <d v="2025-11-05T00:00:00"/>
    <x v="5"/>
    <s v="Q4"/>
    <x v="10"/>
    <n v="11"/>
    <n v="1936"/>
    <x v="1"/>
    <x v="1"/>
    <n v="5"/>
    <n v="64.13"/>
    <n v="0.2"/>
    <n v="51.303999999999995"/>
    <n v="256.52"/>
    <x v="2"/>
    <n v="7"/>
    <n v="4.5999999999999996"/>
  </r>
  <r>
    <n v="2137"/>
    <d v="2025-11-06T00:00:00"/>
    <x v="5"/>
    <s v="Q4"/>
    <x v="10"/>
    <n v="11"/>
    <n v="1752"/>
    <x v="1"/>
    <x v="0"/>
    <n v="2"/>
    <n v="535.83000000000004"/>
    <n v="0.15"/>
    <n v="455.45550000000003"/>
    <n v="910.91"/>
    <x v="1"/>
    <n v="1"/>
    <n v="4.0999999999999996"/>
  </r>
  <r>
    <n v="2138"/>
    <d v="2025-11-07T00:00:00"/>
    <x v="5"/>
    <s v="Q4"/>
    <x v="10"/>
    <n v="11"/>
    <n v="1505"/>
    <x v="3"/>
    <x v="1"/>
    <n v="5"/>
    <n v="290.98"/>
    <n v="0.26"/>
    <n v="215.3252"/>
    <n v="1076.6300000000001"/>
    <x v="0"/>
    <n v="1"/>
    <n v="3.4"/>
  </r>
  <r>
    <n v="2139"/>
    <d v="2025-11-08T00:00:00"/>
    <x v="5"/>
    <s v="Q4"/>
    <x v="10"/>
    <n v="11"/>
    <n v="1258"/>
    <x v="2"/>
    <x v="1"/>
    <n v="3"/>
    <n v="450.16"/>
    <n v="0.34"/>
    <n v="297.10559999999998"/>
    <n v="891.32"/>
    <x v="1"/>
    <n v="8"/>
    <n v="2.2999999999999998"/>
  </r>
  <r>
    <n v="2140"/>
    <d v="2025-11-09T00:00:00"/>
    <x v="5"/>
    <s v="Q4"/>
    <x v="10"/>
    <n v="11"/>
    <n v="1887"/>
    <x v="3"/>
    <x v="1"/>
    <n v="2"/>
    <n v="96.92"/>
    <n v="0.08"/>
    <n v="89.166399999999996"/>
    <n v="178.33"/>
    <x v="0"/>
    <n v="11"/>
    <n v="3.6"/>
  </r>
  <r>
    <n v="2141"/>
    <d v="2025-11-10T00:00:00"/>
    <x v="5"/>
    <s v="Q4"/>
    <x v="10"/>
    <n v="11"/>
    <n v="1773"/>
    <x v="1"/>
    <x v="1"/>
    <n v="7"/>
    <n v="407.37"/>
    <n v="0.05"/>
    <n v="387.00150000000002"/>
    <n v="2709.01"/>
    <x v="1"/>
    <n v="1"/>
    <n v="2.9"/>
  </r>
  <r>
    <n v="2142"/>
    <d v="2025-11-11T00:00:00"/>
    <x v="5"/>
    <s v="Q4"/>
    <x v="10"/>
    <n v="11"/>
    <n v="1516"/>
    <x v="1"/>
    <x v="0"/>
    <n v="5"/>
    <n v="153.25"/>
    <n v="0.32"/>
    <n v="104.21000000000001"/>
    <n v="521.04999999999995"/>
    <x v="2"/>
    <n v="3"/>
    <n v="2.2000000000000002"/>
  </r>
  <r>
    <n v="2143"/>
    <d v="2025-11-12T00:00:00"/>
    <x v="5"/>
    <s v="Q4"/>
    <x v="10"/>
    <n v="11"/>
    <n v="1772"/>
    <x v="1"/>
    <x v="1"/>
    <n v="7"/>
    <n v="271.45"/>
    <n v="0.23"/>
    <n v="209.01649999999998"/>
    <n v="1463.12"/>
    <x v="1"/>
    <n v="6"/>
    <n v="4.8"/>
  </r>
  <r>
    <n v="2144"/>
    <d v="2025-11-13T00:00:00"/>
    <x v="5"/>
    <s v="Q4"/>
    <x v="10"/>
    <n v="11"/>
    <n v="1053"/>
    <x v="2"/>
    <x v="2"/>
    <n v="1"/>
    <n v="24.86"/>
    <n v="0.15"/>
    <n v="21.131"/>
    <n v="21.13"/>
    <x v="1"/>
    <n v="8"/>
    <n v="1.6"/>
  </r>
  <r>
    <n v="2145"/>
    <d v="2025-11-14T00:00:00"/>
    <x v="5"/>
    <s v="Q4"/>
    <x v="10"/>
    <n v="11"/>
    <n v="1046"/>
    <x v="3"/>
    <x v="3"/>
    <n v="1"/>
    <n v="103.69"/>
    <n v="0.2"/>
    <n v="82.951999999999998"/>
    <n v="82.95"/>
    <x v="1"/>
    <n v="5"/>
    <n v="4"/>
  </r>
  <r>
    <n v="2146"/>
    <d v="2025-11-15T00:00:00"/>
    <x v="5"/>
    <s v="Q4"/>
    <x v="10"/>
    <n v="11"/>
    <n v="1726"/>
    <x v="1"/>
    <x v="2"/>
    <n v="1"/>
    <n v="68.87"/>
    <n v="0.26"/>
    <n v="50.963800000000006"/>
    <n v="50.96"/>
    <x v="2"/>
    <n v="5"/>
    <n v="4.2"/>
  </r>
  <r>
    <n v="2147"/>
    <d v="2025-11-16T00:00:00"/>
    <x v="5"/>
    <s v="Q4"/>
    <x v="10"/>
    <n v="11"/>
    <n v="1688"/>
    <x v="2"/>
    <x v="3"/>
    <n v="7"/>
    <n v="155.25"/>
    <n v="0.27"/>
    <n v="113.3325"/>
    <n v="793.33"/>
    <x v="1"/>
    <n v="4"/>
    <n v="4.8"/>
  </r>
  <r>
    <n v="2148"/>
    <d v="2025-11-17T00:00:00"/>
    <x v="5"/>
    <s v="Q4"/>
    <x v="10"/>
    <n v="11"/>
    <n v="1520"/>
    <x v="1"/>
    <x v="2"/>
    <n v="1"/>
    <n v="73.510000000000005"/>
    <n v="0.32"/>
    <n v="49.986800000000002"/>
    <n v="49.99"/>
    <x v="2"/>
    <n v="4"/>
    <n v="3.2"/>
  </r>
  <r>
    <n v="2149"/>
    <d v="2025-11-18T00:00:00"/>
    <x v="5"/>
    <s v="Q4"/>
    <x v="10"/>
    <n v="11"/>
    <n v="1098"/>
    <x v="0"/>
    <x v="3"/>
    <n v="6"/>
    <n v="419.77"/>
    <n v="0.15"/>
    <n v="356.80449999999996"/>
    <n v="2140.83"/>
    <x v="1"/>
    <n v="7"/>
    <n v="3.1"/>
  </r>
  <r>
    <n v="2150"/>
    <d v="2025-11-19T00:00:00"/>
    <x v="5"/>
    <s v="Q4"/>
    <x v="10"/>
    <n v="11"/>
    <n v="1019"/>
    <x v="1"/>
    <x v="3"/>
    <n v="1"/>
    <n v="31.99"/>
    <n v="0.1"/>
    <n v="28.790999999999997"/>
    <n v="28.79"/>
    <x v="1"/>
    <n v="6"/>
    <n v="4.7"/>
  </r>
  <r>
    <n v="2151"/>
    <d v="2025-11-20T00:00:00"/>
    <x v="5"/>
    <s v="Q4"/>
    <x v="10"/>
    <n v="11"/>
    <n v="1889"/>
    <x v="0"/>
    <x v="3"/>
    <n v="2"/>
    <n v="376.38"/>
    <n v="0.22"/>
    <n v="293.57639999999998"/>
    <n v="587.15"/>
    <x v="0"/>
    <n v="8"/>
    <n v="4.2"/>
  </r>
  <r>
    <n v="2152"/>
    <d v="2025-11-21T00:00:00"/>
    <x v="5"/>
    <s v="Q4"/>
    <x v="10"/>
    <n v="11"/>
    <n v="1752"/>
    <x v="2"/>
    <x v="3"/>
    <n v="4"/>
    <n v="97.31"/>
    <n v="0.15"/>
    <n v="82.71350000000001"/>
    <n v="330.85"/>
    <x v="0"/>
    <n v="11"/>
    <n v="4.0999999999999996"/>
  </r>
  <r>
    <n v="2153"/>
    <d v="2025-11-22T00:00:00"/>
    <x v="5"/>
    <s v="Q4"/>
    <x v="10"/>
    <n v="11"/>
    <n v="1572"/>
    <x v="2"/>
    <x v="0"/>
    <n v="6"/>
    <n v="567.91999999999996"/>
    <n v="0.21"/>
    <n v="448.65679999999998"/>
    <n v="2691.94"/>
    <x v="2"/>
    <n v="6"/>
    <n v="4.2"/>
  </r>
  <r>
    <n v="2154"/>
    <d v="2025-11-23T00:00:00"/>
    <x v="5"/>
    <s v="Q4"/>
    <x v="10"/>
    <n v="11"/>
    <n v="1890"/>
    <x v="2"/>
    <x v="2"/>
    <n v="4"/>
    <n v="560.86"/>
    <n v="0.15"/>
    <n v="476.73099999999999"/>
    <n v="1906.92"/>
    <x v="1"/>
    <n v="11"/>
    <n v="3"/>
  </r>
  <r>
    <n v="2155"/>
    <d v="2025-11-24T00:00:00"/>
    <x v="5"/>
    <s v="Q4"/>
    <x v="10"/>
    <n v="11"/>
    <n v="1489"/>
    <x v="1"/>
    <x v="3"/>
    <n v="2"/>
    <n v="146.91999999999999"/>
    <n v="0.05"/>
    <n v="139.57399999999998"/>
    <n v="279.14999999999998"/>
    <x v="1"/>
    <n v="10"/>
    <n v="1.2"/>
  </r>
  <r>
    <n v="2156"/>
    <d v="2025-11-25T00:00:00"/>
    <x v="5"/>
    <s v="Q4"/>
    <x v="10"/>
    <n v="11"/>
    <n v="1418"/>
    <x v="2"/>
    <x v="2"/>
    <n v="2"/>
    <n v="374.44"/>
    <n v="0.16"/>
    <n v="314.52960000000002"/>
    <n v="629.05999999999995"/>
    <x v="0"/>
    <n v="7"/>
    <n v="1.8"/>
  </r>
  <r>
    <n v="2157"/>
    <d v="2025-11-26T00:00:00"/>
    <x v="5"/>
    <s v="Q4"/>
    <x v="10"/>
    <n v="11"/>
    <n v="1689"/>
    <x v="2"/>
    <x v="1"/>
    <n v="3"/>
    <n v="31.38"/>
    <n v="0.24"/>
    <n v="23.848800000000001"/>
    <n v="71.55"/>
    <x v="1"/>
    <n v="10"/>
    <n v="3.6"/>
  </r>
  <r>
    <n v="2158"/>
    <d v="2025-11-27T00:00:00"/>
    <x v="5"/>
    <s v="Q4"/>
    <x v="10"/>
    <n v="11"/>
    <n v="1849"/>
    <x v="0"/>
    <x v="3"/>
    <n v="6"/>
    <n v="560.1"/>
    <n v="0.28000000000000003"/>
    <n v="403.27199999999999"/>
    <n v="2419.63"/>
    <x v="0"/>
    <n v="10"/>
    <n v="2.6"/>
  </r>
  <r>
    <n v="2159"/>
    <d v="2025-11-28T00:00:00"/>
    <x v="5"/>
    <s v="Q4"/>
    <x v="10"/>
    <n v="11"/>
    <n v="1061"/>
    <x v="3"/>
    <x v="2"/>
    <n v="4"/>
    <n v="320.95"/>
    <n v="0.17"/>
    <n v="266.38849999999996"/>
    <n v="1065.55"/>
    <x v="1"/>
    <n v="5"/>
    <n v="3.4"/>
  </r>
  <r>
    <n v="2160"/>
    <d v="2025-11-29T00:00:00"/>
    <x v="5"/>
    <s v="Q4"/>
    <x v="10"/>
    <n v="11"/>
    <n v="1144"/>
    <x v="3"/>
    <x v="0"/>
    <n v="1"/>
    <n v="40.29"/>
    <n v="0.06"/>
    <n v="37.872599999999998"/>
    <n v="37.869999999999997"/>
    <x v="0"/>
    <n v="6"/>
    <n v="3.2"/>
  </r>
  <r>
    <n v="2161"/>
    <d v="2025-11-30T00:00:00"/>
    <x v="5"/>
    <s v="Q4"/>
    <x v="10"/>
    <n v="11"/>
    <n v="1215"/>
    <x v="2"/>
    <x v="2"/>
    <n v="2"/>
    <n v="215.36"/>
    <n v="0.15"/>
    <n v="183.05600000000001"/>
    <n v="366.11"/>
    <x v="1"/>
    <n v="1"/>
    <n v="2.8"/>
  </r>
  <r>
    <n v="2162"/>
    <d v="2025-12-01T00:00:00"/>
    <x v="5"/>
    <s v="Q4"/>
    <x v="11"/>
    <n v="12"/>
    <n v="1002"/>
    <x v="2"/>
    <x v="3"/>
    <n v="1"/>
    <n v="59.96"/>
    <n v="0.28000000000000003"/>
    <n v="43.171199999999999"/>
    <n v="43.17"/>
    <x v="1"/>
    <n v="3"/>
    <n v="1.9"/>
  </r>
  <r>
    <n v="2163"/>
    <d v="2025-12-02T00:00:00"/>
    <x v="5"/>
    <s v="Q4"/>
    <x v="11"/>
    <n v="12"/>
    <n v="1159"/>
    <x v="2"/>
    <x v="1"/>
    <n v="4"/>
    <n v="244.87"/>
    <n v="0.14000000000000001"/>
    <n v="210.5882"/>
    <n v="842.35"/>
    <x v="2"/>
    <n v="8"/>
    <n v="3.9"/>
  </r>
  <r>
    <n v="2164"/>
    <d v="2025-12-03T00:00:00"/>
    <x v="5"/>
    <s v="Q4"/>
    <x v="11"/>
    <n v="12"/>
    <n v="1738"/>
    <x v="3"/>
    <x v="2"/>
    <n v="7"/>
    <n v="406.91"/>
    <n v="0.24"/>
    <n v="309.25160000000005"/>
    <n v="2164.7600000000002"/>
    <x v="0"/>
    <n v="3"/>
    <n v="4.5999999999999996"/>
  </r>
  <r>
    <n v="2165"/>
    <d v="2025-12-04T00:00:00"/>
    <x v="5"/>
    <s v="Q4"/>
    <x v="11"/>
    <n v="12"/>
    <n v="1997"/>
    <x v="0"/>
    <x v="1"/>
    <n v="6"/>
    <n v="289.89"/>
    <n v="0.18"/>
    <n v="237.7098"/>
    <n v="1426.26"/>
    <x v="0"/>
    <n v="1"/>
    <n v="4.0999999999999996"/>
  </r>
  <r>
    <n v="2166"/>
    <d v="2025-12-05T00:00:00"/>
    <x v="5"/>
    <s v="Q4"/>
    <x v="11"/>
    <n v="12"/>
    <n v="1780"/>
    <x v="1"/>
    <x v="0"/>
    <n v="5"/>
    <n v="239.48"/>
    <n v="0.08"/>
    <n v="220.32159999999999"/>
    <n v="1101.6099999999999"/>
    <x v="2"/>
    <n v="3"/>
    <n v="1.5"/>
  </r>
  <r>
    <n v="2167"/>
    <d v="2025-12-06T00:00:00"/>
    <x v="5"/>
    <s v="Q4"/>
    <x v="11"/>
    <n v="12"/>
    <n v="1119"/>
    <x v="2"/>
    <x v="2"/>
    <n v="7"/>
    <n v="84.71"/>
    <n v="0.28000000000000003"/>
    <n v="60.991199999999992"/>
    <n v="426.94"/>
    <x v="2"/>
    <n v="4"/>
    <n v="3.2"/>
  </r>
  <r>
    <n v="2168"/>
    <d v="2025-12-07T00:00:00"/>
    <x v="5"/>
    <s v="Q4"/>
    <x v="11"/>
    <n v="12"/>
    <n v="1892"/>
    <x v="1"/>
    <x v="2"/>
    <n v="7"/>
    <n v="158.29"/>
    <n v="0.03"/>
    <n v="153.54129999999998"/>
    <n v="1074.79"/>
    <x v="2"/>
    <n v="8"/>
    <n v="4.3"/>
  </r>
  <r>
    <n v="2169"/>
    <d v="2025-12-08T00:00:00"/>
    <x v="5"/>
    <s v="Q4"/>
    <x v="11"/>
    <n v="12"/>
    <n v="1088"/>
    <x v="2"/>
    <x v="0"/>
    <n v="5"/>
    <n v="73.58"/>
    <n v="0.18"/>
    <n v="60.335599999999999"/>
    <n v="301.68"/>
    <x v="2"/>
    <n v="9"/>
    <n v="3.4"/>
  </r>
  <r>
    <n v="2170"/>
    <d v="2025-12-09T00:00:00"/>
    <x v="5"/>
    <s v="Q4"/>
    <x v="11"/>
    <n v="12"/>
    <n v="1328"/>
    <x v="1"/>
    <x v="0"/>
    <n v="2"/>
    <n v="487.39"/>
    <n v="7.0000000000000007E-2"/>
    <n v="453.27269999999999"/>
    <n v="906.55"/>
    <x v="0"/>
    <n v="4"/>
    <n v="2.8"/>
  </r>
  <r>
    <n v="2171"/>
    <d v="2025-12-10T00:00:00"/>
    <x v="5"/>
    <s v="Q4"/>
    <x v="11"/>
    <n v="12"/>
    <n v="1579"/>
    <x v="1"/>
    <x v="0"/>
    <n v="3"/>
    <n v="94.12"/>
    <n v="0.02"/>
    <n v="92.2376"/>
    <n v="276.70999999999998"/>
    <x v="2"/>
    <n v="7"/>
    <n v="2.1"/>
  </r>
  <r>
    <n v="2172"/>
    <d v="2025-12-11T00:00:00"/>
    <x v="5"/>
    <s v="Q4"/>
    <x v="11"/>
    <n v="12"/>
    <n v="1909"/>
    <x v="3"/>
    <x v="3"/>
    <n v="1"/>
    <n v="363.29"/>
    <n v="0.18"/>
    <n v="297.89780000000002"/>
    <n v="297.89999999999998"/>
    <x v="2"/>
    <n v="1"/>
    <n v="2.2999999999999998"/>
  </r>
  <r>
    <n v="2173"/>
    <d v="2025-12-12T00:00:00"/>
    <x v="5"/>
    <s v="Q4"/>
    <x v="11"/>
    <n v="12"/>
    <n v="1356"/>
    <x v="2"/>
    <x v="3"/>
    <n v="2"/>
    <n v="215.5"/>
    <n v="0.17"/>
    <n v="178.86500000000001"/>
    <n v="357.73"/>
    <x v="2"/>
    <n v="9"/>
    <n v="2"/>
  </r>
  <r>
    <n v="2174"/>
    <d v="2025-12-13T00:00:00"/>
    <x v="5"/>
    <s v="Q4"/>
    <x v="11"/>
    <n v="12"/>
    <n v="1609"/>
    <x v="2"/>
    <x v="2"/>
    <n v="3"/>
    <n v="147.19999999999999"/>
    <n v="0.25"/>
    <n v="110.39999999999999"/>
    <n v="331.2"/>
    <x v="2"/>
    <n v="11"/>
    <n v="1.8"/>
  </r>
  <r>
    <n v="2175"/>
    <d v="2025-12-14T00:00:00"/>
    <x v="5"/>
    <s v="Q4"/>
    <x v="11"/>
    <n v="12"/>
    <n v="1266"/>
    <x v="0"/>
    <x v="2"/>
    <n v="1"/>
    <n v="389.09"/>
    <n v="0.26"/>
    <n v="287.92660000000001"/>
    <n v="287.93"/>
    <x v="0"/>
    <n v="4"/>
    <n v="3.4"/>
  </r>
  <r>
    <n v="2176"/>
    <d v="2025-12-15T00:00:00"/>
    <x v="5"/>
    <s v="Q4"/>
    <x v="11"/>
    <n v="12"/>
    <n v="1616"/>
    <x v="2"/>
    <x v="2"/>
    <n v="4"/>
    <n v="282.35000000000002"/>
    <n v="0.25"/>
    <n v="211.76250000000002"/>
    <n v="847.05"/>
    <x v="1"/>
    <n v="9"/>
    <n v="3"/>
  </r>
  <r>
    <n v="2177"/>
    <d v="2025-12-16T00:00:00"/>
    <x v="5"/>
    <s v="Q4"/>
    <x v="11"/>
    <n v="12"/>
    <n v="1951"/>
    <x v="2"/>
    <x v="1"/>
    <n v="7"/>
    <n v="249.09"/>
    <n v="0.14000000000000001"/>
    <n v="214.2174"/>
    <n v="1499.52"/>
    <x v="1"/>
    <n v="3"/>
    <n v="3.9"/>
  </r>
  <r>
    <n v="2178"/>
    <d v="2025-12-17T00:00:00"/>
    <x v="5"/>
    <s v="Q4"/>
    <x v="11"/>
    <n v="12"/>
    <n v="1322"/>
    <x v="2"/>
    <x v="0"/>
    <n v="7"/>
    <n v="361.82"/>
    <n v="0.22"/>
    <n v="282.21960000000001"/>
    <n v="1975.54"/>
    <x v="2"/>
    <n v="11"/>
    <n v="2.2000000000000002"/>
  </r>
  <r>
    <n v="2179"/>
    <d v="2025-12-18T00:00:00"/>
    <x v="5"/>
    <s v="Q4"/>
    <x v="11"/>
    <n v="12"/>
    <n v="1634"/>
    <x v="2"/>
    <x v="2"/>
    <n v="5"/>
    <n v="302.39"/>
    <n v="0.2"/>
    <n v="241.91199999999998"/>
    <n v="1209.56"/>
    <x v="1"/>
    <n v="5"/>
    <n v="2.8"/>
  </r>
  <r>
    <n v="2180"/>
    <d v="2025-12-19T00:00:00"/>
    <x v="5"/>
    <s v="Q4"/>
    <x v="11"/>
    <n v="12"/>
    <n v="1987"/>
    <x v="1"/>
    <x v="0"/>
    <n v="3"/>
    <n v="192.54"/>
    <n v="0.15"/>
    <n v="163.65899999999999"/>
    <n v="490.98"/>
    <x v="2"/>
    <n v="1"/>
    <n v="3.7"/>
  </r>
  <r>
    <n v="2181"/>
    <d v="2025-12-20T00:00:00"/>
    <x v="5"/>
    <s v="Q4"/>
    <x v="11"/>
    <n v="12"/>
    <n v="1540"/>
    <x v="3"/>
    <x v="3"/>
    <n v="1"/>
    <n v="342.05"/>
    <n v="0.21"/>
    <n v="270.21950000000004"/>
    <n v="270.22000000000003"/>
    <x v="0"/>
    <n v="11"/>
    <n v="4.9000000000000004"/>
  </r>
  <r>
    <n v="2182"/>
    <d v="2025-12-21T00:00:00"/>
    <x v="5"/>
    <s v="Q4"/>
    <x v="11"/>
    <n v="12"/>
    <n v="1648"/>
    <x v="2"/>
    <x v="0"/>
    <n v="2"/>
    <n v="406.66"/>
    <n v="0.33"/>
    <n v="272.46220000000005"/>
    <n v="544.91999999999996"/>
    <x v="2"/>
    <n v="3"/>
    <n v="2.4"/>
  </r>
  <r>
    <n v="2183"/>
    <d v="2025-12-22T00:00:00"/>
    <x v="5"/>
    <s v="Q4"/>
    <x v="11"/>
    <n v="12"/>
    <n v="1194"/>
    <x v="1"/>
    <x v="1"/>
    <n v="1"/>
    <n v="30.62"/>
    <n v="7.0000000000000007E-2"/>
    <n v="28.476600000000001"/>
    <n v="28.48"/>
    <x v="0"/>
    <n v="5"/>
    <n v="2.2000000000000002"/>
  </r>
  <r>
    <n v="2184"/>
    <d v="2025-12-23T00:00:00"/>
    <x v="5"/>
    <s v="Q4"/>
    <x v="11"/>
    <n v="12"/>
    <n v="1920"/>
    <x v="3"/>
    <x v="1"/>
    <n v="2"/>
    <n v="287.52999999999997"/>
    <n v="0.32"/>
    <n v="195.5204"/>
    <n v="391.04"/>
    <x v="1"/>
    <n v="6"/>
    <n v="2.8"/>
  </r>
  <r>
    <n v="2185"/>
    <d v="2025-12-24T00:00:00"/>
    <x v="5"/>
    <s v="Q4"/>
    <x v="11"/>
    <n v="12"/>
    <n v="1737"/>
    <x v="1"/>
    <x v="0"/>
    <n v="7"/>
    <n v="48.74"/>
    <n v="0.02"/>
    <n v="47.7652"/>
    <n v="334.36"/>
    <x v="0"/>
    <n v="8"/>
    <n v="3.9"/>
  </r>
  <r>
    <n v="2186"/>
    <d v="2025-12-25T00:00:00"/>
    <x v="5"/>
    <s v="Q4"/>
    <x v="11"/>
    <n v="12"/>
    <n v="1331"/>
    <x v="0"/>
    <x v="1"/>
    <n v="5"/>
    <n v="124.05"/>
    <n v="0.11"/>
    <n v="110.4045"/>
    <n v="552.02"/>
    <x v="2"/>
    <n v="1"/>
    <n v="4.8"/>
  </r>
  <r>
    <n v="2187"/>
    <d v="2025-12-26T00:00:00"/>
    <x v="5"/>
    <s v="Q4"/>
    <x v="11"/>
    <n v="12"/>
    <n v="1169"/>
    <x v="0"/>
    <x v="1"/>
    <n v="5"/>
    <n v="342.9"/>
    <n v="0.1"/>
    <n v="308.60999999999996"/>
    <n v="1543.05"/>
    <x v="1"/>
    <n v="3"/>
    <n v="3.1"/>
  </r>
  <r>
    <n v="2188"/>
    <d v="2025-12-27T00:00:00"/>
    <x v="5"/>
    <s v="Q4"/>
    <x v="11"/>
    <n v="12"/>
    <n v="1520"/>
    <x v="2"/>
    <x v="3"/>
    <n v="1"/>
    <n v="521.72"/>
    <n v="0.22"/>
    <n v="406.94159999999999"/>
    <n v="406.94"/>
    <x v="2"/>
    <n v="1"/>
    <n v="4.2"/>
  </r>
  <r>
    <n v="2189"/>
    <d v="2025-12-28T00:00:00"/>
    <x v="5"/>
    <s v="Q4"/>
    <x v="11"/>
    <n v="12"/>
    <n v="1462"/>
    <x v="3"/>
    <x v="2"/>
    <n v="1"/>
    <n v="531.44000000000005"/>
    <n v="0.05"/>
    <n v="504.86800000000005"/>
    <n v="504.87"/>
    <x v="0"/>
    <n v="5"/>
    <n v="2.9"/>
  </r>
  <r>
    <n v="2190"/>
    <d v="2025-12-29T00:00:00"/>
    <x v="5"/>
    <s v="Q4"/>
    <x v="11"/>
    <n v="12"/>
    <n v="1039"/>
    <x v="1"/>
    <x v="1"/>
    <n v="2"/>
    <n v="55.92"/>
    <n v="0.31"/>
    <n v="38.584800000000001"/>
    <n v="77.17"/>
    <x v="1"/>
    <n v="8"/>
    <n v="1.2"/>
  </r>
  <r>
    <n v="2191"/>
    <d v="2025-12-30T00:00:00"/>
    <x v="5"/>
    <s v="Q4"/>
    <x v="11"/>
    <n v="12"/>
    <n v="1536"/>
    <x v="0"/>
    <x v="2"/>
    <n v="2"/>
    <n v="260.18"/>
    <n v="0.28999999999999998"/>
    <n v="184.7278"/>
    <n v="369.46"/>
    <x v="2"/>
    <n v="4"/>
    <n v="4.5999999999999996"/>
  </r>
  <r>
    <n v="2192"/>
    <d v="2025-12-31T00:00:00"/>
    <x v="5"/>
    <s v="Q4"/>
    <x v="11"/>
    <n v="12"/>
    <n v="1260"/>
    <x v="1"/>
    <x v="0"/>
    <n v="3"/>
    <n v="356.06"/>
    <n v="0.23"/>
    <n v="274.1662"/>
    <n v="822.5"/>
    <x v="0"/>
    <n v="11"/>
    <n v="2.20000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DD5E6B-52DE-4FF8-8542-4312CA7CEE2D}" name="PivotTable8"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D31:E35" firstHeaderRow="1" firstDataRow="1" firstDataCol="1"/>
  <pivotFields count="17">
    <pivotField numFmtId="168" showAll="0"/>
    <pivotField numFmtId="167" showAll="0"/>
    <pivotField numFmtId="1" showAll="0">
      <items count="7">
        <item x="0"/>
        <item x="1"/>
        <item x="2"/>
        <item x="3"/>
        <item x="4"/>
        <item x="5"/>
        <item t="default"/>
      </items>
    </pivotField>
    <pivotField showAll="0"/>
    <pivotField showAll="0"/>
    <pivotField numFmtId="1" showAll="0"/>
    <pivotField showAll="0"/>
    <pivotField axis="axisRow" showAll="0">
      <items count="5">
        <item x="0"/>
        <item x="1"/>
        <item x="2"/>
        <item x="3"/>
        <item t="default"/>
      </items>
    </pivotField>
    <pivotField showAll="0">
      <items count="5">
        <item x="1"/>
        <item x="3"/>
        <item x="0"/>
        <item x="2"/>
        <item t="default"/>
      </items>
    </pivotField>
    <pivotField showAll="0"/>
    <pivotField numFmtId="164" showAll="0"/>
    <pivotField numFmtId="9" showAll="0"/>
    <pivotField numFmtId="164" showAll="0"/>
    <pivotField numFmtId="164" showAll="0"/>
    <pivotField showAll="0"/>
    <pivotField numFmtId="165" showAll="0"/>
    <pivotField dataField="1" numFmtId="166" showAll="0"/>
  </pivotFields>
  <rowFields count="1">
    <field x="7"/>
  </rowFields>
  <rowItems count="4">
    <i>
      <x/>
    </i>
    <i>
      <x v="1"/>
    </i>
    <i>
      <x v="2"/>
    </i>
    <i>
      <x v="3"/>
    </i>
  </rowItems>
  <colItems count="1">
    <i/>
  </colItems>
  <dataFields count="1">
    <dataField name="Average of Customer Rating" fld="16" subtotal="average" baseField="7" baseItem="0" numFmtId="4"/>
  </dataFields>
  <formats count="1">
    <format dxfId="22">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B344F0-C2A1-425D-A745-D8C15789E85E}" name="PivotTable7"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31:B37" firstHeaderRow="1" firstDataRow="1" firstDataCol="1"/>
  <pivotFields count="17">
    <pivotField dataField="1" numFmtId="168" showAll="0"/>
    <pivotField numFmtId="167" showAll="0"/>
    <pivotField axis="axisRow" numFmtId="1" showAll="0">
      <items count="7">
        <item x="0"/>
        <item x="1"/>
        <item x="2"/>
        <item x="3"/>
        <item x="4"/>
        <item x="5"/>
        <item t="default"/>
      </items>
    </pivotField>
    <pivotField showAll="0"/>
    <pivotField showAll="0"/>
    <pivotField numFmtId="1" showAll="0"/>
    <pivotField showAll="0"/>
    <pivotField showAll="0">
      <items count="5">
        <item x="0"/>
        <item x="1"/>
        <item x="2"/>
        <item x="3"/>
        <item t="default"/>
      </items>
    </pivotField>
    <pivotField showAll="0">
      <items count="5">
        <item x="1"/>
        <item x="3"/>
        <item x="0"/>
        <item x="2"/>
        <item t="default"/>
      </items>
    </pivotField>
    <pivotField showAll="0"/>
    <pivotField numFmtId="164" showAll="0"/>
    <pivotField numFmtId="9" showAll="0"/>
    <pivotField numFmtId="164" showAll="0"/>
    <pivotField numFmtId="164" showAll="0"/>
    <pivotField showAll="0"/>
    <pivotField numFmtId="165" showAll="0"/>
    <pivotField numFmtId="166" showAll="0"/>
  </pivotFields>
  <rowFields count="1">
    <field x="2"/>
  </rowFields>
  <rowItems count="6">
    <i>
      <x/>
    </i>
    <i>
      <x v="1"/>
    </i>
    <i>
      <x v="2"/>
    </i>
    <i>
      <x v="3"/>
    </i>
    <i>
      <x v="4"/>
    </i>
    <i>
      <x v="5"/>
    </i>
  </rowItems>
  <colItems count="1">
    <i/>
  </colItems>
  <dataFields count="1">
    <dataField name="Count of Order 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89CE7C-00EB-4F23-B559-D06CD960991A}" name="PivotTable2"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D4:E10" firstHeaderRow="1" firstDataRow="1" firstDataCol="1"/>
  <pivotFields count="17">
    <pivotField numFmtId="168" subtotalTop="0" showAll="0"/>
    <pivotField numFmtId="167" subtotalTop="0" showAll="0"/>
    <pivotField axis="axisRow" numFmtId="1" subtotalTop="0" showAll="0">
      <items count="7">
        <item x="0"/>
        <item x="1"/>
        <item x="2"/>
        <item x="3"/>
        <item x="4"/>
        <item x="5"/>
        <item t="default"/>
      </items>
    </pivotField>
    <pivotField subtotalTop="0" showAll="0"/>
    <pivotField subtotalTop="0" showAll="0"/>
    <pivotField numFmtId="1" subtotalTop="0" showAll="0"/>
    <pivotField subtotalTop="0" showAll="0"/>
    <pivotField subtotalTop="0" showAll="0">
      <items count="5">
        <item x="0"/>
        <item x="1"/>
        <item x="2"/>
        <item x="3"/>
        <item t="default"/>
      </items>
    </pivotField>
    <pivotField subtotalTop="0" showAll="0">
      <items count="5">
        <item x="1"/>
        <item x="3"/>
        <item x="0"/>
        <item x="2"/>
        <item t="default"/>
      </items>
    </pivotField>
    <pivotField subtotalTop="0" showAll="0"/>
    <pivotField numFmtId="164" subtotalTop="0" showAll="0"/>
    <pivotField numFmtId="9" subtotalTop="0" showAll="0"/>
    <pivotField numFmtId="164" subtotalTop="0" showAll="0"/>
    <pivotField dataField="1" numFmtId="164" subtotalTop="0" showAll="0"/>
    <pivotField subtotalTop="0" showAll="0"/>
    <pivotField numFmtId="165" subtotalTop="0" showAll="0"/>
    <pivotField numFmtId="166" subtotalTop="0" showAll="0"/>
  </pivotFields>
  <rowFields count="1">
    <field x="2"/>
  </rowFields>
  <rowItems count="6">
    <i>
      <x/>
    </i>
    <i>
      <x v="1"/>
    </i>
    <i>
      <x v="2"/>
    </i>
    <i>
      <x v="3"/>
    </i>
    <i>
      <x v="4"/>
    </i>
    <i>
      <x v="5"/>
    </i>
  </rowItems>
  <colItems count="1">
    <i/>
  </colItems>
  <dataFields count="1">
    <dataField name="Sum of Total Revenue" fld="13" baseField="0" baseItem="0" numFmtId="169"/>
  </dataFields>
  <formats count="1">
    <format dxfId="23">
      <pivotArea outline="0" collapsedLevelsAreSubtotals="1" fieldPosition="0"/>
    </format>
  </formats>
  <chartFormats count="1">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9C10E7-2091-4913-8FE9-4096DA464F3D}" name="PivotTable5"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D22:E26" firstHeaderRow="1" firstDataRow="1" firstDataCol="1"/>
  <pivotFields count="17">
    <pivotField numFmtId="168" showAll="0"/>
    <pivotField numFmtId="167" showAll="0"/>
    <pivotField numFmtId="1" showAll="0">
      <items count="7">
        <item x="0"/>
        <item x="1"/>
        <item x="2"/>
        <item x="3"/>
        <item x="4"/>
        <item x="5"/>
        <item t="default"/>
      </items>
    </pivotField>
    <pivotField showAll="0"/>
    <pivotField showAll="0"/>
    <pivotField numFmtId="1" showAll="0"/>
    <pivotField showAll="0"/>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showAll="0"/>
    <pivotField numFmtId="164" showAll="0"/>
    <pivotField numFmtId="9" showAll="0"/>
    <pivotField numFmtId="164" showAll="0"/>
    <pivotField dataField="1" numFmtId="164" showAll="0"/>
    <pivotField showAll="0"/>
    <pivotField numFmtId="165" showAll="0"/>
    <pivotField numFmtId="166" showAll="0"/>
  </pivotFields>
  <rowFields count="1">
    <field x="7"/>
  </rowFields>
  <rowItems count="4">
    <i>
      <x v="2"/>
    </i>
    <i>
      <x v="1"/>
    </i>
    <i>
      <x v="3"/>
    </i>
    <i>
      <x/>
    </i>
  </rowItems>
  <colItems count="1">
    <i/>
  </colItems>
  <dataFields count="1">
    <dataField name="Sum of Total Revenue" fld="13" baseField="0" baseItem="0" numFmtId="169"/>
  </dataFields>
  <formats count="1">
    <format dxfId="24">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8DBCFE-76BF-4A43-9974-1BE9CD43A7EA}" name="PivotTable4"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22:B26" firstHeaderRow="1" firstDataRow="1" firstDataCol="1"/>
  <pivotFields count="17">
    <pivotField numFmtId="168" subtotalTop="0" showAll="0"/>
    <pivotField numFmtId="167" subtotalTop="0" showAll="0"/>
    <pivotField numFmtId="1" subtotalTop="0" showAll="0">
      <items count="7">
        <item x="0"/>
        <item x="1"/>
        <item x="2"/>
        <item x="3"/>
        <item x="4"/>
        <item x="5"/>
        <item t="default"/>
      </items>
    </pivotField>
    <pivotField subtotalTop="0" showAll="0"/>
    <pivotField subtotalTop="0" showAll="0"/>
    <pivotField numFmtId="1" subtotalTop="0" showAll="0"/>
    <pivotField subtotalTop="0" showAll="0"/>
    <pivotField subtotalTop="0" showAll="0">
      <items count="5">
        <item x="0"/>
        <item x="1"/>
        <item x="2"/>
        <item x="3"/>
        <item t="default"/>
      </items>
    </pivotField>
    <pivotField axis="axisRow" subtotalTop="0"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ubtotalTop="0" showAll="0"/>
    <pivotField numFmtId="164" subtotalTop="0" showAll="0"/>
    <pivotField numFmtId="9" subtotalTop="0" showAll="0"/>
    <pivotField numFmtId="164" subtotalTop="0" showAll="0"/>
    <pivotField dataField="1" numFmtId="164" subtotalTop="0" showAll="0"/>
    <pivotField subtotalTop="0" showAll="0"/>
    <pivotField numFmtId="165" subtotalTop="0" showAll="0"/>
    <pivotField numFmtId="166" subtotalTop="0" showAll="0"/>
  </pivotFields>
  <rowFields count="1">
    <field x="8"/>
  </rowFields>
  <rowItems count="4">
    <i>
      <x v="3"/>
    </i>
    <i>
      <x v="1"/>
    </i>
    <i>
      <x/>
    </i>
    <i>
      <x v="2"/>
    </i>
  </rowItems>
  <colItems count="1">
    <i/>
  </colItems>
  <dataFields count="1">
    <dataField name="Sum of Total Revenue" fld="13" baseField="0" baseItem="0" numFmtId="169"/>
  </dataFields>
  <formats count="1">
    <format dxfId="25">
      <pivotArea outline="0" collapsedLevelsAreSubtotals="1" fieldPosition="0"/>
    </format>
  </format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B187B9-34B7-4918-9CC5-520CB3ADF879}" name="PivotTable6"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G22:H25" firstHeaderRow="1" firstDataRow="1" firstDataCol="1"/>
  <pivotFields count="17">
    <pivotField numFmtId="168" showAll="0"/>
    <pivotField numFmtId="167" showAll="0"/>
    <pivotField numFmtId="1" showAll="0">
      <items count="7">
        <item x="0"/>
        <item x="1"/>
        <item x="2"/>
        <item x="3"/>
        <item x="4"/>
        <item x="5"/>
        <item t="default"/>
      </items>
    </pivotField>
    <pivotField showAll="0"/>
    <pivotField showAll="0"/>
    <pivotField numFmtId="1" showAll="0"/>
    <pivotField showAll="0"/>
    <pivotField showAll="0">
      <items count="5">
        <item x="0"/>
        <item x="1"/>
        <item x="2"/>
        <item x="3"/>
        <item t="default"/>
      </items>
    </pivotField>
    <pivotField showAll="0">
      <items count="5">
        <item x="1"/>
        <item x="3"/>
        <item x="0"/>
        <item x="2"/>
        <item t="default"/>
      </items>
    </pivotField>
    <pivotField showAll="0"/>
    <pivotField numFmtId="164" showAll="0"/>
    <pivotField numFmtId="9" showAll="0"/>
    <pivotField numFmtId="164" showAll="0"/>
    <pivotField numFmtId="164" showAll="0"/>
    <pivotField axis="axisRow" dataField="1" showAll="0">
      <items count="4">
        <item x="1"/>
        <item x="2"/>
        <item x="0"/>
        <item t="default"/>
      </items>
    </pivotField>
    <pivotField numFmtId="165" showAll="0"/>
    <pivotField numFmtId="166" showAll="0"/>
  </pivotFields>
  <rowFields count="1">
    <field x="14"/>
  </rowFields>
  <rowItems count="3">
    <i>
      <x/>
    </i>
    <i>
      <x v="1"/>
    </i>
    <i>
      <x v="2"/>
    </i>
  </rowItems>
  <colItems count="1">
    <i/>
  </colItems>
  <dataFields count="1">
    <dataField name="Count of Payment Method" fld="14" subtotal="count" baseField="0" baseItem="0"/>
  </dataField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4" count="1" selected="0">
            <x v="0"/>
          </reference>
        </references>
      </pivotArea>
    </chartFormat>
    <chartFormat chart="8" format="7">
      <pivotArea type="data" outline="0" fieldPosition="0">
        <references count="2">
          <reference field="4294967294" count="1" selected="0">
            <x v="0"/>
          </reference>
          <reference field="14" count="1" selected="0">
            <x v="1"/>
          </reference>
        </references>
      </pivotArea>
    </chartFormat>
    <chartFormat chart="8"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68C288-CAE4-4EBD-9E73-96550C9A1967}" name="PivotTable3"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G4:M17" firstHeaderRow="1" firstDataRow="2" firstDataCol="1"/>
  <pivotFields count="17">
    <pivotField numFmtId="168" showAll="0"/>
    <pivotField numFmtId="167" showAll="0"/>
    <pivotField axis="axisCol" numFmtId="1" showAll="0">
      <items count="7">
        <item x="0"/>
        <item x="1"/>
        <item x="2"/>
        <item x="3"/>
        <item x="4"/>
        <item x="5"/>
        <item t="default"/>
      </items>
    </pivotField>
    <pivotField showAll="0"/>
    <pivotField axis="axisRow" showAll="0">
      <items count="13">
        <item x="0"/>
        <item x="1"/>
        <item x="2"/>
        <item x="3"/>
        <item x="4"/>
        <item x="5"/>
        <item x="6"/>
        <item x="7"/>
        <item x="8"/>
        <item x="9"/>
        <item x="10"/>
        <item x="11"/>
        <item t="default"/>
      </items>
    </pivotField>
    <pivotField numFmtId="1" showAll="0"/>
    <pivotField showAll="0"/>
    <pivotField showAll="0">
      <items count="5">
        <item x="0"/>
        <item x="1"/>
        <item x="2"/>
        <item x="3"/>
        <item t="default"/>
      </items>
    </pivotField>
    <pivotField showAll="0">
      <items count="5">
        <item x="1"/>
        <item x="3"/>
        <item x="0"/>
        <item x="2"/>
        <item t="default"/>
      </items>
    </pivotField>
    <pivotField showAll="0"/>
    <pivotField numFmtId="164" showAll="0"/>
    <pivotField numFmtId="9" showAll="0"/>
    <pivotField numFmtId="164" showAll="0"/>
    <pivotField dataField="1" numFmtId="164" showAll="0"/>
    <pivotField showAll="0"/>
    <pivotField numFmtId="165" showAll="0"/>
    <pivotField numFmtId="166" showAll="0"/>
  </pivotFields>
  <rowFields count="1">
    <field x="4"/>
  </rowFields>
  <rowItems count="12">
    <i>
      <x/>
    </i>
    <i>
      <x v="1"/>
    </i>
    <i>
      <x v="2"/>
    </i>
    <i>
      <x v="3"/>
    </i>
    <i>
      <x v="4"/>
    </i>
    <i>
      <x v="5"/>
    </i>
    <i>
      <x v="6"/>
    </i>
    <i>
      <x v="7"/>
    </i>
    <i>
      <x v="8"/>
    </i>
    <i>
      <x v="9"/>
    </i>
    <i>
      <x v="10"/>
    </i>
    <i>
      <x v="11"/>
    </i>
  </rowItems>
  <colFields count="1">
    <field x="2"/>
  </colFields>
  <colItems count="6">
    <i>
      <x/>
    </i>
    <i>
      <x v="1"/>
    </i>
    <i>
      <x v="2"/>
    </i>
    <i>
      <x v="3"/>
    </i>
    <i>
      <x v="4"/>
    </i>
    <i>
      <x v="5"/>
    </i>
  </colItems>
  <dataFields count="1">
    <dataField name="Sum of Total Revenue" fld="13" baseField="0" baseItem="0" numFmtId="169"/>
  </dataFields>
  <formats count="1">
    <format dxfId="26">
      <pivotArea outline="0" collapsedLevelsAreSubtotals="1" fieldPosition="0"/>
    </format>
  </formats>
  <chartFormats count="7">
    <chartFormat chart="19" format="12" series="1">
      <pivotArea type="data" outline="0" fieldPosition="0">
        <references count="2">
          <reference field="4294967294" count="1" selected="0">
            <x v="0"/>
          </reference>
          <reference field="2" count="1" selected="0">
            <x v="0"/>
          </reference>
        </references>
      </pivotArea>
    </chartFormat>
    <chartFormat chart="19" format="13" series="1">
      <pivotArea type="data" outline="0" fieldPosition="0">
        <references count="2">
          <reference field="4294967294" count="1" selected="0">
            <x v="0"/>
          </reference>
          <reference field="2" count="1" selected="0">
            <x v="1"/>
          </reference>
        </references>
      </pivotArea>
    </chartFormat>
    <chartFormat chart="19" format="14" series="1">
      <pivotArea type="data" outline="0" fieldPosition="0">
        <references count="2">
          <reference field="4294967294" count="1" selected="0">
            <x v="0"/>
          </reference>
          <reference field="2" count="1" selected="0">
            <x v="2"/>
          </reference>
        </references>
      </pivotArea>
    </chartFormat>
    <chartFormat chart="19" format="15" series="1">
      <pivotArea type="data" outline="0" fieldPosition="0">
        <references count="2">
          <reference field="4294967294" count="1" selected="0">
            <x v="0"/>
          </reference>
          <reference field="2" count="1" selected="0">
            <x v="3"/>
          </reference>
        </references>
      </pivotArea>
    </chartFormat>
    <chartFormat chart="19" format="16" series="1">
      <pivotArea type="data" outline="0" fieldPosition="0">
        <references count="2">
          <reference field="4294967294" count="1" selected="0">
            <x v="0"/>
          </reference>
          <reference field="2" count="1" selected="0">
            <x v="4"/>
          </reference>
        </references>
      </pivotArea>
    </chartFormat>
    <chartFormat chart="19" format="17" series="1">
      <pivotArea type="data" outline="0" fieldPosition="0">
        <references count="2">
          <reference field="4294967294" count="1" selected="0">
            <x v="0"/>
          </reference>
          <reference field="2" count="1" selected="0">
            <x v="5"/>
          </reference>
        </references>
      </pivotArea>
    </chartFormat>
    <chartFormat chart="19"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356920-84EC-4C29-8B22-4160A09EFD86}"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8" firstHeaderRow="1" firstDataRow="1" firstDataCol="1"/>
  <pivotFields count="17">
    <pivotField dataField="1" numFmtId="168" showAll="0"/>
    <pivotField numFmtId="167" showAll="0"/>
    <pivotField numFmtId="1" showAll="0">
      <items count="7">
        <item x="0"/>
        <item x="1"/>
        <item x="2"/>
        <item x="3"/>
        <item x="4"/>
        <item x="5"/>
        <item t="default"/>
      </items>
    </pivotField>
    <pivotField showAll="0"/>
    <pivotField showAll="0"/>
    <pivotField numFmtId="1" showAll="0"/>
    <pivotField showAll="0"/>
    <pivotField showAll="0">
      <items count="5">
        <item x="0"/>
        <item x="1"/>
        <item x="2"/>
        <item x="3"/>
        <item t="default"/>
      </items>
    </pivotField>
    <pivotField showAll="0">
      <items count="5">
        <item x="1"/>
        <item x="3"/>
        <item x="0"/>
        <item x="2"/>
        <item t="default"/>
      </items>
    </pivotField>
    <pivotField dataField="1" showAll="0"/>
    <pivotField numFmtId="164" showAll="0"/>
    <pivotField numFmtId="9" showAll="0"/>
    <pivotField numFmtId="164" showAll="0"/>
    <pivotField dataField="1" numFmtId="164" showAll="0"/>
    <pivotField showAll="0"/>
    <pivotField numFmtId="165" showAll="0"/>
    <pivotField numFmtId="166" showAll="0"/>
  </pivotFields>
  <rowFields count="1">
    <field x="-2"/>
  </rowFields>
  <rowItems count="4">
    <i>
      <x/>
    </i>
    <i i="1">
      <x v="1"/>
    </i>
    <i i="2">
      <x v="2"/>
    </i>
    <i i="3">
      <x v="3"/>
    </i>
  </rowItems>
  <colItems count="1">
    <i/>
  </colItems>
  <dataFields count="4">
    <dataField name="Sum of Total Revenue" fld="13" baseField="0" baseItem="0" numFmtId="164"/>
    <dataField name="Sum of Quantity Sold" fld="9" baseField="0" baseItem="0"/>
    <dataField name="Count of Order ID" fld="0" subtotal="count" baseField="0" baseItem="0"/>
    <dataField name="Average of Total Revenue2" fld="13" subtotal="average" baseField="0" baseItem="1" numFmtId="164"/>
  </dataFields>
  <formats count="2">
    <format dxfId="28">
      <pivotArea collapsedLevelsAreSubtotals="1" fieldPosition="0">
        <references count="1">
          <reference field="4294967294" count="1">
            <x v="0"/>
          </reference>
        </references>
      </pivotArea>
    </format>
    <format dxfId="27">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9A252F8-AE0B-467F-AFF4-EED85D461963}" sourceName="Year">
  <pivotTables>
    <pivotTable tabId="8" name="PivotTable1"/>
    <pivotTable tabId="8" name="PivotTable2"/>
    <pivotTable tabId="8" name="PivotTable3"/>
    <pivotTable tabId="8" name="PivotTable4"/>
    <pivotTable tabId="8" name="PivotTable5"/>
    <pivotTable tabId="8" name="PivotTable6"/>
    <pivotTable tabId="8" name="PivotTable7"/>
    <pivotTable tabId="8" name="PivotTable8"/>
  </pivotTables>
  <data>
    <tabular pivotCacheId="1475268555">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44C84EC-4F3D-47AE-AC1A-6868EA57063C}" sourceName="Product Category">
  <pivotTables>
    <pivotTable tabId="8" name="PivotTable1"/>
    <pivotTable tabId="8" name="PivotTable2"/>
    <pivotTable tabId="8" name="PivotTable3"/>
    <pivotTable tabId="8" name="PivotTable4"/>
    <pivotTable tabId="8" name="PivotTable5"/>
    <pivotTable tabId="8" name="PivotTable6"/>
    <pivotTable tabId="8" name="PivotTable7"/>
    <pivotTable tabId="8" name="PivotTable8"/>
  </pivotTables>
  <data>
    <tabular pivotCacheId="1475268555">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795DDAB-7ACC-4B0F-AE34-AFC203C98C67}" sourceName="Region">
  <pivotTables>
    <pivotTable tabId="8" name="PivotTable1"/>
    <pivotTable tabId="8" name="PivotTable2"/>
    <pivotTable tabId="8" name="PivotTable3"/>
    <pivotTable tabId="8" name="PivotTable4"/>
    <pivotTable tabId="8" name="PivotTable5"/>
    <pivotTable tabId="8" name="PivotTable6"/>
    <pivotTable tabId="8" name="PivotTable7"/>
    <pivotTable tabId="8" name="PivotTable8"/>
  </pivotTables>
  <data>
    <tabular pivotCacheId="1475268555">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F4F95D9-C25E-44D0-80F3-AC9CA369B36A}" cache="Slicer_Year" caption="Year" style="Slicer Style 2" rowHeight="288000"/>
  <slicer name="Product Category" xr10:uid="{D9A2E5ED-7408-484A-BFBE-494A2728CBF7}" cache="Slicer_Product_Category" caption="Product Category" style="Slicer Style 2" rowHeight="288000"/>
  <slicer name="Region" xr10:uid="{55AA340F-B4C4-4E2C-AF6E-6F77FC0DB56C}" cache="Slicer_Region" caption="Region" style="Slicer Style 2"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B4F33BC-3EAF-441B-A4AF-48BB3DF48BB4}" name="Table4" displayName="Table4" ref="B3:R2195" totalsRowShown="0" headerRowDxfId="21" dataDxfId="19" headerRowBorderDxfId="20" tableBorderDxfId="18" totalsRowBorderDxfId="17">
  <autoFilter ref="B3:R2195" xr:uid="{0B4F33BC-3EAF-441B-A4AF-48BB3DF48BB4}"/>
  <tableColumns count="17">
    <tableColumn id="1" xr3:uid="{24126D29-F1E2-4A63-8DB2-62A1E245C86C}" name="Order ID" dataDxfId="16"/>
    <tableColumn id="2" xr3:uid="{23D8AB09-C3ED-4AB2-AF96-BDFDAEA2F790}" name="Order Date" dataDxfId="15"/>
    <tableColumn id="3" xr3:uid="{395DF4EE-64B3-42D4-966E-95C2E9B5538A}" name="Year" dataDxfId="14">
      <calculatedColumnFormula>YEAR(C4)</calculatedColumnFormula>
    </tableColumn>
    <tableColumn id="4" xr3:uid="{9B07AABD-0E52-4D4F-A74B-A08828406E8A}" name="Quarter" dataDxfId="13">
      <calculatedColumnFormula>"Q"&amp;ROUNDUP(MONTH(C4)/3,0)</calculatedColumnFormula>
    </tableColumn>
    <tableColumn id="5" xr3:uid="{8C58E5B0-E6CB-4027-970F-5775E97D9CB3}" name="Month" dataDxfId="12">
      <calculatedColumnFormula>TEXT(C4,"mmm")</calculatedColumnFormula>
    </tableColumn>
    <tableColumn id="6" xr3:uid="{5755970C-AB31-42BB-A178-C995FCA83D41}" name="Month Number" dataDxfId="11">
      <calculatedColumnFormula>MONTH(C4)</calculatedColumnFormula>
    </tableColumn>
    <tableColumn id="7" xr3:uid="{7625915A-D6CE-40D4-A33C-D7F0D0751D95}" name="Customer ID" dataDxfId="10"/>
    <tableColumn id="8" xr3:uid="{1AC21938-0F90-4354-A250-F5327F3E5B7F}" name="Product Category" dataDxfId="9"/>
    <tableColumn id="9" xr3:uid="{AAE93DA4-9479-4962-9518-A2EFEEE9ECBC}" name="Region" dataDxfId="8"/>
    <tableColumn id="10" xr3:uid="{19CDCEE3-8B0E-4B80-80BC-1520019E21FA}" name="Quantity Sold" dataDxfId="7"/>
    <tableColumn id="11" xr3:uid="{A7BA8F1C-2451-4310-8C60-48067E00A7C9}" name="Unit Price" dataDxfId="6"/>
    <tableColumn id="12" xr3:uid="{7C228A54-A34F-494D-A348-AFE06C10B511}" name="Discount" dataDxfId="5" dataCellStyle="Percent"/>
    <tableColumn id="13" xr3:uid="{44C89134-2D65-482A-B870-89202C7E9F87}" name="Total Unit Price After Discount" dataDxfId="4">
      <calculatedColumnFormula>L4-(L4*M4)</calculatedColumnFormula>
    </tableColumn>
    <tableColumn id="14" xr3:uid="{7B83C16F-6476-4EFA-99B8-97FC5619956C}" name="Total Revenue" dataDxfId="3"/>
    <tableColumn id="15" xr3:uid="{0DF7382F-53BE-48DD-AD90-EA81145B7400}" name="Payment Method" dataDxfId="2"/>
    <tableColumn id="16" xr3:uid="{76C4ECD6-2DC2-4A40-8B3A-1F9C7DF99B20}" name="Delivery Days" dataDxfId="1"/>
    <tableColumn id="17" xr3:uid="{5D2AF0B0-C943-4E7B-AB8C-E049E3503B46}" name="Customer Rating" dataDxfId="0"/>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F4EF0-E3BE-421D-9A73-D5E340DDF285}">
  <dimension ref="Q1"/>
  <sheetViews>
    <sheetView showGridLines="0" showRowColHeaders="0" tabSelected="1" zoomScale="80" zoomScaleNormal="80" workbookViewId="0">
      <selection activeCell="U26" sqref="U26"/>
    </sheetView>
  </sheetViews>
  <sheetFormatPr defaultRowHeight="15" x14ac:dyDescent="0.2"/>
  <cols>
    <col min="1" max="16384" width="8.88671875" style="16"/>
  </cols>
  <sheetData>
    <row r="1" spans="17:17" x14ac:dyDescent="0.2">
      <c r="Q1" s="15"/>
    </row>
  </sheetData>
  <sheetProtection pivotTables="0"/>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E8465-B4A4-4922-AEB5-EA0048728667}">
  <dimension ref="A1:M37"/>
  <sheetViews>
    <sheetView showGridLines="0" topLeftCell="A4" zoomScaleNormal="100" workbookViewId="0">
      <selection activeCell="B12" activeCellId="2" sqref="B15 B13 B12"/>
    </sheetView>
  </sheetViews>
  <sheetFormatPr defaultRowHeight="15" x14ac:dyDescent="0.2"/>
  <cols>
    <col min="1" max="1" width="22.21875" bestFit="1" customWidth="1"/>
    <col min="2" max="2" width="8.109375" bestFit="1" customWidth="1"/>
    <col min="3" max="3" width="4.5546875" customWidth="1"/>
    <col min="4" max="4" width="12.77734375" bestFit="1" customWidth="1"/>
    <col min="5" max="5" width="19.88671875" bestFit="1" customWidth="1"/>
    <col min="6" max="6" width="4.6640625" customWidth="1"/>
    <col min="7" max="7" width="12.77734375" bestFit="1" customWidth="1"/>
    <col min="8" max="8" width="23.33203125" bestFit="1" customWidth="1"/>
    <col min="9" max="13" width="5.6640625" bestFit="1" customWidth="1"/>
    <col min="14" max="14" width="10.88671875" bestFit="1" customWidth="1"/>
  </cols>
  <sheetData>
    <row r="1" spans="1:13" ht="58.5" customHeight="1" x14ac:dyDescent="0.2"/>
    <row r="3" spans="1:13" x14ac:dyDescent="0.2">
      <c r="A3" s="11" t="s">
        <v>31</v>
      </c>
      <c r="B3" s="11"/>
      <c r="D3" s="11" t="s">
        <v>54</v>
      </c>
      <c r="E3" s="11"/>
      <c r="G3" s="11" t="s">
        <v>55</v>
      </c>
      <c r="H3" s="11"/>
    </row>
    <row r="4" spans="1:13" x14ac:dyDescent="0.2">
      <c r="A4" s="8" t="s">
        <v>28</v>
      </c>
      <c r="D4" s="8" t="s">
        <v>36</v>
      </c>
      <c r="E4" t="s">
        <v>26</v>
      </c>
      <c r="G4" s="8" t="s">
        <v>26</v>
      </c>
      <c r="H4" s="8" t="s">
        <v>56</v>
      </c>
    </row>
    <row r="5" spans="1:13" x14ac:dyDescent="0.2">
      <c r="A5" s="9" t="s">
        <v>26</v>
      </c>
      <c r="B5" s="12">
        <v>2224095.6499999976</v>
      </c>
      <c r="D5" s="44">
        <v>2020</v>
      </c>
      <c r="E5" s="12">
        <v>374026.36000000028</v>
      </c>
      <c r="G5" s="8" t="s">
        <v>36</v>
      </c>
      <c r="H5" s="10">
        <v>2020</v>
      </c>
      <c r="I5" s="10">
        <v>2021</v>
      </c>
      <c r="J5" s="10">
        <v>2022</v>
      </c>
      <c r="K5" s="10">
        <v>2023</v>
      </c>
      <c r="L5" s="10">
        <v>2024</v>
      </c>
      <c r="M5" s="10">
        <v>2025</v>
      </c>
    </row>
    <row r="6" spans="1:13" x14ac:dyDescent="0.2">
      <c r="A6" s="9" t="s">
        <v>27</v>
      </c>
      <c r="B6">
        <v>8892</v>
      </c>
      <c r="D6" s="44">
        <v>2021</v>
      </c>
      <c r="E6" s="12">
        <v>364996.34000000008</v>
      </c>
      <c r="G6" s="9" t="s">
        <v>41</v>
      </c>
      <c r="H6" s="12">
        <v>35624.89</v>
      </c>
      <c r="I6" s="12">
        <v>36674.22</v>
      </c>
      <c r="J6" s="12">
        <v>25128.329999999994</v>
      </c>
      <c r="K6" s="12">
        <v>23935</v>
      </c>
      <c r="L6" s="12">
        <v>27581.72</v>
      </c>
      <c r="M6" s="12">
        <v>30762.78999999999</v>
      </c>
    </row>
    <row r="7" spans="1:13" x14ac:dyDescent="0.2">
      <c r="A7" s="9" t="s">
        <v>29</v>
      </c>
      <c r="B7">
        <v>2192</v>
      </c>
      <c r="D7" s="44">
        <v>2022</v>
      </c>
      <c r="E7" s="12">
        <v>361926.5199999999</v>
      </c>
      <c r="G7" s="9" t="s">
        <v>40</v>
      </c>
      <c r="H7" s="12">
        <v>29992.37</v>
      </c>
      <c r="I7" s="12">
        <v>30037.46</v>
      </c>
      <c r="J7" s="12">
        <v>31864.580000000005</v>
      </c>
      <c r="K7" s="12">
        <v>27825.449999999997</v>
      </c>
      <c r="L7" s="12">
        <v>31820.9</v>
      </c>
      <c r="M7" s="12">
        <v>37114.83</v>
      </c>
    </row>
    <row r="8" spans="1:13" x14ac:dyDescent="0.2">
      <c r="A8" s="9" t="s">
        <v>30</v>
      </c>
      <c r="B8" s="42">
        <v>1014.6421760948894</v>
      </c>
      <c r="D8" s="44">
        <v>2023</v>
      </c>
      <c r="E8" s="12">
        <v>349802.33</v>
      </c>
      <c r="G8" s="9" t="s">
        <v>44</v>
      </c>
      <c r="H8" s="12">
        <v>31391.37999999999</v>
      </c>
      <c r="I8" s="12">
        <v>26303.77</v>
      </c>
      <c r="J8" s="12">
        <v>33569.080000000009</v>
      </c>
      <c r="K8" s="12">
        <v>31729.15</v>
      </c>
      <c r="L8" s="12">
        <v>27833.500000000004</v>
      </c>
      <c r="M8" s="12">
        <v>30022.439999999991</v>
      </c>
    </row>
    <row r="9" spans="1:13" x14ac:dyDescent="0.2">
      <c r="D9" s="44">
        <v>2024</v>
      </c>
      <c r="E9" s="12">
        <v>387037.62000000005</v>
      </c>
      <c r="G9" s="9" t="s">
        <v>37</v>
      </c>
      <c r="H9" s="12">
        <v>30853.069999999996</v>
      </c>
      <c r="I9" s="12">
        <v>26300.909999999996</v>
      </c>
      <c r="J9" s="12">
        <v>25985.209999999995</v>
      </c>
      <c r="K9" s="12">
        <v>21502.780000000002</v>
      </c>
      <c r="L9" s="12">
        <v>28722.14</v>
      </c>
      <c r="M9" s="12">
        <v>35361.660000000003</v>
      </c>
    </row>
    <row r="10" spans="1:13" x14ac:dyDescent="0.2">
      <c r="D10" s="44">
        <v>2025</v>
      </c>
      <c r="E10" s="12">
        <v>386306.47999999981</v>
      </c>
      <c r="G10" s="9" t="s">
        <v>45</v>
      </c>
      <c r="H10" s="12">
        <v>40816.130000000012</v>
      </c>
      <c r="I10" s="12">
        <v>33584.740000000005</v>
      </c>
      <c r="J10" s="12">
        <v>35674.589999999997</v>
      </c>
      <c r="K10" s="12">
        <v>29098.3</v>
      </c>
      <c r="L10" s="12">
        <v>30472.919999999995</v>
      </c>
      <c r="M10" s="12">
        <v>32950.99</v>
      </c>
    </row>
    <row r="11" spans="1:13" x14ac:dyDescent="0.2">
      <c r="A11" s="7" t="s">
        <v>17</v>
      </c>
      <c r="B11" s="13">
        <f>GETPIVOTDATA("Sum of Total Revenue",$A$4)</f>
        <v>2224095.6499999976</v>
      </c>
      <c r="G11" s="9" t="s">
        <v>43</v>
      </c>
      <c r="H11" s="12">
        <v>30733.46</v>
      </c>
      <c r="I11" s="12">
        <v>34115.64</v>
      </c>
      <c r="J11" s="12">
        <v>25161.899999999998</v>
      </c>
      <c r="K11" s="12">
        <v>30727.810000000005</v>
      </c>
      <c r="L11" s="12">
        <v>32029.159999999993</v>
      </c>
      <c r="M11" s="12">
        <v>27380.1</v>
      </c>
    </row>
    <row r="12" spans="1:13" x14ac:dyDescent="0.2">
      <c r="A12" s="7" t="s">
        <v>32</v>
      </c>
      <c r="B12" s="47">
        <f>GETPIVOTDATA("Sum of Quantity Sold",$A$4)</f>
        <v>8892</v>
      </c>
      <c r="G12" s="9" t="s">
        <v>42</v>
      </c>
      <c r="H12" s="12">
        <v>27676.789999999994</v>
      </c>
      <c r="I12" s="12">
        <v>28771.859999999997</v>
      </c>
      <c r="J12" s="12">
        <v>24587.890000000003</v>
      </c>
      <c r="K12" s="12">
        <v>34141.220000000008</v>
      </c>
      <c r="L12" s="12">
        <v>34183.51</v>
      </c>
      <c r="M12" s="12">
        <v>30671.73</v>
      </c>
    </row>
    <row r="13" spans="1:13" x14ac:dyDescent="0.2">
      <c r="A13" s="7" t="s">
        <v>33</v>
      </c>
      <c r="B13" s="47">
        <f>GETPIVOTDATA("Count of Order ID",$A$4)</f>
        <v>2192</v>
      </c>
      <c r="G13" s="9" t="s">
        <v>38</v>
      </c>
      <c r="H13" s="12">
        <v>30408.57</v>
      </c>
      <c r="I13" s="12">
        <v>31126.61</v>
      </c>
      <c r="J13" s="12">
        <v>40553.72</v>
      </c>
      <c r="K13" s="12">
        <v>35800.450000000004</v>
      </c>
      <c r="L13" s="12">
        <v>42605.749999999993</v>
      </c>
      <c r="M13" s="12">
        <v>37212.319999999992</v>
      </c>
    </row>
    <row r="14" spans="1:13" x14ac:dyDescent="0.2">
      <c r="A14" s="7" t="s">
        <v>34</v>
      </c>
      <c r="B14" s="43">
        <f>GETPIVOTDATA("Average of Total Revenue2",$A$4)</f>
        <v>1014.6421760948894</v>
      </c>
      <c r="G14" s="9" t="s">
        <v>48</v>
      </c>
      <c r="H14" s="12">
        <v>29025.990000000005</v>
      </c>
      <c r="I14" s="12">
        <v>31314.93</v>
      </c>
      <c r="J14" s="12">
        <v>32560.109999999993</v>
      </c>
      <c r="K14" s="12">
        <v>31010.219999999998</v>
      </c>
      <c r="L14" s="12">
        <v>32630.329999999998</v>
      </c>
      <c r="M14" s="12">
        <v>35370.28</v>
      </c>
    </row>
    <row r="15" spans="1:13" x14ac:dyDescent="0.2">
      <c r="A15" s="7" t="s">
        <v>35</v>
      </c>
      <c r="B15" s="47">
        <f>COUNTA(_xlfn.UNIQUE(Table4[Customer ID]))</f>
        <v>874</v>
      </c>
      <c r="G15" s="9" t="s">
        <v>47</v>
      </c>
      <c r="H15" s="12">
        <v>29323.660000000007</v>
      </c>
      <c r="I15" s="12">
        <v>31469.949999999997</v>
      </c>
      <c r="J15" s="12">
        <v>22583.11</v>
      </c>
      <c r="K15" s="12">
        <v>20678.850000000002</v>
      </c>
      <c r="L15" s="12">
        <v>32303.810000000005</v>
      </c>
      <c r="M15" s="12">
        <v>39680.129999999997</v>
      </c>
    </row>
    <row r="16" spans="1:13" x14ac:dyDescent="0.2">
      <c r="A16" s="7" t="s">
        <v>61</v>
      </c>
      <c r="B16" s="13" t="str">
        <f>D23</f>
        <v>Electronics</v>
      </c>
      <c r="G16" s="9" t="s">
        <v>46</v>
      </c>
      <c r="H16" s="12">
        <v>30781.819999999996</v>
      </c>
      <c r="I16" s="12">
        <v>27314.569999999996</v>
      </c>
      <c r="J16" s="12">
        <v>31569.1</v>
      </c>
      <c r="K16" s="12">
        <v>25051.049999999996</v>
      </c>
      <c r="L16" s="12">
        <v>30547.489999999994</v>
      </c>
      <c r="M16" s="12">
        <v>28071.95</v>
      </c>
    </row>
    <row r="17" spans="1:13" x14ac:dyDescent="0.2">
      <c r="A17" s="7" t="s">
        <v>61</v>
      </c>
      <c r="B17" s="13">
        <f>GETPIVOTDATA("Total Revenue",$D$22,"Product Category","Electronics")</f>
        <v>783499.47999999858</v>
      </c>
      <c r="G17" s="9" t="s">
        <v>39</v>
      </c>
      <c r="H17" s="12">
        <v>27398.23000000001</v>
      </c>
      <c r="I17" s="12">
        <v>27981.680000000004</v>
      </c>
      <c r="J17" s="12">
        <v>32688.899999999998</v>
      </c>
      <c r="K17" s="12">
        <v>38302.050000000003</v>
      </c>
      <c r="L17" s="12">
        <v>36306.39</v>
      </c>
      <c r="M17" s="12">
        <v>21707.259999999991</v>
      </c>
    </row>
    <row r="21" spans="1:13" x14ac:dyDescent="0.2">
      <c r="A21" s="11" t="s">
        <v>57</v>
      </c>
      <c r="B21" s="11"/>
      <c r="D21" s="11" t="s">
        <v>58</v>
      </c>
      <c r="E21" s="11"/>
      <c r="G21" s="11" t="s">
        <v>49</v>
      </c>
      <c r="H21" s="11"/>
    </row>
    <row r="22" spans="1:13" x14ac:dyDescent="0.2">
      <c r="A22" s="8" t="s">
        <v>36</v>
      </c>
      <c r="B22" t="s">
        <v>26</v>
      </c>
      <c r="D22" s="8" t="s">
        <v>36</v>
      </c>
      <c r="E22" t="s">
        <v>26</v>
      </c>
      <c r="G22" s="8" t="s">
        <v>36</v>
      </c>
      <c r="H22" t="s">
        <v>50</v>
      </c>
    </row>
    <row r="23" spans="1:13" x14ac:dyDescent="0.2">
      <c r="A23" s="9" t="s">
        <v>8</v>
      </c>
      <c r="B23" s="12">
        <v>581235.90999999945</v>
      </c>
      <c r="D23" s="9" t="s">
        <v>7</v>
      </c>
      <c r="E23" s="12">
        <v>783499.47999999858</v>
      </c>
      <c r="G23" s="9" t="s">
        <v>4</v>
      </c>
      <c r="H23">
        <v>982</v>
      </c>
    </row>
    <row r="24" spans="1:13" x14ac:dyDescent="0.2">
      <c r="A24" s="9" t="s">
        <v>9</v>
      </c>
      <c r="B24" s="12">
        <v>575570.12999999966</v>
      </c>
      <c r="D24" s="9" t="s">
        <v>3</v>
      </c>
      <c r="E24" s="12">
        <v>656807.10000000021</v>
      </c>
      <c r="G24" s="9" t="s">
        <v>6</v>
      </c>
      <c r="H24">
        <v>785</v>
      </c>
    </row>
    <row r="25" spans="1:13" x14ac:dyDescent="0.2">
      <c r="A25" s="9" t="s">
        <v>5</v>
      </c>
      <c r="B25" s="12">
        <v>561053.53000000061</v>
      </c>
      <c r="D25" s="9" t="s">
        <v>10</v>
      </c>
      <c r="E25" s="12">
        <v>467170.7099999999</v>
      </c>
      <c r="G25" s="9" t="s">
        <v>2</v>
      </c>
      <c r="H25">
        <v>425</v>
      </c>
    </row>
    <row r="26" spans="1:13" x14ac:dyDescent="0.2">
      <c r="A26" s="9" t="s">
        <v>1</v>
      </c>
      <c r="B26" s="12">
        <v>506236.08000000071</v>
      </c>
      <c r="D26" s="9" t="s">
        <v>0</v>
      </c>
      <c r="E26" s="12">
        <v>316618.36000000028</v>
      </c>
    </row>
    <row r="30" spans="1:13" x14ac:dyDescent="0.2">
      <c r="A30" s="14" t="s">
        <v>59</v>
      </c>
      <c r="B30" s="11"/>
      <c r="D30" s="14" t="s">
        <v>60</v>
      </c>
      <c r="E30" s="11"/>
    </row>
    <row r="31" spans="1:13" x14ac:dyDescent="0.2">
      <c r="A31" s="8" t="s">
        <v>36</v>
      </c>
      <c r="B31" t="s">
        <v>29</v>
      </c>
      <c r="D31" s="8" t="s">
        <v>36</v>
      </c>
      <c r="E31" t="s">
        <v>51</v>
      </c>
    </row>
    <row r="32" spans="1:13" x14ac:dyDescent="0.2">
      <c r="A32" s="44">
        <v>2020</v>
      </c>
      <c r="B32">
        <v>366</v>
      </c>
      <c r="D32" s="9" t="s">
        <v>0</v>
      </c>
      <c r="E32" s="42">
        <v>2.9922818791946311</v>
      </c>
    </row>
    <row r="33" spans="1:5" x14ac:dyDescent="0.2">
      <c r="A33" s="44">
        <v>2021</v>
      </c>
      <c r="B33">
        <v>365</v>
      </c>
      <c r="D33" s="9" t="s">
        <v>3</v>
      </c>
      <c r="E33" s="42">
        <v>3.0065151515151527</v>
      </c>
    </row>
    <row r="34" spans="1:5" x14ac:dyDescent="0.2">
      <c r="A34" s="44">
        <v>2022</v>
      </c>
      <c r="B34">
        <v>365</v>
      </c>
      <c r="D34" s="9" t="s">
        <v>7</v>
      </c>
      <c r="E34" s="42">
        <v>2.9853816300129381</v>
      </c>
    </row>
    <row r="35" spans="1:5" x14ac:dyDescent="0.2">
      <c r="A35" s="44">
        <v>2023</v>
      </c>
      <c r="B35">
        <v>365</v>
      </c>
      <c r="D35" s="9" t="s">
        <v>10</v>
      </c>
      <c r="E35" s="42">
        <v>2.9140997830802591</v>
      </c>
    </row>
    <row r="36" spans="1:5" x14ac:dyDescent="0.2">
      <c r="A36" s="44">
        <v>2024</v>
      </c>
      <c r="B36">
        <v>366</v>
      </c>
    </row>
    <row r="37" spans="1:5" x14ac:dyDescent="0.2">
      <c r="A37" s="44">
        <v>2025</v>
      </c>
      <c r="B37">
        <v>365</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909B5-E5F1-449A-9851-1F334B58E22C}">
  <dimension ref="B1:V2195"/>
  <sheetViews>
    <sheetView topLeftCell="A3" workbookViewId="0">
      <selection activeCell="N6" sqref="N6"/>
    </sheetView>
  </sheetViews>
  <sheetFormatPr defaultRowHeight="15" x14ac:dyDescent="0.2"/>
  <cols>
    <col min="2" max="2" width="9.44140625" style="10" bestFit="1" customWidth="1"/>
    <col min="3" max="3" width="11.5546875" style="4" customWidth="1"/>
    <col min="4" max="4" width="6.21875" style="4" customWidth="1"/>
    <col min="5" max="5" width="8.77734375" style="4" customWidth="1"/>
    <col min="6" max="6" width="7.77734375" style="4" customWidth="1"/>
    <col min="7" max="7" width="15" style="4" customWidth="1"/>
    <col min="8" max="8" width="13" customWidth="1"/>
    <col min="9" max="9" width="17.44140625" customWidth="1"/>
    <col min="10" max="10" width="8.5546875" customWidth="1"/>
    <col min="11" max="11" width="13.88671875" style="5" customWidth="1"/>
    <col min="12" max="12" width="11.77734375" style="1" customWidth="1"/>
    <col min="13" max="13" width="10.109375" style="2" customWidth="1"/>
    <col min="14" max="14" width="29" style="1" customWidth="1"/>
    <col min="15" max="15" width="15.77734375" style="1" customWidth="1"/>
    <col min="16" max="16" width="16.6640625" customWidth="1"/>
    <col min="17" max="17" width="14.109375" style="3" customWidth="1"/>
    <col min="18" max="18" width="16.77734375" style="6" customWidth="1"/>
    <col min="19" max="21" width="8.88671875" style="5"/>
    <col min="22" max="22" width="15.44140625" style="5" customWidth="1"/>
  </cols>
  <sheetData>
    <row r="1" spans="2:18" ht="71.25" customHeight="1" x14ac:dyDescent="0.2"/>
    <row r="3" spans="2:18" s="17" customFormat="1" ht="22.5" customHeight="1" x14ac:dyDescent="0.2">
      <c r="B3" s="34" t="s">
        <v>22</v>
      </c>
      <c r="C3" s="35" t="s">
        <v>11</v>
      </c>
      <c r="D3" s="36" t="s">
        <v>52</v>
      </c>
      <c r="E3" s="36" t="s">
        <v>25</v>
      </c>
      <c r="F3" s="36" t="s">
        <v>24</v>
      </c>
      <c r="G3" s="36" t="s">
        <v>53</v>
      </c>
      <c r="H3" s="37" t="s">
        <v>21</v>
      </c>
      <c r="I3" s="37" t="s">
        <v>12</v>
      </c>
      <c r="J3" s="37" t="s">
        <v>13</v>
      </c>
      <c r="K3" s="37" t="s">
        <v>23</v>
      </c>
      <c r="L3" s="38" t="s">
        <v>14</v>
      </c>
      <c r="M3" s="39" t="s">
        <v>15</v>
      </c>
      <c r="N3" s="38" t="s">
        <v>16</v>
      </c>
      <c r="O3" s="38" t="s">
        <v>17</v>
      </c>
      <c r="P3" s="37" t="s">
        <v>18</v>
      </c>
      <c r="Q3" s="40" t="s">
        <v>19</v>
      </c>
      <c r="R3" s="41" t="s">
        <v>20</v>
      </c>
    </row>
    <row r="4" spans="2:18" x14ac:dyDescent="0.2">
      <c r="B4" s="25">
        <v>1</v>
      </c>
      <c r="C4" s="18">
        <v>43831</v>
      </c>
      <c r="D4" s="24">
        <f t="shared" ref="D4:D67" si="0">YEAR(C4)</f>
        <v>2020</v>
      </c>
      <c r="E4" s="24" t="str">
        <f t="shared" ref="E4:E67" si="1">"Q"&amp;ROUNDUP(MONTH(C4)/3,0)</f>
        <v>Q1</v>
      </c>
      <c r="F4" s="24" t="str">
        <f t="shared" ref="F4:F67" si="2">TEXT(C4,"mmm")</f>
        <v>Jan</v>
      </c>
      <c r="G4" s="24">
        <f t="shared" ref="G4:G67" si="3">MONTH(C4)</f>
        <v>1</v>
      </c>
      <c r="H4" s="19">
        <v>1102</v>
      </c>
      <c r="I4" s="19" t="s">
        <v>0</v>
      </c>
      <c r="J4" s="19" t="s">
        <v>1</v>
      </c>
      <c r="K4" s="20">
        <v>7</v>
      </c>
      <c r="L4" s="21">
        <v>373.65</v>
      </c>
      <c r="M4" s="22">
        <v>0.28000000000000003</v>
      </c>
      <c r="N4" s="21">
        <f>L4-(L4*M4)</f>
        <v>269.02799999999996</v>
      </c>
      <c r="O4" s="21">
        <v>1883.2</v>
      </c>
      <c r="P4" s="19" t="s">
        <v>2</v>
      </c>
      <c r="Q4" s="23">
        <v>10</v>
      </c>
      <c r="R4" s="45">
        <v>4.7</v>
      </c>
    </row>
    <row r="5" spans="2:18" x14ac:dyDescent="0.2">
      <c r="B5" s="25">
        <v>2</v>
      </c>
      <c r="C5" s="18">
        <v>43832</v>
      </c>
      <c r="D5" s="24">
        <f t="shared" si="0"/>
        <v>2020</v>
      </c>
      <c r="E5" s="24" t="str">
        <f t="shared" si="1"/>
        <v>Q1</v>
      </c>
      <c r="F5" s="24" t="str">
        <f t="shared" si="2"/>
        <v>Jan</v>
      </c>
      <c r="G5" s="24">
        <f t="shared" si="3"/>
        <v>1</v>
      </c>
      <c r="H5" s="19">
        <v>1435</v>
      </c>
      <c r="I5" s="19" t="s">
        <v>3</v>
      </c>
      <c r="J5" s="19" t="s">
        <v>1</v>
      </c>
      <c r="K5" s="20">
        <v>7</v>
      </c>
      <c r="L5" s="21">
        <v>47.74</v>
      </c>
      <c r="M5" s="22">
        <v>0.09</v>
      </c>
      <c r="N5" s="21">
        <f t="shared" ref="N5:N68" si="4">L5-(L5*M5)</f>
        <v>43.443400000000004</v>
      </c>
      <c r="O5" s="21">
        <v>304.10000000000002</v>
      </c>
      <c r="P5" s="19" t="s">
        <v>4</v>
      </c>
      <c r="Q5" s="23">
        <v>6</v>
      </c>
      <c r="R5" s="45">
        <v>3.9</v>
      </c>
    </row>
    <row r="6" spans="2:18" x14ac:dyDescent="0.2">
      <c r="B6" s="25">
        <v>3</v>
      </c>
      <c r="C6" s="18">
        <v>43833</v>
      </c>
      <c r="D6" s="24">
        <f t="shared" si="0"/>
        <v>2020</v>
      </c>
      <c r="E6" s="24" t="str">
        <f t="shared" si="1"/>
        <v>Q1</v>
      </c>
      <c r="F6" s="24" t="str">
        <f t="shared" si="2"/>
        <v>Jan</v>
      </c>
      <c r="G6" s="24">
        <f t="shared" si="3"/>
        <v>1</v>
      </c>
      <c r="H6" s="19">
        <v>1860</v>
      </c>
      <c r="I6" s="19" t="s">
        <v>0</v>
      </c>
      <c r="J6" s="19" t="s">
        <v>5</v>
      </c>
      <c r="K6" s="20">
        <v>3</v>
      </c>
      <c r="L6" s="21">
        <v>311.27999999999997</v>
      </c>
      <c r="M6" s="22">
        <v>0.31</v>
      </c>
      <c r="N6" s="21">
        <f t="shared" si="4"/>
        <v>214.78319999999997</v>
      </c>
      <c r="O6" s="21">
        <v>644.35</v>
      </c>
      <c r="P6" s="19" t="s">
        <v>6</v>
      </c>
      <c r="Q6" s="23">
        <v>6</v>
      </c>
      <c r="R6" s="45">
        <v>2.5</v>
      </c>
    </row>
    <row r="7" spans="2:18" x14ac:dyDescent="0.2">
      <c r="B7" s="25">
        <v>4</v>
      </c>
      <c r="C7" s="18">
        <v>43834</v>
      </c>
      <c r="D7" s="24">
        <f t="shared" si="0"/>
        <v>2020</v>
      </c>
      <c r="E7" s="24" t="str">
        <f t="shared" si="1"/>
        <v>Q1</v>
      </c>
      <c r="F7" s="24" t="str">
        <f t="shared" si="2"/>
        <v>Jan</v>
      </c>
      <c r="G7" s="24">
        <f t="shared" si="3"/>
        <v>1</v>
      </c>
      <c r="H7" s="19">
        <v>1270</v>
      </c>
      <c r="I7" s="19" t="s">
        <v>7</v>
      </c>
      <c r="J7" s="19" t="s">
        <v>8</v>
      </c>
      <c r="K7" s="20">
        <v>5</v>
      </c>
      <c r="L7" s="21">
        <v>524.47</v>
      </c>
      <c r="M7" s="22">
        <v>0.02</v>
      </c>
      <c r="N7" s="21">
        <f t="shared" si="4"/>
        <v>513.98059999999998</v>
      </c>
      <c r="O7" s="21">
        <v>2569.9</v>
      </c>
      <c r="P7" s="19" t="s">
        <v>2</v>
      </c>
      <c r="Q7" s="23">
        <v>6</v>
      </c>
      <c r="R7" s="45">
        <v>1.6</v>
      </c>
    </row>
    <row r="8" spans="2:18" x14ac:dyDescent="0.2">
      <c r="B8" s="25">
        <v>5</v>
      </c>
      <c r="C8" s="18">
        <v>43835</v>
      </c>
      <c r="D8" s="24">
        <f t="shared" si="0"/>
        <v>2020</v>
      </c>
      <c r="E8" s="24" t="str">
        <f t="shared" si="1"/>
        <v>Q1</v>
      </c>
      <c r="F8" s="24" t="str">
        <f t="shared" si="2"/>
        <v>Jan</v>
      </c>
      <c r="G8" s="24">
        <f t="shared" si="3"/>
        <v>1</v>
      </c>
      <c r="H8" s="19">
        <v>1106</v>
      </c>
      <c r="I8" s="19" t="s">
        <v>3</v>
      </c>
      <c r="J8" s="19" t="s">
        <v>8</v>
      </c>
      <c r="K8" s="20">
        <v>5</v>
      </c>
      <c r="L8" s="21">
        <v>139.87</v>
      </c>
      <c r="M8" s="22">
        <v>0.33</v>
      </c>
      <c r="N8" s="21">
        <f t="shared" si="4"/>
        <v>93.712899999999991</v>
      </c>
      <c r="O8" s="21">
        <v>468.56</v>
      </c>
      <c r="P8" s="19" t="s">
        <v>2</v>
      </c>
      <c r="Q8" s="23">
        <v>4</v>
      </c>
      <c r="R8" s="45">
        <v>4.9000000000000004</v>
      </c>
    </row>
    <row r="9" spans="2:18" x14ac:dyDescent="0.2">
      <c r="B9" s="25">
        <v>6</v>
      </c>
      <c r="C9" s="18">
        <v>43836</v>
      </c>
      <c r="D9" s="24">
        <f t="shared" si="0"/>
        <v>2020</v>
      </c>
      <c r="E9" s="24" t="str">
        <f t="shared" si="1"/>
        <v>Q1</v>
      </c>
      <c r="F9" s="24" t="str">
        <f t="shared" si="2"/>
        <v>Jan</v>
      </c>
      <c r="G9" s="24">
        <f t="shared" si="3"/>
        <v>1</v>
      </c>
      <c r="H9" s="19">
        <v>1071</v>
      </c>
      <c r="I9" s="19" t="s">
        <v>7</v>
      </c>
      <c r="J9" s="19" t="s">
        <v>8</v>
      </c>
      <c r="K9" s="20">
        <v>2</v>
      </c>
      <c r="L9" s="21">
        <v>264.44</v>
      </c>
      <c r="M9" s="22">
        <v>0.2</v>
      </c>
      <c r="N9" s="21">
        <f t="shared" si="4"/>
        <v>211.55199999999999</v>
      </c>
      <c r="O9" s="21">
        <v>423.1</v>
      </c>
      <c r="P9" s="19" t="s">
        <v>4</v>
      </c>
      <c r="Q9" s="23">
        <v>3</v>
      </c>
      <c r="R9" s="45">
        <v>3.3</v>
      </c>
    </row>
    <row r="10" spans="2:18" x14ac:dyDescent="0.2">
      <c r="B10" s="25">
        <v>7</v>
      </c>
      <c r="C10" s="18">
        <v>43837</v>
      </c>
      <c r="D10" s="24">
        <f t="shared" si="0"/>
        <v>2020</v>
      </c>
      <c r="E10" s="24" t="str">
        <f t="shared" si="1"/>
        <v>Q1</v>
      </c>
      <c r="F10" s="24" t="str">
        <f t="shared" si="2"/>
        <v>Jan</v>
      </c>
      <c r="G10" s="24">
        <f t="shared" si="3"/>
        <v>1</v>
      </c>
      <c r="H10" s="19">
        <v>1700</v>
      </c>
      <c r="I10" s="19" t="s">
        <v>3</v>
      </c>
      <c r="J10" s="19" t="s">
        <v>1</v>
      </c>
      <c r="K10" s="20">
        <v>6</v>
      </c>
      <c r="L10" s="21">
        <v>564.6</v>
      </c>
      <c r="M10" s="22">
        <v>0.23</v>
      </c>
      <c r="N10" s="21">
        <f t="shared" si="4"/>
        <v>434.74200000000002</v>
      </c>
      <c r="O10" s="21">
        <v>2608.4499999999998</v>
      </c>
      <c r="P10" s="19" t="s">
        <v>4</v>
      </c>
      <c r="Q10" s="23">
        <v>1</v>
      </c>
      <c r="R10" s="45">
        <v>1.8</v>
      </c>
    </row>
    <row r="11" spans="2:18" x14ac:dyDescent="0.2">
      <c r="B11" s="25">
        <v>8</v>
      </c>
      <c r="C11" s="18">
        <v>43838</v>
      </c>
      <c r="D11" s="24">
        <f t="shared" si="0"/>
        <v>2020</v>
      </c>
      <c r="E11" s="24" t="str">
        <f t="shared" si="1"/>
        <v>Q1</v>
      </c>
      <c r="F11" s="24" t="str">
        <f t="shared" si="2"/>
        <v>Jan</v>
      </c>
      <c r="G11" s="24">
        <f t="shared" si="3"/>
        <v>1</v>
      </c>
      <c r="H11" s="19">
        <v>1020</v>
      </c>
      <c r="I11" s="19" t="s">
        <v>0</v>
      </c>
      <c r="J11" s="19" t="s">
        <v>9</v>
      </c>
      <c r="K11" s="20">
        <v>6</v>
      </c>
      <c r="L11" s="21">
        <v>265.70999999999998</v>
      </c>
      <c r="M11" s="22">
        <v>0.13</v>
      </c>
      <c r="N11" s="21">
        <f t="shared" si="4"/>
        <v>231.16769999999997</v>
      </c>
      <c r="O11" s="21">
        <v>1387.01</v>
      </c>
      <c r="P11" s="19" t="s">
        <v>4</v>
      </c>
      <c r="Q11" s="23">
        <v>2</v>
      </c>
      <c r="R11" s="45">
        <v>3.7</v>
      </c>
    </row>
    <row r="12" spans="2:18" x14ac:dyDescent="0.2">
      <c r="B12" s="25">
        <v>9</v>
      </c>
      <c r="C12" s="18">
        <v>43839</v>
      </c>
      <c r="D12" s="24">
        <f t="shared" si="0"/>
        <v>2020</v>
      </c>
      <c r="E12" s="24" t="str">
        <f t="shared" si="1"/>
        <v>Q1</v>
      </c>
      <c r="F12" s="24" t="str">
        <f t="shared" si="2"/>
        <v>Jan</v>
      </c>
      <c r="G12" s="24">
        <f t="shared" si="3"/>
        <v>1</v>
      </c>
      <c r="H12" s="19">
        <v>1614</v>
      </c>
      <c r="I12" s="19" t="s">
        <v>3</v>
      </c>
      <c r="J12" s="19" t="s">
        <v>1</v>
      </c>
      <c r="K12" s="20">
        <v>6</v>
      </c>
      <c r="L12" s="21">
        <v>224.65</v>
      </c>
      <c r="M12" s="22">
        <v>0.27</v>
      </c>
      <c r="N12" s="21">
        <f t="shared" si="4"/>
        <v>163.99450000000002</v>
      </c>
      <c r="O12" s="21">
        <v>983.97</v>
      </c>
      <c r="P12" s="19" t="s">
        <v>4</v>
      </c>
      <c r="Q12" s="23">
        <v>2</v>
      </c>
      <c r="R12" s="45">
        <v>1.4</v>
      </c>
    </row>
    <row r="13" spans="2:18" x14ac:dyDescent="0.2">
      <c r="B13" s="25">
        <v>10</v>
      </c>
      <c r="C13" s="18">
        <v>43840</v>
      </c>
      <c r="D13" s="24">
        <f t="shared" si="0"/>
        <v>2020</v>
      </c>
      <c r="E13" s="24" t="str">
        <f t="shared" si="1"/>
        <v>Q1</v>
      </c>
      <c r="F13" s="24" t="str">
        <f t="shared" si="2"/>
        <v>Jan</v>
      </c>
      <c r="G13" s="24">
        <f t="shared" si="3"/>
        <v>1</v>
      </c>
      <c r="H13" s="19">
        <v>1121</v>
      </c>
      <c r="I13" s="19" t="s">
        <v>3</v>
      </c>
      <c r="J13" s="19" t="s">
        <v>8</v>
      </c>
      <c r="K13" s="20">
        <v>4</v>
      </c>
      <c r="L13" s="21">
        <v>272.70999999999998</v>
      </c>
      <c r="M13" s="22">
        <v>0.06</v>
      </c>
      <c r="N13" s="21">
        <f t="shared" si="4"/>
        <v>256.34739999999999</v>
      </c>
      <c r="O13" s="21">
        <v>1025.3900000000001</v>
      </c>
      <c r="P13" s="19" t="s">
        <v>4</v>
      </c>
      <c r="Q13" s="23">
        <v>10</v>
      </c>
      <c r="R13" s="45">
        <v>4.5</v>
      </c>
    </row>
    <row r="14" spans="2:18" x14ac:dyDescent="0.2">
      <c r="B14" s="25">
        <v>11</v>
      </c>
      <c r="C14" s="18">
        <v>43841</v>
      </c>
      <c r="D14" s="24">
        <f t="shared" si="0"/>
        <v>2020</v>
      </c>
      <c r="E14" s="24" t="str">
        <f t="shared" si="1"/>
        <v>Q1</v>
      </c>
      <c r="F14" s="24" t="str">
        <f t="shared" si="2"/>
        <v>Jan</v>
      </c>
      <c r="G14" s="24">
        <f t="shared" si="3"/>
        <v>1</v>
      </c>
      <c r="H14" s="19">
        <v>1466</v>
      </c>
      <c r="I14" s="19" t="s">
        <v>3</v>
      </c>
      <c r="J14" s="19" t="s">
        <v>8</v>
      </c>
      <c r="K14" s="20">
        <v>6</v>
      </c>
      <c r="L14" s="21">
        <v>318.88</v>
      </c>
      <c r="M14" s="22">
        <v>0.02</v>
      </c>
      <c r="N14" s="21">
        <f t="shared" si="4"/>
        <v>312.50240000000002</v>
      </c>
      <c r="O14" s="21">
        <v>1875.01</v>
      </c>
      <c r="P14" s="19" t="s">
        <v>6</v>
      </c>
      <c r="Q14" s="23">
        <v>7</v>
      </c>
      <c r="R14" s="45">
        <v>1.4</v>
      </c>
    </row>
    <row r="15" spans="2:18" x14ac:dyDescent="0.2">
      <c r="B15" s="25">
        <v>12</v>
      </c>
      <c r="C15" s="18">
        <v>43842</v>
      </c>
      <c r="D15" s="24">
        <f t="shared" si="0"/>
        <v>2020</v>
      </c>
      <c r="E15" s="24" t="str">
        <f t="shared" si="1"/>
        <v>Q1</v>
      </c>
      <c r="F15" s="24" t="str">
        <f t="shared" si="2"/>
        <v>Jan</v>
      </c>
      <c r="G15" s="24">
        <f t="shared" si="3"/>
        <v>1</v>
      </c>
      <c r="H15" s="19">
        <v>1214</v>
      </c>
      <c r="I15" s="19" t="s">
        <v>7</v>
      </c>
      <c r="J15" s="19" t="s">
        <v>8</v>
      </c>
      <c r="K15" s="20">
        <v>3</v>
      </c>
      <c r="L15" s="21">
        <v>384.71</v>
      </c>
      <c r="M15" s="22">
        <v>0.14000000000000001</v>
      </c>
      <c r="N15" s="21">
        <f t="shared" si="4"/>
        <v>330.85059999999999</v>
      </c>
      <c r="O15" s="21">
        <v>992.55</v>
      </c>
      <c r="P15" s="19" t="s">
        <v>6</v>
      </c>
      <c r="Q15" s="23">
        <v>11</v>
      </c>
      <c r="R15" s="45">
        <v>1.9</v>
      </c>
    </row>
    <row r="16" spans="2:18" x14ac:dyDescent="0.2">
      <c r="B16" s="25">
        <v>13</v>
      </c>
      <c r="C16" s="18">
        <v>43843</v>
      </c>
      <c r="D16" s="24">
        <f t="shared" si="0"/>
        <v>2020</v>
      </c>
      <c r="E16" s="24" t="str">
        <f t="shared" si="1"/>
        <v>Q1</v>
      </c>
      <c r="F16" s="24" t="str">
        <f t="shared" si="2"/>
        <v>Jan</v>
      </c>
      <c r="G16" s="24">
        <f t="shared" si="3"/>
        <v>1</v>
      </c>
      <c r="H16" s="19">
        <v>1330</v>
      </c>
      <c r="I16" s="19" t="s">
        <v>0</v>
      </c>
      <c r="J16" s="19" t="s">
        <v>1</v>
      </c>
      <c r="K16" s="20">
        <v>7</v>
      </c>
      <c r="L16" s="21">
        <v>483.41</v>
      </c>
      <c r="M16" s="22">
        <v>0.3</v>
      </c>
      <c r="N16" s="21">
        <f t="shared" si="4"/>
        <v>338.38700000000006</v>
      </c>
      <c r="O16" s="21">
        <v>2368.71</v>
      </c>
      <c r="P16" s="19" t="s">
        <v>6</v>
      </c>
      <c r="Q16" s="23">
        <v>6</v>
      </c>
      <c r="R16" s="45">
        <v>1.4</v>
      </c>
    </row>
    <row r="17" spans="2:18" x14ac:dyDescent="0.2">
      <c r="B17" s="25">
        <v>14</v>
      </c>
      <c r="C17" s="18">
        <v>43844</v>
      </c>
      <c r="D17" s="24">
        <f t="shared" si="0"/>
        <v>2020</v>
      </c>
      <c r="E17" s="24" t="str">
        <f t="shared" si="1"/>
        <v>Q1</v>
      </c>
      <c r="F17" s="24" t="str">
        <f t="shared" si="2"/>
        <v>Jan</v>
      </c>
      <c r="G17" s="24">
        <f t="shared" si="3"/>
        <v>1</v>
      </c>
      <c r="H17" s="19">
        <v>1458</v>
      </c>
      <c r="I17" s="19" t="s">
        <v>3</v>
      </c>
      <c r="J17" s="19" t="s">
        <v>8</v>
      </c>
      <c r="K17" s="20">
        <v>7</v>
      </c>
      <c r="L17" s="21">
        <v>279.48</v>
      </c>
      <c r="M17" s="22">
        <v>0.26</v>
      </c>
      <c r="N17" s="21">
        <f t="shared" si="4"/>
        <v>206.8152</v>
      </c>
      <c r="O17" s="21">
        <v>1447.71</v>
      </c>
      <c r="P17" s="19" t="s">
        <v>6</v>
      </c>
      <c r="Q17" s="23">
        <v>8</v>
      </c>
      <c r="R17" s="45">
        <v>1.4</v>
      </c>
    </row>
    <row r="18" spans="2:18" x14ac:dyDescent="0.2">
      <c r="B18" s="25">
        <v>15</v>
      </c>
      <c r="C18" s="18">
        <v>43845</v>
      </c>
      <c r="D18" s="24">
        <f t="shared" si="0"/>
        <v>2020</v>
      </c>
      <c r="E18" s="24" t="str">
        <f t="shared" si="1"/>
        <v>Q1</v>
      </c>
      <c r="F18" s="24" t="str">
        <f t="shared" si="2"/>
        <v>Jan</v>
      </c>
      <c r="G18" s="24">
        <f t="shared" si="3"/>
        <v>1</v>
      </c>
      <c r="H18" s="19">
        <v>1087</v>
      </c>
      <c r="I18" s="19" t="s">
        <v>3</v>
      </c>
      <c r="J18" s="19" t="s">
        <v>5</v>
      </c>
      <c r="K18" s="20">
        <v>4</v>
      </c>
      <c r="L18" s="21">
        <v>493.23</v>
      </c>
      <c r="M18" s="22">
        <v>0.18</v>
      </c>
      <c r="N18" s="21">
        <f t="shared" si="4"/>
        <v>404.4486</v>
      </c>
      <c r="O18" s="21">
        <v>1617.79</v>
      </c>
      <c r="P18" s="19" t="s">
        <v>4</v>
      </c>
      <c r="Q18" s="23">
        <v>9</v>
      </c>
      <c r="R18" s="45">
        <v>3.1</v>
      </c>
    </row>
    <row r="19" spans="2:18" x14ac:dyDescent="0.2">
      <c r="B19" s="25">
        <v>16</v>
      </c>
      <c r="C19" s="18">
        <v>43846</v>
      </c>
      <c r="D19" s="24">
        <f t="shared" si="0"/>
        <v>2020</v>
      </c>
      <c r="E19" s="24" t="str">
        <f t="shared" si="1"/>
        <v>Q1</v>
      </c>
      <c r="F19" s="24" t="str">
        <f t="shared" si="2"/>
        <v>Jan</v>
      </c>
      <c r="G19" s="24">
        <f t="shared" si="3"/>
        <v>1</v>
      </c>
      <c r="H19" s="19">
        <v>1372</v>
      </c>
      <c r="I19" s="19" t="s">
        <v>3</v>
      </c>
      <c r="J19" s="19" t="s">
        <v>8</v>
      </c>
      <c r="K19" s="20">
        <v>2</v>
      </c>
      <c r="L19" s="21">
        <v>327.23</v>
      </c>
      <c r="M19" s="22">
        <v>0.2</v>
      </c>
      <c r="N19" s="21">
        <f t="shared" si="4"/>
        <v>261.78399999999999</v>
      </c>
      <c r="O19" s="21">
        <v>523.57000000000005</v>
      </c>
      <c r="P19" s="19" t="s">
        <v>2</v>
      </c>
      <c r="Q19" s="23">
        <v>5</v>
      </c>
      <c r="R19" s="45">
        <v>3.7</v>
      </c>
    </row>
    <row r="20" spans="2:18" x14ac:dyDescent="0.2">
      <c r="B20" s="25">
        <v>17</v>
      </c>
      <c r="C20" s="18">
        <v>43847</v>
      </c>
      <c r="D20" s="24">
        <f t="shared" si="0"/>
        <v>2020</v>
      </c>
      <c r="E20" s="24" t="str">
        <f t="shared" si="1"/>
        <v>Q1</v>
      </c>
      <c r="F20" s="24" t="str">
        <f t="shared" si="2"/>
        <v>Jan</v>
      </c>
      <c r="G20" s="24">
        <f t="shared" si="3"/>
        <v>1</v>
      </c>
      <c r="H20" s="19">
        <v>1099</v>
      </c>
      <c r="I20" s="19" t="s">
        <v>3</v>
      </c>
      <c r="J20" s="19" t="s">
        <v>9</v>
      </c>
      <c r="K20" s="20">
        <v>3</v>
      </c>
      <c r="L20" s="21">
        <v>213.01</v>
      </c>
      <c r="M20" s="22">
        <v>0.05</v>
      </c>
      <c r="N20" s="21">
        <f t="shared" si="4"/>
        <v>202.3595</v>
      </c>
      <c r="O20" s="21">
        <v>607.08000000000004</v>
      </c>
      <c r="P20" s="19" t="s">
        <v>2</v>
      </c>
      <c r="Q20" s="23">
        <v>11</v>
      </c>
      <c r="R20" s="45">
        <v>4.2</v>
      </c>
    </row>
    <row r="21" spans="2:18" x14ac:dyDescent="0.2">
      <c r="B21" s="25">
        <v>18</v>
      </c>
      <c r="C21" s="18">
        <v>43848</v>
      </c>
      <c r="D21" s="24">
        <f t="shared" si="0"/>
        <v>2020</v>
      </c>
      <c r="E21" s="24" t="str">
        <f t="shared" si="1"/>
        <v>Q1</v>
      </c>
      <c r="F21" s="24" t="str">
        <f t="shared" si="2"/>
        <v>Jan</v>
      </c>
      <c r="G21" s="24">
        <f t="shared" si="3"/>
        <v>1</v>
      </c>
      <c r="H21" s="19">
        <v>1871</v>
      </c>
      <c r="I21" s="19" t="s">
        <v>7</v>
      </c>
      <c r="J21" s="19" t="s">
        <v>5</v>
      </c>
      <c r="K21" s="20">
        <v>7</v>
      </c>
      <c r="L21" s="21">
        <v>399.9</v>
      </c>
      <c r="M21" s="22">
        <v>0.28999999999999998</v>
      </c>
      <c r="N21" s="21">
        <f t="shared" si="4"/>
        <v>283.92899999999997</v>
      </c>
      <c r="O21" s="21">
        <v>1987.5</v>
      </c>
      <c r="P21" s="19" t="s">
        <v>6</v>
      </c>
      <c r="Q21" s="23">
        <v>3</v>
      </c>
      <c r="R21" s="45">
        <v>3.8</v>
      </c>
    </row>
    <row r="22" spans="2:18" x14ac:dyDescent="0.2">
      <c r="B22" s="25">
        <v>19</v>
      </c>
      <c r="C22" s="18">
        <v>43849</v>
      </c>
      <c r="D22" s="24">
        <f t="shared" si="0"/>
        <v>2020</v>
      </c>
      <c r="E22" s="24" t="str">
        <f t="shared" si="1"/>
        <v>Q1</v>
      </c>
      <c r="F22" s="24" t="str">
        <f t="shared" si="2"/>
        <v>Jan</v>
      </c>
      <c r="G22" s="24">
        <f t="shared" si="3"/>
        <v>1</v>
      </c>
      <c r="H22" s="19">
        <v>1663</v>
      </c>
      <c r="I22" s="19" t="s">
        <v>10</v>
      </c>
      <c r="J22" s="19" t="s">
        <v>8</v>
      </c>
      <c r="K22" s="20">
        <v>3</v>
      </c>
      <c r="L22" s="21">
        <v>434.87</v>
      </c>
      <c r="M22" s="22">
        <v>0.28000000000000003</v>
      </c>
      <c r="N22" s="21">
        <f t="shared" si="4"/>
        <v>313.10640000000001</v>
      </c>
      <c r="O22" s="21">
        <v>939.32</v>
      </c>
      <c r="P22" s="19" t="s">
        <v>2</v>
      </c>
      <c r="Q22" s="23">
        <v>4</v>
      </c>
      <c r="R22" s="45">
        <v>2.5</v>
      </c>
    </row>
    <row r="23" spans="2:18" x14ac:dyDescent="0.2">
      <c r="B23" s="25">
        <v>20</v>
      </c>
      <c r="C23" s="18">
        <v>43850</v>
      </c>
      <c r="D23" s="24">
        <f t="shared" si="0"/>
        <v>2020</v>
      </c>
      <c r="E23" s="24" t="str">
        <f t="shared" si="1"/>
        <v>Q1</v>
      </c>
      <c r="F23" s="24" t="str">
        <f t="shared" si="2"/>
        <v>Jan</v>
      </c>
      <c r="G23" s="24">
        <f t="shared" si="3"/>
        <v>1</v>
      </c>
      <c r="H23" s="19">
        <v>1130</v>
      </c>
      <c r="I23" s="19" t="s">
        <v>7</v>
      </c>
      <c r="J23" s="19" t="s">
        <v>5</v>
      </c>
      <c r="K23" s="20">
        <v>7</v>
      </c>
      <c r="L23" s="21">
        <v>341.46</v>
      </c>
      <c r="M23" s="22">
        <v>0.23</v>
      </c>
      <c r="N23" s="21">
        <f t="shared" si="4"/>
        <v>262.92419999999998</v>
      </c>
      <c r="O23" s="21">
        <v>1840.47</v>
      </c>
      <c r="P23" s="19" t="s">
        <v>4</v>
      </c>
      <c r="Q23" s="23">
        <v>11</v>
      </c>
      <c r="R23" s="45">
        <v>3.2</v>
      </c>
    </row>
    <row r="24" spans="2:18" x14ac:dyDescent="0.2">
      <c r="B24" s="25">
        <v>21</v>
      </c>
      <c r="C24" s="18">
        <v>43851</v>
      </c>
      <c r="D24" s="24">
        <f t="shared" si="0"/>
        <v>2020</v>
      </c>
      <c r="E24" s="24" t="str">
        <f t="shared" si="1"/>
        <v>Q1</v>
      </c>
      <c r="F24" s="24" t="str">
        <f t="shared" si="2"/>
        <v>Jan</v>
      </c>
      <c r="G24" s="24">
        <f t="shared" si="3"/>
        <v>1</v>
      </c>
      <c r="H24" s="19">
        <v>1661</v>
      </c>
      <c r="I24" s="19" t="s">
        <v>10</v>
      </c>
      <c r="J24" s="19" t="s">
        <v>8</v>
      </c>
      <c r="K24" s="20">
        <v>1</v>
      </c>
      <c r="L24" s="21">
        <v>48.12</v>
      </c>
      <c r="M24" s="22">
        <v>0.16</v>
      </c>
      <c r="N24" s="21">
        <f t="shared" si="4"/>
        <v>40.4208</v>
      </c>
      <c r="O24" s="21">
        <v>40.42</v>
      </c>
      <c r="P24" s="19" t="s">
        <v>6</v>
      </c>
      <c r="Q24" s="23">
        <v>8</v>
      </c>
      <c r="R24" s="45">
        <v>4.7</v>
      </c>
    </row>
    <row r="25" spans="2:18" x14ac:dyDescent="0.2">
      <c r="B25" s="25">
        <v>22</v>
      </c>
      <c r="C25" s="18">
        <v>43852</v>
      </c>
      <c r="D25" s="24">
        <f t="shared" si="0"/>
        <v>2020</v>
      </c>
      <c r="E25" s="24" t="str">
        <f t="shared" si="1"/>
        <v>Q1</v>
      </c>
      <c r="F25" s="24" t="str">
        <f t="shared" si="2"/>
        <v>Jan</v>
      </c>
      <c r="G25" s="24">
        <f t="shared" si="3"/>
        <v>1</v>
      </c>
      <c r="H25" s="19">
        <v>1308</v>
      </c>
      <c r="I25" s="19" t="s">
        <v>10</v>
      </c>
      <c r="J25" s="19" t="s">
        <v>9</v>
      </c>
      <c r="K25" s="20">
        <v>2</v>
      </c>
      <c r="L25" s="21">
        <v>114.38</v>
      </c>
      <c r="M25" s="22">
        <v>0.34</v>
      </c>
      <c r="N25" s="21">
        <f t="shared" si="4"/>
        <v>75.490799999999993</v>
      </c>
      <c r="O25" s="21">
        <v>150.97999999999999</v>
      </c>
      <c r="P25" s="19" t="s">
        <v>4</v>
      </c>
      <c r="Q25" s="23">
        <v>3</v>
      </c>
      <c r="R25" s="45">
        <v>2.6</v>
      </c>
    </row>
    <row r="26" spans="2:18" x14ac:dyDescent="0.2">
      <c r="B26" s="25">
        <v>23</v>
      </c>
      <c r="C26" s="18">
        <v>43853</v>
      </c>
      <c r="D26" s="24">
        <f t="shared" si="0"/>
        <v>2020</v>
      </c>
      <c r="E26" s="24" t="str">
        <f t="shared" si="1"/>
        <v>Q1</v>
      </c>
      <c r="F26" s="24" t="str">
        <f t="shared" si="2"/>
        <v>Jan</v>
      </c>
      <c r="G26" s="24">
        <f t="shared" si="3"/>
        <v>1</v>
      </c>
      <c r="H26" s="19">
        <v>1769</v>
      </c>
      <c r="I26" s="19" t="s">
        <v>10</v>
      </c>
      <c r="J26" s="19" t="s">
        <v>8</v>
      </c>
      <c r="K26" s="20">
        <v>2</v>
      </c>
      <c r="L26" s="21">
        <v>181.9</v>
      </c>
      <c r="M26" s="22">
        <v>0.31</v>
      </c>
      <c r="N26" s="21">
        <f t="shared" si="4"/>
        <v>125.511</v>
      </c>
      <c r="O26" s="21">
        <v>251.02</v>
      </c>
      <c r="P26" s="19" t="s">
        <v>4</v>
      </c>
      <c r="Q26" s="23">
        <v>2</v>
      </c>
      <c r="R26" s="45">
        <v>2</v>
      </c>
    </row>
    <row r="27" spans="2:18" x14ac:dyDescent="0.2">
      <c r="B27" s="25">
        <v>24</v>
      </c>
      <c r="C27" s="18">
        <v>43854</v>
      </c>
      <c r="D27" s="24">
        <f t="shared" si="0"/>
        <v>2020</v>
      </c>
      <c r="E27" s="24" t="str">
        <f t="shared" si="1"/>
        <v>Q1</v>
      </c>
      <c r="F27" s="24" t="str">
        <f t="shared" si="2"/>
        <v>Jan</v>
      </c>
      <c r="G27" s="24">
        <f t="shared" si="3"/>
        <v>1</v>
      </c>
      <c r="H27" s="19">
        <v>1343</v>
      </c>
      <c r="I27" s="19" t="s">
        <v>3</v>
      </c>
      <c r="J27" s="19" t="s">
        <v>5</v>
      </c>
      <c r="K27" s="20">
        <v>1</v>
      </c>
      <c r="L27" s="21">
        <v>180.34</v>
      </c>
      <c r="M27" s="22">
        <v>0.23</v>
      </c>
      <c r="N27" s="21">
        <f t="shared" si="4"/>
        <v>138.86180000000002</v>
      </c>
      <c r="O27" s="21">
        <v>138.86000000000001</v>
      </c>
      <c r="P27" s="19" t="s">
        <v>4</v>
      </c>
      <c r="Q27" s="23">
        <v>7</v>
      </c>
      <c r="R27" s="45">
        <v>3.1</v>
      </c>
    </row>
    <row r="28" spans="2:18" x14ac:dyDescent="0.2">
      <c r="B28" s="25">
        <v>25</v>
      </c>
      <c r="C28" s="18">
        <v>43855</v>
      </c>
      <c r="D28" s="24">
        <f t="shared" si="0"/>
        <v>2020</v>
      </c>
      <c r="E28" s="24" t="str">
        <f t="shared" si="1"/>
        <v>Q1</v>
      </c>
      <c r="F28" s="24" t="str">
        <f t="shared" si="2"/>
        <v>Jan</v>
      </c>
      <c r="G28" s="24">
        <f t="shared" si="3"/>
        <v>1</v>
      </c>
      <c r="H28" s="19">
        <v>1491</v>
      </c>
      <c r="I28" s="19" t="s">
        <v>3</v>
      </c>
      <c r="J28" s="19" t="s">
        <v>9</v>
      </c>
      <c r="K28" s="20">
        <v>4</v>
      </c>
      <c r="L28" s="21">
        <v>408.95</v>
      </c>
      <c r="M28" s="22">
        <v>0.13</v>
      </c>
      <c r="N28" s="21">
        <f t="shared" si="4"/>
        <v>355.78649999999999</v>
      </c>
      <c r="O28" s="21">
        <v>1423.15</v>
      </c>
      <c r="P28" s="19" t="s">
        <v>6</v>
      </c>
      <c r="Q28" s="23">
        <v>4</v>
      </c>
      <c r="R28" s="45">
        <v>2.2000000000000002</v>
      </c>
    </row>
    <row r="29" spans="2:18" x14ac:dyDescent="0.2">
      <c r="B29" s="25">
        <v>26</v>
      </c>
      <c r="C29" s="18">
        <v>43856</v>
      </c>
      <c r="D29" s="24">
        <f t="shared" si="0"/>
        <v>2020</v>
      </c>
      <c r="E29" s="24" t="str">
        <f t="shared" si="1"/>
        <v>Q1</v>
      </c>
      <c r="F29" s="24" t="str">
        <f t="shared" si="2"/>
        <v>Jan</v>
      </c>
      <c r="G29" s="24">
        <f t="shared" si="3"/>
        <v>1</v>
      </c>
      <c r="H29" s="19">
        <v>1413</v>
      </c>
      <c r="I29" s="19" t="s">
        <v>7</v>
      </c>
      <c r="J29" s="19" t="s">
        <v>1</v>
      </c>
      <c r="K29" s="20">
        <v>7</v>
      </c>
      <c r="L29" s="21">
        <v>25.73</v>
      </c>
      <c r="M29" s="22">
        <v>0.22</v>
      </c>
      <c r="N29" s="21">
        <f t="shared" si="4"/>
        <v>20.069400000000002</v>
      </c>
      <c r="O29" s="21">
        <v>140.49</v>
      </c>
      <c r="P29" s="19" t="s">
        <v>4</v>
      </c>
      <c r="Q29" s="23">
        <v>8</v>
      </c>
      <c r="R29" s="45">
        <v>2</v>
      </c>
    </row>
    <row r="30" spans="2:18" x14ac:dyDescent="0.2">
      <c r="B30" s="25">
        <v>27</v>
      </c>
      <c r="C30" s="18">
        <v>43857</v>
      </c>
      <c r="D30" s="24">
        <f t="shared" si="0"/>
        <v>2020</v>
      </c>
      <c r="E30" s="24" t="str">
        <f t="shared" si="1"/>
        <v>Q1</v>
      </c>
      <c r="F30" s="24" t="str">
        <f t="shared" si="2"/>
        <v>Jan</v>
      </c>
      <c r="G30" s="24">
        <f t="shared" si="3"/>
        <v>1</v>
      </c>
      <c r="H30" s="19">
        <v>1805</v>
      </c>
      <c r="I30" s="19" t="s">
        <v>10</v>
      </c>
      <c r="J30" s="19" t="s">
        <v>9</v>
      </c>
      <c r="K30" s="20">
        <v>7</v>
      </c>
      <c r="L30" s="21">
        <v>457.07</v>
      </c>
      <c r="M30" s="22">
        <v>0.2</v>
      </c>
      <c r="N30" s="21">
        <f t="shared" si="4"/>
        <v>365.65600000000001</v>
      </c>
      <c r="O30" s="21">
        <v>2559.59</v>
      </c>
      <c r="P30" s="19" t="s">
        <v>6</v>
      </c>
      <c r="Q30" s="23">
        <v>1</v>
      </c>
      <c r="R30" s="45">
        <v>4.0999999999999996</v>
      </c>
    </row>
    <row r="31" spans="2:18" x14ac:dyDescent="0.2">
      <c r="B31" s="25">
        <v>28</v>
      </c>
      <c r="C31" s="18">
        <v>43858</v>
      </c>
      <c r="D31" s="24">
        <f t="shared" si="0"/>
        <v>2020</v>
      </c>
      <c r="E31" s="24" t="str">
        <f t="shared" si="1"/>
        <v>Q1</v>
      </c>
      <c r="F31" s="24" t="str">
        <f t="shared" si="2"/>
        <v>Jan</v>
      </c>
      <c r="G31" s="24">
        <f t="shared" si="3"/>
        <v>1</v>
      </c>
      <c r="H31" s="19">
        <v>1385</v>
      </c>
      <c r="I31" s="19" t="s">
        <v>7</v>
      </c>
      <c r="J31" s="19" t="s">
        <v>9</v>
      </c>
      <c r="K31" s="20">
        <v>7</v>
      </c>
      <c r="L31" s="21">
        <v>170.23</v>
      </c>
      <c r="M31" s="22">
        <v>0.14000000000000001</v>
      </c>
      <c r="N31" s="21">
        <f t="shared" si="4"/>
        <v>146.39779999999999</v>
      </c>
      <c r="O31" s="21">
        <v>1024.78</v>
      </c>
      <c r="P31" s="19" t="s">
        <v>4</v>
      </c>
      <c r="Q31" s="23">
        <v>8</v>
      </c>
      <c r="R31" s="45">
        <v>4.5999999999999996</v>
      </c>
    </row>
    <row r="32" spans="2:18" x14ac:dyDescent="0.2">
      <c r="B32" s="25">
        <v>29</v>
      </c>
      <c r="C32" s="18">
        <v>43859</v>
      </c>
      <c r="D32" s="24">
        <f t="shared" si="0"/>
        <v>2020</v>
      </c>
      <c r="E32" s="24" t="str">
        <f t="shared" si="1"/>
        <v>Q1</v>
      </c>
      <c r="F32" s="24" t="str">
        <f t="shared" si="2"/>
        <v>Jan</v>
      </c>
      <c r="G32" s="24">
        <f t="shared" si="3"/>
        <v>1</v>
      </c>
      <c r="H32" s="19">
        <v>1191</v>
      </c>
      <c r="I32" s="19" t="s">
        <v>3</v>
      </c>
      <c r="J32" s="19" t="s">
        <v>9</v>
      </c>
      <c r="K32" s="20">
        <v>6</v>
      </c>
      <c r="L32" s="21">
        <v>196.36</v>
      </c>
      <c r="M32" s="22">
        <v>0.11</v>
      </c>
      <c r="N32" s="21">
        <f t="shared" si="4"/>
        <v>174.7604</v>
      </c>
      <c r="O32" s="21">
        <v>1048.56</v>
      </c>
      <c r="P32" s="19" t="s">
        <v>2</v>
      </c>
      <c r="Q32" s="23">
        <v>5</v>
      </c>
      <c r="R32" s="45">
        <v>3</v>
      </c>
    </row>
    <row r="33" spans="2:18" x14ac:dyDescent="0.2">
      <c r="B33" s="25">
        <v>30</v>
      </c>
      <c r="C33" s="18">
        <v>43860</v>
      </c>
      <c r="D33" s="24">
        <f t="shared" si="0"/>
        <v>2020</v>
      </c>
      <c r="E33" s="24" t="str">
        <f t="shared" si="1"/>
        <v>Q1</v>
      </c>
      <c r="F33" s="24" t="str">
        <f t="shared" si="2"/>
        <v>Jan</v>
      </c>
      <c r="G33" s="24">
        <f t="shared" si="3"/>
        <v>1</v>
      </c>
      <c r="H33" s="19">
        <v>1955</v>
      </c>
      <c r="I33" s="19" t="s">
        <v>7</v>
      </c>
      <c r="J33" s="19" t="s">
        <v>5</v>
      </c>
      <c r="K33" s="20">
        <v>6</v>
      </c>
      <c r="L33" s="21">
        <v>323.83</v>
      </c>
      <c r="M33" s="22">
        <v>0.14000000000000001</v>
      </c>
      <c r="N33" s="21">
        <f t="shared" si="4"/>
        <v>278.49379999999996</v>
      </c>
      <c r="O33" s="21">
        <v>1670.96</v>
      </c>
      <c r="P33" s="19" t="s">
        <v>6</v>
      </c>
      <c r="Q33" s="23">
        <v>2</v>
      </c>
      <c r="R33" s="45">
        <v>4.0999999999999996</v>
      </c>
    </row>
    <row r="34" spans="2:18" x14ac:dyDescent="0.2">
      <c r="B34" s="25">
        <v>31</v>
      </c>
      <c r="C34" s="18">
        <v>43861</v>
      </c>
      <c r="D34" s="24">
        <f t="shared" si="0"/>
        <v>2020</v>
      </c>
      <c r="E34" s="24" t="str">
        <f t="shared" si="1"/>
        <v>Q1</v>
      </c>
      <c r="F34" s="24" t="str">
        <f t="shared" si="2"/>
        <v>Jan</v>
      </c>
      <c r="G34" s="24">
        <f t="shared" si="3"/>
        <v>1</v>
      </c>
      <c r="H34" s="19">
        <v>1276</v>
      </c>
      <c r="I34" s="19" t="s">
        <v>7</v>
      </c>
      <c r="J34" s="19" t="s">
        <v>9</v>
      </c>
      <c r="K34" s="20">
        <v>6</v>
      </c>
      <c r="L34" s="21">
        <v>141.32</v>
      </c>
      <c r="M34" s="22">
        <v>0.2</v>
      </c>
      <c r="N34" s="21">
        <f t="shared" si="4"/>
        <v>113.056</v>
      </c>
      <c r="O34" s="21">
        <v>678.34</v>
      </c>
      <c r="P34" s="19" t="s">
        <v>4</v>
      </c>
      <c r="Q34" s="23">
        <v>1</v>
      </c>
      <c r="R34" s="45">
        <v>1.7</v>
      </c>
    </row>
    <row r="35" spans="2:18" x14ac:dyDescent="0.2">
      <c r="B35" s="25">
        <v>32</v>
      </c>
      <c r="C35" s="18">
        <v>43862</v>
      </c>
      <c r="D35" s="24">
        <f t="shared" si="0"/>
        <v>2020</v>
      </c>
      <c r="E35" s="24" t="str">
        <f t="shared" si="1"/>
        <v>Q1</v>
      </c>
      <c r="F35" s="24" t="str">
        <f t="shared" si="2"/>
        <v>Feb</v>
      </c>
      <c r="G35" s="24">
        <f t="shared" si="3"/>
        <v>2</v>
      </c>
      <c r="H35" s="19">
        <v>1160</v>
      </c>
      <c r="I35" s="19" t="s">
        <v>3</v>
      </c>
      <c r="J35" s="19" t="s">
        <v>8</v>
      </c>
      <c r="K35" s="20">
        <v>6</v>
      </c>
      <c r="L35" s="21">
        <v>532.41999999999996</v>
      </c>
      <c r="M35" s="22">
        <v>0.15</v>
      </c>
      <c r="N35" s="21">
        <f t="shared" si="4"/>
        <v>452.55699999999996</v>
      </c>
      <c r="O35" s="21">
        <v>2715.34</v>
      </c>
      <c r="P35" s="19" t="s">
        <v>4</v>
      </c>
      <c r="Q35" s="23">
        <v>6</v>
      </c>
      <c r="R35" s="45">
        <v>3.2</v>
      </c>
    </row>
    <row r="36" spans="2:18" x14ac:dyDescent="0.2">
      <c r="B36" s="25">
        <v>33</v>
      </c>
      <c r="C36" s="18">
        <v>43863</v>
      </c>
      <c r="D36" s="24">
        <f t="shared" si="0"/>
        <v>2020</v>
      </c>
      <c r="E36" s="24" t="str">
        <f t="shared" si="1"/>
        <v>Q1</v>
      </c>
      <c r="F36" s="24" t="str">
        <f t="shared" si="2"/>
        <v>Feb</v>
      </c>
      <c r="G36" s="24">
        <f t="shared" si="3"/>
        <v>2</v>
      </c>
      <c r="H36" s="19">
        <v>1459</v>
      </c>
      <c r="I36" s="19" t="s">
        <v>7</v>
      </c>
      <c r="J36" s="19" t="s">
        <v>9</v>
      </c>
      <c r="K36" s="20">
        <v>6</v>
      </c>
      <c r="L36" s="21">
        <v>64.94</v>
      </c>
      <c r="M36" s="22">
        <v>0.09</v>
      </c>
      <c r="N36" s="21">
        <f t="shared" si="4"/>
        <v>59.095399999999998</v>
      </c>
      <c r="O36" s="21">
        <v>354.57</v>
      </c>
      <c r="P36" s="19" t="s">
        <v>2</v>
      </c>
      <c r="Q36" s="23">
        <v>9</v>
      </c>
      <c r="R36" s="45">
        <v>3.5</v>
      </c>
    </row>
    <row r="37" spans="2:18" x14ac:dyDescent="0.2">
      <c r="B37" s="25">
        <v>34</v>
      </c>
      <c r="C37" s="18">
        <v>43864</v>
      </c>
      <c r="D37" s="24">
        <f t="shared" si="0"/>
        <v>2020</v>
      </c>
      <c r="E37" s="24" t="str">
        <f t="shared" si="1"/>
        <v>Q1</v>
      </c>
      <c r="F37" s="24" t="str">
        <f t="shared" si="2"/>
        <v>Feb</v>
      </c>
      <c r="G37" s="24">
        <f t="shared" si="3"/>
        <v>2</v>
      </c>
      <c r="H37" s="19">
        <v>1313</v>
      </c>
      <c r="I37" s="19" t="s">
        <v>10</v>
      </c>
      <c r="J37" s="19" t="s">
        <v>9</v>
      </c>
      <c r="K37" s="20">
        <v>1</v>
      </c>
      <c r="L37" s="21">
        <v>274.95999999999998</v>
      </c>
      <c r="M37" s="22">
        <v>0.27</v>
      </c>
      <c r="N37" s="21">
        <f t="shared" si="4"/>
        <v>200.7208</v>
      </c>
      <c r="O37" s="21">
        <v>200.72</v>
      </c>
      <c r="P37" s="19" t="s">
        <v>4</v>
      </c>
      <c r="Q37" s="23">
        <v>9</v>
      </c>
      <c r="R37" s="45">
        <v>3</v>
      </c>
    </row>
    <row r="38" spans="2:18" x14ac:dyDescent="0.2">
      <c r="B38" s="25">
        <v>35</v>
      </c>
      <c r="C38" s="18">
        <v>43865</v>
      </c>
      <c r="D38" s="24">
        <f t="shared" si="0"/>
        <v>2020</v>
      </c>
      <c r="E38" s="24" t="str">
        <f t="shared" si="1"/>
        <v>Q1</v>
      </c>
      <c r="F38" s="24" t="str">
        <f t="shared" si="2"/>
        <v>Feb</v>
      </c>
      <c r="G38" s="24">
        <f t="shared" si="3"/>
        <v>2</v>
      </c>
      <c r="H38" s="19">
        <v>1021</v>
      </c>
      <c r="I38" s="19" t="s">
        <v>7</v>
      </c>
      <c r="J38" s="19" t="s">
        <v>8</v>
      </c>
      <c r="K38" s="20">
        <v>2</v>
      </c>
      <c r="L38" s="21">
        <v>511.91</v>
      </c>
      <c r="M38" s="22">
        <v>0.19</v>
      </c>
      <c r="N38" s="21">
        <f t="shared" si="4"/>
        <v>414.64710000000002</v>
      </c>
      <c r="O38" s="21">
        <v>829.29</v>
      </c>
      <c r="P38" s="19" t="s">
        <v>6</v>
      </c>
      <c r="Q38" s="23">
        <v>9</v>
      </c>
      <c r="R38" s="45">
        <v>1.5</v>
      </c>
    </row>
    <row r="39" spans="2:18" x14ac:dyDescent="0.2">
      <c r="B39" s="25">
        <v>36</v>
      </c>
      <c r="C39" s="18">
        <v>43866</v>
      </c>
      <c r="D39" s="24">
        <f t="shared" si="0"/>
        <v>2020</v>
      </c>
      <c r="E39" s="24" t="str">
        <f t="shared" si="1"/>
        <v>Q1</v>
      </c>
      <c r="F39" s="24" t="str">
        <f t="shared" si="2"/>
        <v>Feb</v>
      </c>
      <c r="G39" s="24">
        <f t="shared" si="3"/>
        <v>2</v>
      </c>
      <c r="H39" s="19">
        <v>1252</v>
      </c>
      <c r="I39" s="19" t="s">
        <v>7</v>
      </c>
      <c r="J39" s="19" t="s">
        <v>8</v>
      </c>
      <c r="K39" s="20">
        <v>4</v>
      </c>
      <c r="L39" s="21">
        <v>375.27</v>
      </c>
      <c r="M39" s="22">
        <v>0.02</v>
      </c>
      <c r="N39" s="21">
        <f t="shared" si="4"/>
        <v>367.76459999999997</v>
      </c>
      <c r="O39" s="21">
        <v>1471.06</v>
      </c>
      <c r="P39" s="19" t="s">
        <v>6</v>
      </c>
      <c r="Q39" s="23">
        <v>11</v>
      </c>
      <c r="R39" s="45">
        <v>3.9</v>
      </c>
    </row>
    <row r="40" spans="2:18" x14ac:dyDescent="0.2">
      <c r="B40" s="25">
        <v>37</v>
      </c>
      <c r="C40" s="18">
        <v>43867</v>
      </c>
      <c r="D40" s="24">
        <f t="shared" si="0"/>
        <v>2020</v>
      </c>
      <c r="E40" s="24" t="str">
        <f t="shared" si="1"/>
        <v>Q1</v>
      </c>
      <c r="F40" s="24" t="str">
        <f t="shared" si="2"/>
        <v>Feb</v>
      </c>
      <c r="G40" s="24">
        <f t="shared" si="3"/>
        <v>2</v>
      </c>
      <c r="H40" s="19">
        <v>1747</v>
      </c>
      <c r="I40" s="19" t="s">
        <v>3</v>
      </c>
      <c r="J40" s="19" t="s">
        <v>1</v>
      </c>
      <c r="K40" s="20">
        <v>3</v>
      </c>
      <c r="L40" s="21">
        <v>186.01</v>
      </c>
      <c r="M40" s="22">
        <v>0.13</v>
      </c>
      <c r="N40" s="21">
        <f t="shared" si="4"/>
        <v>161.8287</v>
      </c>
      <c r="O40" s="21">
        <v>485.49</v>
      </c>
      <c r="P40" s="19" t="s">
        <v>4</v>
      </c>
      <c r="Q40" s="23">
        <v>4</v>
      </c>
      <c r="R40" s="45">
        <v>4.4000000000000004</v>
      </c>
    </row>
    <row r="41" spans="2:18" x14ac:dyDescent="0.2">
      <c r="B41" s="25">
        <v>38</v>
      </c>
      <c r="C41" s="18">
        <v>43868</v>
      </c>
      <c r="D41" s="24">
        <f t="shared" si="0"/>
        <v>2020</v>
      </c>
      <c r="E41" s="24" t="str">
        <f t="shared" si="1"/>
        <v>Q1</v>
      </c>
      <c r="F41" s="24" t="str">
        <f t="shared" si="2"/>
        <v>Feb</v>
      </c>
      <c r="G41" s="24">
        <f t="shared" si="3"/>
        <v>2</v>
      </c>
      <c r="H41" s="19">
        <v>1856</v>
      </c>
      <c r="I41" s="19" t="s">
        <v>7</v>
      </c>
      <c r="J41" s="19" t="s">
        <v>9</v>
      </c>
      <c r="K41" s="20">
        <v>6</v>
      </c>
      <c r="L41" s="21">
        <v>261.14</v>
      </c>
      <c r="M41" s="22">
        <v>0.31</v>
      </c>
      <c r="N41" s="21">
        <f t="shared" si="4"/>
        <v>180.1866</v>
      </c>
      <c r="O41" s="21">
        <v>1081.1199999999999</v>
      </c>
      <c r="P41" s="19" t="s">
        <v>4</v>
      </c>
      <c r="Q41" s="23">
        <v>6</v>
      </c>
      <c r="R41" s="45">
        <v>3.5</v>
      </c>
    </row>
    <row r="42" spans="2:18" x14ac:dyDescent="0.2">
      <c r="B42" s="25">
        <v>39</v>
      </c>
      <c r="C42" s="18">
        <v>43869</v>
      </c>
      <c r="D42" s="24">
        <f t="shared" si="0"/>
        <v>2020</v>
      </c>
      <c r="E42" s="24" t="str">
        <f t="shared" si="1"/>
        <v>Q1</v>
      </c>
      <c r="F42" s="24" t="str">
        <f t="shared" si="2"/>
        <v>Feb</v>
      </c>
      <c r="G42" s="24">
        <f t="shared" si="3"/>
        <v>2</v>
      </c>
      <c r="H42" s="19">
        <v>1560</v>
      </c>
      <c r="I42" s="19" t="s">
        <v>7</v>
      </c>
      <c r="J42" s="19" t="s">
        <v>5</v>
      </c>
      <c r="K42" s="20">
        <v>1</v>
      </c>
      <c r="L42" s="21">
        <v>428.42</v>
      </c>
      <c r="M42" s="22">
        <v>0.26</v>
      </c>
      <c r="N42" s="21">
        <f t="shared" si="4"/>
        <v>317.0308</v>
      </c>
      <c r="O42" s="21">
        <v>317.02999999999997</v>
      </c>
      <c r="P42" s="19" t="s">
        <v>6</v>
      </c>
      <c r="Q42" s="23">
        <v>10</v>
      </c>
      <c r="R42" s="45">
        <v>1.7</v>
      </c>
    </row>
    <row r="43" spans="2:18" x14ac:dyDescent="0.2">
      <c r="B43" s="25">
        <v>40</v>
      </c>
      <c r="C43" s="18">
        <v>43870</v>
      </c>
      <c r="D43" s="24">
        <f t="shared" si="0"/>
        <v>2020</v>
      </c>
      <c r="E43" s="24" t="str">
        <f t="shared" si="1"/>
        <v>Q1</v>
      </c>
      <c r="F43" s="24" t="str">
        <f t="shared" si="2"/>
        <v>Feb</v>
      </c>
      <c r="G43" s="24">
        <f t="shared" si="3"/>
        <v>2</v>
      </c>
      <c r="H43" s="19">
        <v>1474</v>
      </c>
      <c r="I43" s="19" t="s">
        <v>10</v>
      </c>
      <c r="J43" s="19" t="s">
        <v>9</v>
      </c>
      <c r="K43" s="20">
        <v>7</v>
      </c>
      <c r="L43" s="21">
        <v>584.36</v>
      </c>
      <c r="M43" s="22">
        <v>0.11</v>
      </c>
      <c r="N43" s="21">
        <f t="shared" si="4"/>
        <v>520.08040000000005</v>
      </c>
      <c r="O43" s="21">
        <v>3640.56</v>
      </c>
      <c r="P43" s="19" t="s">
        <v>4</v>
      </c>
      <c r="Q43" s="23">
        <v>6</v>
      </c>
      <c r="R43" s="45">
        <v>1.3</v>
      </c>
    </row>
    <row r="44" spans="2:18" x14ac:dyDescent="0.2">
      <c r="B44" s="25">
        <v>41</v>
      </c>
      <c r="C44" s="18">
        <v>43871</v>
      </c>
      <c r="D44" s="24">
        <f t="shared" si="0"/>
        <v>2020</v>
      </c>
      <c r="E44" s="24" t="str">
        <f t="shared" si="1"/>
        <v>Q1</v>
      </c>
      <c r="F44" s="24" t="str">
        <f t="shared" si="2"/>
        <v>Feb</v>
      </c>
      <c r="G44" s="24">
        <f t="shared" si="3"/>
        <v>2</v>
      </c>
      <c r="H44" s="19">
        <v>1058</v>
      </c>
      <c r="I44" s="19" t="s">
        <v>7</v>
      </c>
      <c r="J44" s="19" t="s">
        <v>9</v>
      </c>
      <c r="K44" s="20">
        <v>4</v>
      </c>
      <c r="L44" s="21">
        <v>537.49</v>
      </c>
      <c r="M44" s="22">
        <v>0.33</v>
      </c>
      <c r="N44" s="21">
        <f t="shared" si="4"/>
        <v>360.11829999999998</v>
      </c>
      <c r="O44" s="21">
        <v>1440.47</v>
      </c>
      <c r="P44" s="19" t="s">
        <v>4</v>
      </c>
      <c r="Q44" s="23">
        <v>5</v>
      </c>
      <c r="R44" s="45">
        <v>2.2000000000000002</v>
      </c>
    </row>
    <row r="45" spans="2:18" x14ac:dyDescent="0.2">
      <c r="B45" s="25">
        <v>42</v>
      </c>
      <c r="C45" s="18">
        <v>43872</v>
      </c>
      <c r="D45" s="24">
        <f t="shared" si="0"/>
        <v>2020</v>
      </c>
      <c r="E45" s="24" t="str">
        <f t="shared" si="1"/>
        <v>Q1</v>
      </c>
      <c r="F45" s="24" t="str">
        <f t="shared" si="2"/>
        <v>Feb</v>
      </c>
      <c r="G45" s="24">
        <f t="shared" si="3"/>
        <v>2</v>
      </c>
      <c r="H45" s="19">
        <v>1510</v>
      </c>
      <c r="I45" s="19" t="s">
        <v>10</v>
      </c>
      <c r="J45" s="19" t="s">
        <v>8</v>
      </c>
      <c r="K45" s="20">
        <v>4</v>
      </c>
      <c r="L45" s="21">
        <v>215.32</v>
      </c>
      <c r="M45" s="22">
        <v>0.03</v>
      </c>
      <c r="N45" s="21">
        <f t="shared" si="4"/>
        <v>208.8604</v>
      </c>
      <c r="O45" s="21">
        <v>835.44</v>
      </c>
      <c r="P45" s="19" t="s">
        <v>4</v>
      </c>
      <c r="Q45" s="23">
        <v>2</v>
      </c>
      <c r="R45" s="45">
        <v>1.1000000000000001</v>
      </c>
    </row>
    <row r="46" spans="2:18" x14ac:dyDescent="0.2">
      <c r="B46" s="25">
        <v>43</v>
      </c>
      <c r="C46" s="18">
        <v>43873</v>
      </c>
      <c r="D46" s="24">
        <f t="shared" si="0"/>
        <v>2020</v>
      </c>
      <c r="E46" s="24" t="str">
        <f t="shared" si="1"/>
        <v>Q1</v>
      </c>
      <c r="F46" s="24" t="str">
        <f t="shared" si="2"/>
        <v>Feb</v>
      </c>
      <c r="G46" s="24">
        <f t="shared" si="3"/>
        <v>2</v>
      </c>
      <c r="H46" s="19">
        <v>1681</v>
      </c>
      <c r="I46" s="19" t="s">
        <v>7</v>
      </c>
      <c r="J46" s="19" t="s">
        <v>1</v>
      </c>
      <c r="K46" s="20">
        <v>4</v>
      </c>
      <c r="L46" s="21">
        <v>598.95000000000005</v>
      </c>
      <c r="M46" s="22">
        <v>0.34</v>
      </c>
      <c r="N46" s="21">
        <f t="shared" si="4"/>
        <v>395.30700000000002</v>
      </c>
      <c r="O46" s="21">
        <v>1581.23</v>
      </c>
      <c r="P46" s="19" t="s">
        <v>4</v>
      </c>
      <c r="Q46" s="23">
        <v>7</v>
      </c>
      <c r="R46" s="45">
        <v>4.4000000000000004</v>
      </c>
    </row>
    <row r="47" spans="2:18" x14ac:dyDescent="0.2">
      <c r="B47" s="25">
        <v>44</v>
      </c>
      <c r="C47" s="18">
        <v>43874</v>
      </c>
      <c r="D47" s="24">
        <f t="shared" si="0"/>
        <v>2020</v>
      </c>
      <c r="E47" s="24" t="str">
        <f t="shared" si="1"/>
        <v>Q1</v>
      </c>
      <c r="F47" s="24" t="str">
        <f t="shared" si="2"/>
        <v>Feb</v>
      </c>
      <c r="G47" s="24">
        <f t="shared" si="3"/>
        <v>2</v>
      </c>
      <c r="H47" s="19">
        <v>1475</v>
      </c>
      <c r="I47" s="19" t="s">
        <v>7</v>
      </c>
      <c r="J47" s="19" t="s">
        <v>9</v>
      </c>
      <c r="K47" s="20">
        <v>1</v>
      </c>
      <c r="L47" s="21">
        <v>17.05</v>
      </c>
      <c r="M47" s="22">
        <v>0.09</v>
      </c>
      <c r="N47" s="21">
        <f t="shared" si="4"/>
        <v>15.515500000000001</v>
      </c>
      <c r="O47" s="21">
        <v>15.52</v>
      </c>
      <c r="P47" s="19" t="s">
        <v>4</v>
      </c>
      <c r="Q47" s="23">
        <v>1</v>
      </c>
      <c r="R47" s="45">
        <v>3.8</v>
      </c>
    </row>
    <row r="48" spans="2:18" x14ac:dyDescent="0.2">
      <c r="B48" s="25">
        <v>45</v>
      </c>
      <c r="C48" s="18">
        <v>43875</v>
      </c>
      <c r="D48" s="24">
        <f t="shared" si="0"/>
        <v>2020</v>
      </c>
      <c r="E48" s="24" t="str">
        <f t="shared" si="1"/>
        <v>Q1</v>
      </c>
      <c r="F48" s="24" t="str">
        <f t="shared" si="2"/>
        <v>Feb</v>
      </c>
      <c r="G48" s="24">
        <f t="shared" si="3"/>
        <v>2</v>
      </c>
      <c r="H48" s="19">
        <v>1699</v>
      </c>
      <c r="I48" s="19" t="s">
        <v>10</v>
      </c>
      <c r="J48" s="19" t="s">
        <v>5</v>
      </c>
      <c r="K48" s="20">
        <v>3</v>
      </c>
      <c r="L48" s="21">
        <v>31.16</v>
      </c>
      <c r="M48" s="22">
        <v>0</v>
      </c>
      <c r="N48" s="21">
        <f t="shared" si="4"/>
        <v>31.16</v>
      </c>
      <c r="O48" s="21">
        <v>93.48</v>
      </c>
      <c r="P48" s="19" t="s">
        <v>2</v>
      </c>
      <c r="Q48" s="23">
        <v>6</v>
      </c>
      <c r="R48" s="45">
        <v>3.3</v>
      </c>
    </row>
    <row r="49" spans="2:18" x14ac:dyDescent="0.2">
      <c r="B49" s="25">
        <v>46</v>
      </c>
      <c r="C49" s="18">
        <v>43876</v>
      </c>
      <c r="D49" s="24">
        <f t="shared" si="0"/>
        <v>2020</v>
      </c>
      <c r="E49" s="24" t="str">
        <f t="shared" si="1"/>
        <v>Q1</v>
      </c>
      <c r="F49" s="24" t="str">
        <f t="shared" si="2"/>
        <v>Feb</v>
      </c>
      <c r="G49" s="24">
        <f t="shared" si="3"/>
        <v>2</v>
      </c>
      <c r="H49" s="19">
        <v>1975</v>
      </c>
      <c r="I49" s="19" t="s">
        <v>7</v>
      </c>
      <c r="J49" s="19" t="s">
        <v>9</v>
      </c>
      <c r="K49" s="20">
        <v>6</v>
      </c>
      <c r="L49" s="21">
        <v>496.95</v>
      </c>
      <c r="M49" s="22">
        <v>0.15</v>
      </c>
      <c r="N49" s="21">
        <f t="shared" si="4"/>
        <v>422.40750000000003</v>
      </c>
      <c r="O49" s="21">
        <v>2534.44</v>
      </c>
      <c r="P49" s="19" t="s">
        <v>6</v>
      </c>
      <c r="Q49" s="23">
        <v>5</v>
      </c>
      <c r="R49" s="45">
        <v>4.5999999999999996</v>
      </c>
    </row>
    <row r="50" spans="2:18" x14ac:dyDescent="0.2">
      <c r="B50" s="25">
        <v>47</v>
      </c>
      <c r="C50" s="18">
        <v>43877</v>
      </c>
      <c r="D50" s="24">
        <f t="shared" si="0"/>
        <v>2020</v>
      </c>
      <c r="E50" s="24" t="str">
        <f t="shared" si="1"/>
        <v>Q1</v>
      </c>
      <c r="F50" s="24" t="str">
        <f t="shared" si="2"/>
        <v>Feb</v>
      </c>
      <c r="G50" s="24">
        <f t="shared" si="3"/>
        <v>2</v>
      </c>
      <c r="H50" s="19">
        <v>1782</v>
      </c>
      <c r="I50" s="19" t="s">
        <v>7</v>
      </c>
      <c r="J50" s="19" t="s">
        <v>5</v>
      </c>
      <c r="K50" s="20">
        <v>4</v>
      </c>
      <c r="L50" s="21">
        <v>131.69</v>
      </c>
      <c r="M50" s="22">
        <v>0.13</v>
      </c>
      <c r="N50" s="21">
        <f t="shared" si="4"/>
        <v>114.5703</v>
      </c>
      <c r="O50" s="21">
        <v>458.28</v>
      </c>
      <c r="P50" s="19" t="s">
        <v>6</v>
      </c>
      <c r="Q50" s="23">
        <v>5</v>
      </c>
      <c r="R50" s="45">
        <v>1.4</v>
      </c>
    </row>
    <row r="51" spans="2:18" x14ac:dyDescent="0.2">
      <c r="B51" s="25">
        <v>48</v>
      </c>
      <c r="C51" s="18">
        <v>43878</v>
      </c>
      <c r="D51" s="24">
        <f t="shared" si="0"/>
        <v>2020</v>
      </c>
      <c r="E51" s="24" t="str">
        <f t="shared" si="1"/>
        <v>Q1</v>
      </c>
      <c r="F51" s="24" t="str">
        <f t="shared" si="2"/>
        <v>Feb</v>
      </c>
      <c r="G51" s="24">
        <f t="shared" si="3"/>
        <v>2</v>
      </c>
      <c r="H51" s="19">
        <v>1189</v>
      </c>
      <c r="I51" s="19" t="s">
        <v>3</v>
      </c>
      <c r="J51" s="19" t="s">
        <v>8</v>
      </c>
      <c r="K51" s="20">
        <v>1</v>
      </c>
      <c r="L51" s="21">
        <v>50.55</v>
      </c>
      <c r="M51" s="22">
        <v>0.19</v>
      </c>
      <c r="N51" s="21">
        <f t="shared" si="4"/>
        <v>40.945499999999996</v>
      </c>
      <c r="O51" s="21">
        <v>40.950000000000003</v>
      </c>
      <c r="P51" s="19" t="s">
        <v>4</v>
      </c>
      <c r="Q51" s="23">
        <v>8</v>
      </c>
      <c r="R51" s="45">
        <v>3.9</v>
      </c>
    </row>
    <row r="52" spans="2:18" x14ac:dyDescent="0.2">
      <c r="B52" s="25">
        <v>49</v>
      </c>
      <c r="C52" s="18">
        <v>43879</v>
      </c>
      <c r="D52" s="24">
        <f t="shared" si="0"/>
        <v>2020</v>
      </c>
      <c r="E52" s="24" t="str">
        <f t="shared" si="1"/>
        <v>Q1</v>
      </c>
      <c r="F52" s="24" t="str">
        <f t="shared" si="2"/>
        <v>Feb</v>
      </c>
      <c r="G52" s="24">
        <f t="shared" si="3"/>
        <v>2</v>
      </c>
      <c r="H52" s="19">
        <v>1957</v>
      </c>
      <c r="I52" s="19" t="s">
        <v>7</v>
      </c>
      <c r="J52" s="19" t="s">
        <v>1</v>
      </c>
      <c r="K52" s="20">
        <v>7</v>
      </c>
      <c r="L52" s="21">
        <v>153.72999999999999</v>
      </c>
      <c r="M52" s="22">
        <v>0.28000000000000003</v>
      </c>
      <c r="N52" s="21">
        <f t="shared" si="4"/>
        <v>110.68559999999999</v>
      </c>
      <c r="O52" s="21">
        <v>774.8</v>
      </c>
      <c r="P52" s="19" t="s">
        <v>4</v>
      </c>
      <c r="Q52" s="23">
        <v>9</v>
      </c>
      <c r="R52" s="45">
        <v>1.6</v>
      </c>
    </row>
    <row r="53" spans="2:18" x14ac:dyDescent="0.2">
      <c r="B53" s="25">
        <v>50</v>
      </c>
      <c r="C53" s="18">
        <v>43880</v>
      </c>
      <c r="D53" s="24">
        <f t="shared" si="0"/>
        <v>2020</v>
      </c>
      <c r="E53" s="24" t="str">
        <f t="shared" si="1"/>
        <v>Q1</v>
      </c>
      <c r="F53" s="24" t="str">
        <f t="shared" si="2"/>
        <v>Feb</v>
      </c>
      <c r="G53" s="24">
        <f t="shared" si="3"/>
        <v>2</v>
      </c>
      <c r="H53" s="19">
        <v>1686</v>
      </c>
      <c r="I53" s="19" t="s">
        <v>10</v>
      </c>
      <c r="J53" s="19" t="s">
        <v>9</v>
      </c>
      <c r="K53" s="20">
        <v>2</v>
      </c>
      <c r="L53" s="21">
        <v>264.27</v>
      </c>
      <c r="M53" s="22">
        <v>0.28999999999999998</v>
      </c>
      <c r="N53" s="21">
        <f t="shared" si="4"/>
        <v>187.6317</v>
      </c>
      <c r="O53" s="21">
        <v>375.26</v>
      </c>
      <c r="P53" s="19" t="s">
        <v>2</v>
      </c>
      <c r="Q53" s="23">
        <v>7</v>
      </c>
      <c r="R53" s="45">
        <v>1.2</v>
      </c>
    </row>
    <row r="54" spans="2:18" x14ac:dyDescent="0.2">
      <c r="B54" s="25">
        <v>51</v>
      </c>
      <c r="C54" s="18">
        <v>43881</v>
      </c>
      <c r="D54" s="24">
        <f t="shared" si="0"/>
        <v>2020</v>
      </c>
      <c r="E54" s="24" t="str">
        <f t="shared" si="1"/>
        <v>Q1</v>
      </c>
      <c r="F54" s="24" t="str">
        <f t="shared" si="2"/>
        <v>Feb</v>
      </c>
      <c r="G54" s="24">
        <f t="shared" si="3"/>
        <v>2</v>
      </c>
      <c r="H54" s="19">
        <v>1957</v>
      </c>
      <c r="I54" s="19" t="s">
        <v>7</v>
      </c>
      <c r="J54" s="19" t="s">
        <v>1</v>
      </c>
      <c r="K54" s="20">
        <v>7</v>
      </c>
      <c r="L54" s="21">
        <v>442.38</v>
      </c>
      <c r="M54" s="22">
        <v>0.14000000000000001</v>
      </c>
      <c r="N54" s="21">
        <f t="shared" si="4"/>
        <v>380.4468</v>
      </c>
      <c r="O54" s="21">
        <v>2663.13</v>
      </c>
      <c r="P54" s="19" t="s">
        <v>6</v>
      </c>
      <c r="Q54" s="23">
        <v>10</v>
      </c>
      <c r="R54" s="45">
        <v>1.5</v>
      </c>
    </row>
    <row r="55" spans="2:18" x14ac:dyDescent="0.2">
      <c r="B55" s="25">
        <v>52</v>
      </c>
      <c r="C55" s="18">
        <v>43882</v>
      </c>
      <c r="D55" s="24">
        <f t="shared" si="0"/>
        <v>2020</v>
      </c>
      <c r="E55" s="24" t="str">
        <f t="shared" si="1"/>
        <v>Q1</v>
      </c>
      <c r="F55" s="24" t="str">
        <f t="shared" si="2"/>
        <v>Feb</v>
      </c>
      <c r="G55" s="24">
        <f t="shared" si="3"/>
        <v>2</v>
      </c>
      <c r="H55" s="19">
        <v>1562</v>
      </c>
      <c r="I55" s="19" t="s">
        <v>10</v>
      </c>
      <c r="J55" s="19" t="s">
        <v>9</v>
      </c>
      <c r="K55" s="20">
        <v>1</v>
      </c>
      <c r="L55" s="21">
        <v>380.24</v>
      </c>
      <c r="M55" s="22">
        <v>0.15</v>
      </c>
      <c r="N55" s="21">
        <f t="shared" si="4"/>
        <v>323.20400000000001</v>
      </c>
      <c r="O55" s="21">
        <v>323.2</v>
      </c>
      <c r="P55" s="19" t="s">
        <v>4</v>
      </c>
      <c r="Q55" s="23">
        <v>8</v>
      </c>
      <c r="R55" s="45">
        <v>4.8</v>
      </c>
    </row>
    <row r="56" spans="2:18" x14ac:dyDescent="0.2">
      <c r="B56" s="25">
        <v>53</v>
      </c>
      <c r="C56" s="18">
        <v>43883</v>
      </c>
      <c r="D56" s="24">
        <f t="shared" si="0"/>
        <v>2020</v>
      </c>
      <c r="E56" s="24" t="str">
        <f t="shared" si="1"/>
        <v>Q1</v>
      </c>
      <c r="F56" s="24" t="str">
        <f t="shared" si="2"/>
        <v>Feb</v>
      </c>
      <c r="G56" s="24">
        <f t="shared" si="3"/>
        <v>2</v>
      </c>
      <c r="H56" s="19">
        <v>1875</v>
      </c>
      <c r="I56" s="19" t="s">
        <v>0</v>
      </c>
      <c r="J56" s="19" t="s">
        <v>5</v>
      </c>
      <c r="K56" s="20">
        <v>1</v>
      </c>
      <c r="L56" s="21">
        <v>154.01</v>
      </c>
      <c r="M56" s="22">
        <v>0.05</v>
      </c>
      <c r="N56" s="21">
        <f t="shared" si="4"/>
        <v>146.30949999999999</v>
      </c>
      <c r="O56" s="21">
        <v>146.31</v>
      </c>
      <c r="P56" s="19" t="s">
        <v>4</v>
      </c>
      <c r="Q56" s="23">
        <v>2</v>
      </c>
      <c r="R56" s="45">
        <v>2.8</v>
      </c>
    </row>
    <row r="57" spans="2:18" x14ac:dyDescent="0.2">
      <c r="B57" s="25">
        <v>54</v>
      </c>
      <c r="C57" s="18">
        <v>43884</v>
      </c>
      <c r="D57" s="24">
        <f t="shared" si="0"/>
        <v>2020</v>
      </c>
      <c r="E57" s="24" t="str">
        <f t="shared" si="1"/>
        <v>Q1</v>
      </c>
      <c r="F57" s="24" t="str">
        <f t="shared" si="2"/>
        <v>Feb</v>
      </c>
      <c r="G57" s="24">
        <f t="shared" si="3"/>
        <v>2</v>
      </c>
      <c r="H57" s="19">
        <v>1566</v>
      </c>
      <c r="I57" s="19" t="s">
        <v>3</v>
      </c>
      <c r="J57" s="19" t="s">
        <v>1</v>
      </c>
      <c r="K57" s="20">
        <v>1</v>
      </c>
      <c r="L57" s="21">
        <v>309.41000000000003</v>
      </c>
      <c r="M57" s="22">
        <v>0.02</v>
      </c>
      <c r="N57" s="21">
        <f t="shared" si="4"/>
        <v>303.22180000000003</v>
      </c>
      <c r="O57" s="21">
        <v>303.22000000000003</v>
      </c>
      <c r="P57" s="19" t="s">
        <v>6</v>
      </c>
      <c r="Q57" s="23">
        <v>2</v>
      </c>
      <c r="R57" s="45">
        <v>1.2</v>
      </c>
    </row>
    <row r="58" spans="2:18" x14ac:dyDescent="0.2">
      <c r="B58" s="25">
        <v>55</v>
      </c>
      <c r="C58" s="18">
        <v>43885</v>
      </c>
      <c r="D58" s="24">
        <f t="shared" si="0"/>
        <v>2020</v>
      </c>
      <c r="E58" s="24" t="str">
        <f t="shared" si="1"/>
        <v>Q1</v>
      </c>
      <c r="F58" s="24" t="str">
        <f t="shared" si="2"/>
        <v>Feb</v>
      </c>
      <c r="G58" s="24">
        <f t="shared" si="3"/>
        <v>2</v>
      </c>
      <c r="H58" s="19">
        <v>1243</v>
      </c>
      <c r="I58" s="19" t="s">
        <v>0</v>
      </c>
      <c r="J58" s="19" t="s">
        <v>9</v>
      </c>
      <c r="K58" s="20">
        <v>4</v>
      </c>
      <c r="L58" s="21">
        <v>556.84</v>
      </c>
      <c r="M58" s="22">
        <v>0.22</v>
      </c>
      <c r="N58" s="21">
        <f t="shared" si="4"/>
        <v>434.33520000000004</v>
      </c>
      <c r="O58" s="21">
        <v>1737.34</v>
      </c>
      <c r="P58" s="19" t="s">
        <v>2</v>
      </c>
      <c r="Q58" s="23">
        <v>8</v>
      </c>
      <c r="R58" s="45">
        <v>3.3</v>
      </c>
    </row>
    <row r="59" spans="2:18" x14ac:dyDescent="0.2">
      <c r="B59" s="25">
        <v>56</v>
      </c>
      <c r="C59" s="18">
        <v>43886</v>
      </c>
      <c r="D59" s="24">
        <f t="shared" si="0"/>
        <v>2020</v>
      </c>
      <c r="E59" s="24" t="str">
        <f t="shared" si="1"/>
        <v>Q1</v>
      </c>
      <c r="F59" s="24" t="str">
        <f t="shared" si="2"/>
        <v>Feb</v>
      </c>
      <c r="G59" s="24">
        <f t="shared" si="3"/>
        <v>2</v>
      </c>
      <c r="H59" s="19">
        <v>1831</v>
      </c>
      <c r="I59" s="19" t="s">
        <v>3</v>
      </c>
      <c r="J59" s="19" t="s">
        <v>8</v>
      </c>
      <c r="K59" s="20">
        <v>1</v>
      </c>
      <c r="L59" s="21">
        <v>491.78</v>
      </c>
      <c r="M59" s="22">
        <v>0.02</v>
      </c>
      <c r="N59" s="21">
        <f t="shared" si="4"/>
        <v>481.94439999999997</v>
      </c>
      <c r="O59" s="21">
        <v>481.94</v>
      </c>
      <c r="P59" s="19" t="s">
        <v>4</v>
      </c>
      <c r="Q59" s="23">
        <v>6</v>
      </c>
      <c r="R59" s="45">
        <v>1.8</v>
      </c>
    </row>
    <row r="60" spans="2:18" x14ac:dyDescent="0.2">
      <c r="B60" s="25">
        <v>57</v>
      </c>
      <c r="C60" s="18">
        <v>43887</v>
      </c>
      <c r="D60" s="24">
        <f t="shared" si="0"/>
        <v>2020</v>
      </c>
      <c r="E60" s="24" t="str">
        <f t="shared" si="1"/>
        <v>Q1</v>
      </c>
      <c r="F60" s="24" t="str">
        <f t="shared" si="2"/>
        <v>Feb</v>
      </c>
      <c r="G60" s="24">
        <f t="shared" si="3"/>
        <v>2</v>
      </c>
      <c r="H60" s="19">
        <v>1504</v>
      </c>
      <c r="I60" s="19" t="s">
        <v>0</v>
      </c>
      <c r="J60" s="19" t="s">
        <v>5</v>
      </c>
      <c r="K60" s="20">
        <v>2</v>
      </c>
      <c r="L60" s="21">
        <v>204.07</v>
      </c>
      <c r="M60" s="22">
        <v>0.26</v>
      </c>
      <c r="N60" s="21">
        <f t="shared" si="4"/>
        <v>151.01179999999999</v>
      </c>
      <c r="O60" s="21">
        <v>302.02</v>
      </c>
      <c r="P60" s="19" t="s">
        <v>6</v>
      </c>
      <c r="Q60" s="23">
        <v>8</v>
      </c>
      <c r="R60" s="45">
        <v>1</v>
      </c>
    </row>
    <row r="61" spans="2:18" x14ac:dyDescent="0.2">
      <c r="B61" s="25">
        <v>58</v>
      </c>
      <c r="C61" s="18">
        <v>43888</v>
      </c>
      <c r="D61" s="24">
        <f t="shared" si="0"/>
        <v>2020</v>
      </c>
      <c r="E61" s="24" t="str">
        <f t="shared" si="1"/>
        <v>Q1</v>
      </c>
      <c r="F61" s="24" t="str">
        <f t="shared" si="2"/>
        <v>Feb</v>
      </c>
      <c r="G61" s="24">
        <f t="shared" si="3"/>
        <v>2</v>
      </c>
      <c r="H61" s="19">
        <v>1130</v>
      </c>
      <c r="I61" s="19" t="s">
        <v>7</v>
      </c>
      <c r="J61" s="19" t="s">
        <v>1</v>
      </c>
      <c r="K61" s="20">
        <v>4</v>
      </c>
      <c r="L61" s="21">
        <v>589.62</v>
      </c>
      <c r="M61" s="22">
        <v>0.19</v>
      </c>
      <c r="N61" s="21">
        <f t="shared" si="4"/>
        <v>477.59219999999999</v>
      </c>
      <c r="O61" s="21">
        <v>1910.37</v>
      </c>
      <c r="P61" s="19" t="s">
        <v>6</v>
      </c>
      <c r="Q61" s="23">
        <v>9</v>
      </c>
      <c r="R61" s="45">
        <v>4</v>
      </c>
    </row>
    <row r="62" spans="2:18" x14ac:dyDescent="0.2">
      <c r="B62" s="25">
        <v>59</v>
      </c>
      <c r="C62" s="18">
        <v>43889</v>
      </c>
      <c r="D62" s="24">
        <f t="shared" si="0"/>
        <v>2020</v>
      </c>
      <c r="E62" s="24" t="str">
        <f t="shared" si="1"/>
        <v>Q1</v>
      </c>
      <c r="F62" s="24" t="str">
        <f t="shared" si="2"/>
        <v>Feb</v>
      </c>
      <c r="G62" s="24">
        <f t="shared" si="3"/>
        <v>2</v>
      </c>
      <c r="H62" s="19">
        <v>1484</v>
      </c>
      <c r="I62" s="19" t="s">
        <v>10</v>
      </c>
      <c r="J62" s="19" t="s">
        <v>9</v>
      </c>
      <c r="K62" s="20">
        <v>7</v>
      </c>
      <c r="L62" s="21">
        <v>429.54</v>
      </c>
      <c r="M62" s="22">
        <v>7.0000000000000007E-2</v>
      </c>
      <c r="N62" s="21">
        <f t="shared" si="4"/>
        <v>399.47220000000004</v>
      </c>
      <c r="O62" s="21">
        <v>2796.31</v>
      </c>
      <c r="P62" s="19" t="s">
        <v>2</v>
      </c>
      <c r="Q62" s="23">
        <v>9</v>
      </c>
      <c r="R62" s="45">
        <v>1.6</v>
      </c>
    </row>
    <row r="63" spans="2:18" x14ac:dyDescent="0.2">
      <c r="B63" s="25">
        <v>60</v>
      </c>
      <c r="C63" s="18">
        <v>43890</v>
      </c>
      <c r="D63" s="24">
        <f t="shared" si="0"/>
        <v>2020</v>
      </c>
      <c r="E63" s="24" t="str">
        <f t="shared" si="1"/>
        <v>Q1</v>
      </c>
      <c r="F63" s="24" t="str">
        <f t="shared" si="2"/>
        <v>Feb</v>
      </c>
      <c r="G63" s="24">
        <f t="shared" si="3"/>
        <v>2</v>
      </c>
      <c r="H63" s="19">
        <v>1818</v>
      </c>
      <c r="I63" s="19" t="s">
        <v>3</v>
      </c>
      <c r="J63" s="19" t="s">
        <v>1</v>
      </c>
      <c r="K63" s="20">
        <v>2</v>
      </c>
      <c r="L63" s="21">
        <v>51.53</v>
      </c>
      <c r="M63" s="22">
        <v>0.19</v>
      </c>
      <c r="N63" s="21">
        <f t="shared" si="4"/>
        <v>41.7393</v>
      </c>
      <c r="O63" s="21">
        <v>83.48</v>
      </c>
      <c r="P63" s="19" t="s">
        <v>2</v>
      </c>
      <c r="Q63" s="23">
        <v>11</v>
      </c>
      <c r="R63" s="45">
        <v>4.8</v>
      </c>
    </row>
    <row r="64" spans="2:18" x14ac:dyDescent="0.2">
      <c r="B64" s="25">
        <v>61</v>
      </c>
      <c r="C64" s="18">
        <v>43891</v>
      </c>
      <c r="D64" s="24">
        <f t="shared" si="0"/>
        <v>2020</v>
      </c>
      <c r="E64" s="24" t="str">
        <f t="shared" si="1"/>
        <v>Q1</v>
      </c>
      <c r="F64" s="24" t="str">
        <f t="shared" si="2"/>
        <v>Mar</v>
      </c>
      <c r="G64" s="24">
        <f t="shared" si="3"/>
        <v>3</v>
      </c>
      <c r="H64" s="19">
        <v>1646</v>
      </c>
      <c r="I64" s="19" t="s">
        <v>3</v>
      </c>
      <c r="J64" s="19" t="s">
        <v>9</v>
      </c>
      <c r="K64" s="20">
        <v>5</v>
      </c>
      <c r="L64" s="21">
        <v>35.57</v>
      </c>
      <c r="M64" s="22">
        <v>0.06</v>
      </c>
      <c r="N64" s="21">
        <f t="shared" si="4"/>
        <v>33.4358</v>
      </c>
      <c r="O64" s="21">
        <v>167.18</v>
      </c>
      <c r="P64" s="19" t="s">
        <v>4</v>
      </c>
      <c r="Q64" s="23">
        <v>6</v>
      </c>
      <c r="R64" s="45">
        <v>3.4</v>
      </c>
    </row>
    <row r="65" spans="2:18" x14ac:dyDescent="0.2">
      <c r="B65" s="25">
        <v>62</v>
      </c>
      <c r="C65" s="18">
        <v>43892</v>
      </c>
      <c r="D65" s="24">
        <f t="shared" si="0"/>
        <v>2020</v>
      </c>
      <c r="E65" s="24" t="str">
        <f t="shared" si="1"/>
        <v>Q1</v>
      </c>
      <c r="F65" s="24" t="str">
        <f t="shared" si="2"/>
        <v>Mar</v>
      </c>
      <c r="G65" s="24">
        <f t="shared" si="3"/>
        <v>3</v>
      </c>
      <c r="H65" s="19">
        <v>1020</v>
      </c>
      <c r="I65" s="19" t="s">
        <v>3</v>
      </c>
      <c r="J65" s="19" t="s">
        <v>5</v>
      </c>
      <c r="K65" s="20">
        <v>7</v>
      </c>
      <c r="L65" s="21">
        <v>113.52</v>
      </c>
      <c r="M65" s="22">
        <v>0.15</v>
      </c>
      <c r="N65" s="21">
        <f t="shared" si="4"/>
        <v>96.49199999999999</v>
      </c>
      <c r="O65" s="21">
        <v>675.44</v>
      </c>
      <c r="P65" s="19" t="s">
        <v>6</v>
      </c>
      <c r="Q65" s="23">
        <v>8</v>
      </c>
      <c r="R65" s="45">
        <v>1.3</v>
      </c>
    </row>
    <row r="66" spans="2:18" x14ac:dyDescent="0.2">
      <c r="B66" s="25">
        <v>63</v>
      </c>
      <c r="C66" s="18">
        <v>43893</v>
      </c>
      <c r="D66" s="24">
        <f t="shared" si="0"/>
        <v>2020</v>
      </c>
      <c r="E66" s="24" t="str">
        <f t="shared" si="1"/>
        <v>Q1</v>
      </c>
      <c r="F66" s="24" t="str">
        <f t="shared" si="2"/>
        <v>Mar</v>
      </c>
      <c r="G66" s="24">
        <f t="shared" si="3"/>
        <v>3</v>
      </c>
      <c r="H66" s="19">
        <v>1840</v>
      </c>
      <c r="I66" s="19" t="s">
        <v>10</v>
      </c>
      <c r="J66" s="19" t="s">
        <v>8</v>
      </c>
      <c r="K66" s="20">
        <v>1</v>
      </c>
      <c r="L66" s="21">
        <v>440.8</v>
      </c>
      <c r="M66" s="22">
        <v>0.28000000000000003</v>
      </c>
      <c r="N66" s="21">
        <f t="shared" si="4"/>
        <v>317.37599999999998</v>
      </c>
      <c r="O66" s="21">
        <v>317.38</v>
      </c>
      <c r="P66" s="19" t="s">
        <v>6</v>
      </c>
      <c r="Q66" s="23">
        <v>2</v>
      </c>
      <c r="R66" s="45">
        <v>1.9</v>
      </c>
    </row>
    <row r="67" spans="2:18" x14ac:dyDescent="0.2">
      <c r="B67" s="25">
        <v>64</v>
      </c>
      <c r="C67" s="18">
        <v>43894</v>
      </c>
      <c r="D67" s="24">
        <f t="shared" si="0"/>
        <v>2020</v>
      </c>
      <c r="E67" s="24" t="str">
        <f t="shared" si="1"/>
        <v>Q1</v>
      </c>
      <c r="F67" s="24" t="str">
        <f t="shared" si="2"/>
        <v>Mar</v>
      </c>
      <c r="G67" s="24">
        <f t="shared" si="3"/>
        <v>3</v>
      </c>
      <c r="H67" s="19">
        <v>1166</v>
      </c>
      <c r="I67" s="19" t="s">
        <v>7</v>
      </c>
      <c r="J67" s="19" t="s">
        <v>5</v>
      </c>
      <c r="K67" s="20">
        <v>6</v>
      </c>
      <c r="L67" s="21">
        <v>122.49</v>
      </c>
      <c r="M67" s="22">
        <v>0.16</v>
      </c>
      <c r="N67" s="21">
        <f t="shared" si="4"/>
        <v>102.8916</v>
      </c>
      <c r="O67" s="21">
        <v>617.35</v>
      </c>
      <c r="P67" s="19" t="s">
        <v>6</v>
      </c>
      <c r="Q67" s="23">
        <v>8</v>
      </c>
      <c r="R67" s="45">
        <v>3.4</v>
      </c>
    </row>
    <row r="68" spans="2:18" x14ac:dyDescent="0.2">
      <c r="B68" s="25">
        <v>65</v>
      </c>
      <c r="C68" s="18">
        <v>43895</v>
      </c>
      <c r="D68" s="24">
        <f t="shared" ref="D68:D131" si="5">YEAR(C68)</f>
        <v>2020</v>
      </c>
      <c r="E68" s="24" t="str">
        <f t="shared" ref="E68:E131" si="6">"Q"&amp;ROUNDUP(MONTH(C68)/3,0)</f>
        <v>Q1</v>
      </c>
      <c r="F68" s="24" t="str">
        <f t="shared" ref="F68:F131" si="7">TEXT(C68,"mmm")</f>
        <v>Mar</v>
      </c>
      <c r="G68" s="24">
        <f t="shared" ref="G68:G131" si="8">MONTH(C68)</f>
        <v>3</v>
      </c>
      <c r="H68" s="19">
        <v>1273</v>
      </c>
      <c r="I68" s="19" t="s">
        <v>7</v>
      </c>
      <c r="J68" s="19" t="s">
        <v>1</v>
      </c>
      <c r="K68" s="20">
        <v>6</v>
      </c>
      <c r="L68" s="21">
        <v>314.22000000000003</v>
      </c>
      <c r="M68" s="22">
        <v>0.05</v>
      </c>
      <c r="N68" s="21">
        <f t="shared" si="4"/>
        <v>298.50900000000001</v>
      </c>
      <c r="O68" s="21">
        <v>1791.05</v>
      </c>
      <c r="P68" s="19" t="s">
        <v>2</v>
      </c>
      <c r="Q68" s="23">
        <v>3</v>
      </c>
      <c r="R68" s="45">
        <v>2.4</v>
      </c>
    </row>
    <row r="69" spans="2:18" x14ac:dyDescent="0.2">
      <c r="B69" s="25">
        <v>66</v>
      </c>
      <c r="C69" s="18">
        <v>43896</v>
      </c>
      <c r="D69" s="24">
        <f t="shared" si="5"/>
        <v>2020</v>
      </c>
      <c r="E69" s="24" t="str">
        <f t="shared" si="6"/>
        <v>Q1</v>
      </c>
      <c r="F69" s="24" t="str">
        <f t="shared" si="7"/>
        <v>Mar</v>
      </c>
      <c r="G69" s="24">
        <f t="shared" si="8"/>
        <v>3</v>
      </c>
      <c r="H69" s="19">
        <v>1387</v>
      </c>
      <c r="I69" s="19" t="s">
        <v>10</v>
      </c>
      <c r="J69" s="19" t="s">
        <v>1</v>
      </c>
      <c r="K69" s="20">
        <v>4</v>
      </c>
      <c r="L69" s="21">
        <v>69.56</v>
      </c>
      <c r="M69" s="22">
        <v>0.25</v>
      </c>
      <c r="N69" s="21">
        <f t="shared" ref="N69:N132" si="9">L69-(L69*M69)</f>
        <v>52.17</v>
      </c>
      <c r="O69" s="21">
        <v>208.68</v>
      </c>
      <c r="P69" s="19" t="s">
        <v>2</v>
      </c>
      <c r="Q69" s="23">
        <v>1</v>
      </c>
      <c r="R69" s="45">
        <v>3.1</v>
      </c>
    </row>
    <row r="70" spans="2:18" x14ac:dyDescent="0.2">
      <c r="B70" s="25">
        <v>67</v>
      </c>
      <c r="C70" s="18">
        <v>43897</v>
      </c>
      <c r="D70" s="24">
        <f t="shared" si="5"/>
        <v>2020</v>
      </c>
      <c r="E70" s="24" t="str">
        <f t="shared" si="6"/>
        <v>Q1</v>
      </c>
      <c r="F70" s="24" t="str">
        <f t="shared" si="7"/>
        <v>Mar</v>
      </c>
      <c r="G70" s="24">
        <f t="shared" si="8"/>
        <v>3</v>
      </c>
      <c r="H70" s="19">
        <v>1600</v>
      </c>
      <c r="I70" s="19" t="s">
        <v>10</v>
      </c>
      <c r="J70" s="19" t="s">
        <v>9</v>
      </c>
      <c r="K70" s="20">
        <v>6</v>
      </c>
      <c r="L70" s="21">
        <v>553.72</v>
      </c>
      <c r="M70" s="22">
        <v>7.0000000000000007E-2</v>
      </c>
      <c r="N70" s="21">
        <f t="shared" si="9"/>
        <v>514.95960000000002</v>
      </c>
      <c r="O70" s="21">
        <v>3089.76</v>
      </c>
      <c r="P70" s="19" t="s">
        <v>4</v>
      </c>
      <c r="Q70" s="23">
        <v>7</v>
      </c>
      <c r="R70" s="45">
        <v>4.2</v>
      </c>
    </row>
    <row r="71" spans="2:18" x14ac:dyDescent="0.2">
      <c r="B71" s="25">
        <v>68</v>
      </c>
      <c r="C71" s="18">
        <v>43898</v>
      </c>
      <c r="D71" s="24">
        <f t="shared" si="5"/>
        <v>2020</v>
      </c>
      <c r="E71" s="24" t="str">
        <f t="shared" si="6"/>
        <v>Q1</v>
      </c>
      <c r="F71" s="24" t="str">
        <f t="shared" si="7"/>
        <v>Mar</v>
      </c>
      <c r="G71" s="24">
        <f t="shared" si="8"/>
        <v>3</v>
      </c>
      <c r="H71" s="19">
        <v>1315</v>
      </c>
      <c r="I71" s="19" t="s">
        <v>0</v>
      </c>
      <c r="J71" s="19" t="s">
        <v>5</v>
      </c>
      <c r="K71" s="20">
        <v>7</v>
      </c>
      <c r="L71" s="21">
        <v>216.22</v>
      </c>
      <c r="M71" s="22">
        <v>0.26</v>
      </c>
      <c r="N71" s="21">
        <f t="shared" si="9"/>
        <v>160.00280000000001</v>
      </c>
      <c r="O71" s="21">
        <v>1120.02</v>
      </c>
      <c r="P71" s="19" t="s">
        <v>4</v>
      </c>
      <c r="Q71" s="23">
        <v>1</v>
      </c>
      <c r="R71" s="45">
        <v>4.2</v>
      </c>
    </row>
    <row r="72" spans="2:18" x14ac:dyDescent="0.2">
      <c r="B72" s="25">
        <v>69</v>
      </c>
      <c r="C72" s="18">
        <v>43899</v>
      </c>
      <c r="D72" s="24">
        <f t="shared" si="5"/>
        <v>2020</v>
      </c>
      <c r="E72" s="24" t="str">
        <f t="shared" si="6"/>
        <v>Q1</v>
      </c>
      <c r="F72" s="24" t="str">
        <f t="shared" si="7"/>
        <v>Mar</v>
      </c>
      <c r="G72" s="24">
        <f t="shared" si="8"/>
        <v>3</v>
      </c>
      <c r="H72" s="19">
        <v>1013</v>
      </c>
      <c r="I72" s="19" t="s">
        <v>10</v>
      </c>
      <c r="J72" s="19" t="s">
        <v>9</v>
      </c>
      <c r="K72" s="20">
        <v>4</v>
      </c>
      <c r="L72" s="21">
        <v>546.26</v>
      </c>
      <c r="M72" s="22">
        <v>0.17</v>
      </c>
      <c r="N72" s="21">
        <f t="shared" si="9"/>
        <v>453.39580000000001</v>
      </c>
      <c r="O72" s="21">
        <v>1813.58</v>
      </c>
      <c r="P72" s="19" t="s">
        <v>6</v>
      </c>
      <c r="Q72" s="23">
        <v>11</v>
      </c>
      <c r="R72" s="45">
        <v>3.8</v>
      </c>
    </row>
    <row r="73" spans="2:18" x14ac:dyDescent="0.2">
      <c r="B73" s="25">
        <v>70</v>
      </c>
      <c r="C73" s="18">
        <v>43900</v>
      </c>
      <c r="D73" s="24">
        <f t="shared" si="5"/>
        <v>2020</v>
      </c>
      <c r="E73" s="24" t="str">
        <f t="shared" si="6"/>
        <v>Q1</v>
      </c>
      <c r="F73" s="24" t="str">
        <f t="shared" si="7"/>
        <v>Mar</v>
      </c>
      <c r="G73" s="24">
        <f t="shared" si="8"/>
        <v>3</v>
      </c>
      <c r="H73" s="19">
        <v>1241</v>
      </c>
      <c r="I73" s="19" t="s">
        <v>0</v>
      </c>
      <c r="J73" s="19" t="s">
        <v>5</v>
      </c>
      <c r="K73" s="20">
        <v>7</v>
      </c>
      <c r="L73" s="21">
        <v>567.75</v>
      </c>
      <c r="M73" s="22">
        <v>0.16</v>
      </c>
      <c r="N73" s="21">
        <f t="shared" si="9"/>
        <v>476.90999999999997</v>
      </c>
      <c r="O73" s="21">
        <v>3338.37</v>
      </c>
      <c r="P73" s="19" t="s">
        <v>4</v>
      </c>
      <c r="Q73" s="23">
        <v>1</v>
      </c>
      <c r="R73" s="45">
        <v>4.5</v>
      </c>
    </row>
    <row r="74" spans="2:18" x14ac:dyDescent="0.2">
      <c r="B74" s="25">
        <v>71</v>
      </c>
      <c r="C74" s="18">
        <v>43901</v>
      </c>
      <c r="D74" s="24">
        <f t="shared" si="5"/>
        <v>2020</v>
      </c>
      <c r="E74" s="24" t="str">
        <f t="shared" si="6"/>
        <v>Q1</v>
      </c>
      <c r="F74" s="24" t="str">
        <f t="shared" si="7"/>
        <v>Mar</v>
      </c>
      <c r="G74" s="24">
        <f t="shared" si="8"/>
        <v>3</v>
      </c>
      <c r="H74" s="19">
        <v>1776</v>
      </c>
      <c r="I74" s="19" t="s">
        <v>10</v>
      </c>
      <c r="J74" s="19" t="s">
        <v>1</v>
      </c>
      <c r="K74" s="20">
        <v>1</v>
      </c>
      <c r="L74" s="21">
        <v>18.59</v>
      </c>
      <c r="M74" s="22">
        <v>0.3</v>
      </c>
      <c r="N74" s="21">
        <f t="shared" si="9"/>
        <v>13.013</v>
      </c>
      <c r="O74" s="21">
        <v>13.01</v>
      </c>
      <c r="P74" s="19" t="s">
        <v>4</v>
      </c>
      <c r="Q74" s="23">
        <v>1</v>
      </c>
      <c r="R74" s="45">
        <v>1.8</v>
      </c>
    </row>
    <row r="75" spans="2:18" x14ac:dyDescent="0.2">
      <c r="B75" s="25">
        <v>72</v>
      </c>
      <c r="C75" s="18">
        <v>43902</v>
      </c>
      <c r="D75" s="24">
        <f t="shared" si="5"/>
        <v>2020</v>
      </c>
      <c r="E75" s="24" t="str">
        <f t="shared" si="6"/>
        <v>Q1</v>
      </c>
      <c r="F75" s="24" t="str">
        <f t="shared" si="7"/>
        <v>Mar</v>
      </c>
      <c r="G75" s="24">
        <f t="shared" si="8"/>
        <v>3</v>
      </c>
      <c r="H75" s="19">
        <v>1345</v>
      </c>
      <c r="I75" s="19" t="s">
        <v>7</v>
      </c>
      <c r="J75" s="19" t="s">
        <v>9</v>
      </c>
      <c r="K75" s="20">
        <v>3</v>
      </c>
      <c r="L75" s="21">
        <v>286.52</v>
      </c>
      <c r="M75" s="22">
        <v>0.25</v>
      </c>
      <c r="N75" s="21">
        <f t="shared" si="9"/>
        <v>214.89</v>
      </c>
      <c r="O75" s="21">
        <v>644.66999999999996</v>
      </c>
      <c r="P75" s="19" t="s">
        <v>4</v>
      </c>
      <c r="Q75" s="23">
        <v>4</v>
      </c>
      <c r="R75" s="45">
        <v>1.7</v>
      </c>
    </row>
    <row r="76" spans="2:18" x14ac:dyDescent="0.2">
      <c r="B76" s="25">
        <v>73</v>
      </c>
      <c r="C76" s="18">
        <v>43903</v>
      </c>
      <c r="D76" s="24">
        <f t="shared" si="5"/>
        <v>2020</v>
      </c>
      <c r="E76" s="24" t="str">
        <f t="shared" si="6"/>
        <v>Q1</v>
      </c>
      <c r="F76" s="24" t="str">
        <f t="shared" si="7"/>
        <v>Mar</v>
      </c>
      <c r="G76" s="24">
        <f t="shared" si="8"/>
        <v>3</v>
      </c>
      <c r="H76" s="19">
        <v>1564</v>
      </c>
      <c r="I76" s="19" t="s">
        <v>7</v>
      </c>
      <c r="J76" s="19" t="s">
        <v>9</v>
      </c>
      <c r="K76" s="20">
        <v>3</v>
      </c>
      <c r="L76" s="21">
        <v>29.42</v>
      </c>
      <c r="M76" s="22">
        <v>0.01</v>
      </c>
      <c r="N76" s="21">
        <f t="shared" si="9"/>
        <v>29.125800000000002</v>
      </c>
      <c r="O76" s="21">
        <v>87.38</v>
      </c>
      <c r="P76" s="19" t="s">
        <v>2</v>
      </c>
      <c r="Q76" s="23">
        <v>4</v>
      </c>
      <c r="R76" s="45">
        <v>4.2</v>
      </c>
    </row>
    <row r="77" spans="2:18" x14ac:dyDescent="0.2">
      <c r="B77" s="25">
        <v>74</v>
      </c>
      <c r="C77" s="18">
        <v>43904</v>
      </c>
      <c r="D77" s="24">
        <f t="shared" si="5"/>
        <v>2020</v>
      </c>
      <c r="E77" s="24" t="str">
        <f t="shared" si="6"/>
        <v>Q1</v>
      </c>
      <c r="F77" s="24" t="str">
        <f t="shared" si="7"/>
        <v>Mar</v>
      </c>
      <c r="G77" s="24">
        <f t="shared" si="8"/>
        <v>3</v>
      </c>
      <c r="H77" s="19">
        <v>1897</v>
      </c>
      <c r="I77" s="19" t="s">
        <v>10</v>
      </c>
      <c r="J77" s="19" t="s">
        <v>5</v>
      </c>
      <c r="K77" s="20">
        <v>2</v>
      </c>
      <c r="L77" s="21">
        <v>546.59</v>
      </c>
      <c r="M77" s="22">
        <v>0.1</v>
      </c>
      <c r="N77" s="21">
        <f t="shared" si="9"/>
        <v>491.93100000000004</v>
      </c>
      <c r="O77" s="21">
        <v>983.86</v>
      </c>
      <c r="P77" s="19" t="s">
        <v>4</v>
      </c>
      <c r="Q77" s="23">
        <v>10</v>
      </c>
      <c r="R77" s="45">
        <v>2.2999999999999998</v>
      </c>
    </row>
    <row r="78" spans="2:18" x14ac:dyDescent="0.2">
      <c r="B78" s="25">
        <v>75</v>
      </c>
      <c r="C78" s="18">
        <v>43905</v>
      </c>
      <c r="D78" s="24">
        <f t="shared" si="5"/>
        <v>2020</v>
      </c>
      <c r="E78" s="24" t="str">
        <f t="shared" si="6"/>
        <v>Q1</v>
      </c>
      <c r="F78" s="24" t="str">
        <f t="shared" si="7"/>
        <v>Mar</v>
      </c>
      <c r="G78" s="24">
        <f t="shared" si="8"/>
        <v>3</v>
      </c>
      <c r="H78" s="19">
        <v>1339</v>
      </c>
      <c r="I78" s="19" t="s">
        <v>3</v>
      </c>
      <c r="J78" s="19" t="s">
        <v>8</v>
      </c>
      <c r="K78" s="20">
        <v>1</v>
      </c>
      <c r="L78" s="21">
        <v>318.27</v>
      </c>
      <c r="M78" s="22">
        <v>0.3</v>
      </c>
      <c r="N78" s="21">
        <f t="shared" si="9"/>
        <v>222.78899999999999</v>
      </c>
      <c r="O78" s="21">
        <v>222.79</v>
      </c>
      <c r="P78" s="19" t="s">
        <v>6</v>
      </c>
      <c r="Q78" s="23">
        <v>11</v>
      </c>
      <c r="R78" s="45">
        <v>3</v>
      </c>
    </row>
    <row r="79" spans="2:18" x14ac:dyDescent="0.2">
      <c r="B79" s="25">
        <v>76</v>
      </c>
      <c r="C79" s="18">
        <v>43906</v>
      </c>
      <c r="D79" s="24">
        <f t="shared" si="5"/>
        <v>2020</v>
      </c>
      <c r="E79" s="24" t="str">
        <f t="shared" si="6"/>
        <v>Q1</v>
      </c>
      <c r="F79" s="24" t="str">
        <f t="shared" si="7"/>
        <v>Mar</v>
      </c>
      <c r="G79" s="24">
        <f t="shared" si="8"/>
        <v>3</v>
      </c>
      <c r="H79" s="19">
        <v>1091</v>
      </c>
      <c r="I79" s="19" t="s">
        <v>7</v>
      </c>
      <c r="J79" s="19" t="s">
        <v>5</v>
      </c>
      <c r="K79" s="20">
        <v>6</v>
      </c>
      <c r="L79" s="21">
        <v>58.84</v>
      </c>
      <c r="M79" s="22">
        <v>0.01</v>
      </c>
      <c r="N79" s="21">
        <f t="shared" si="9"/>
        <v>58.251600000000003</v>
      </c>
      <c r="O79" s="21">
        <v>349.51</v>
      </c>
      <c r="P79" s="19" t="s">
        <v>4</v>
      </c>
      <c r="Q79" s="23">
        <v>6</v>
      </c>
      <c r="R79" s="45">
        <v>4</v>
      </c>
    </row>
    <row r="80" spans="2:18" x14ac:dyDescent="0.2">
      <c r="B80" s="25">
        <v>77</v>
      </c>
      <c r="C80" s="18">
        <v>43907</v>
      </c>
      <c r="D80" s="24">
        <f t="shared" si="5"/>
        <v>2020</v>
      </c>
      <c r="E80" s="24" t="str">
        <f t="shared" si="6"/>
        <v>Q1</v>
      </c>
      <c r="F80" s="24" t="str">
        <f t="shared" si="7"/>
        <v>Mar</v>
      </c>
      <c r="G80" s="24">
        <f t="shared" si="8"/>
        <v>3</v>
      </c>
      <c r="H80" s="19">
        <v>1366</v>
      </c>
      <c r="I80" s="19" t="s">
        <v>3</v>
      </c>
      <c r="J80" s="19" t="s">
        <v>8</v>
      </c>
      <c r="K80" s="20">
        <v>1</v>
      </c>
      <c r="L80" s="21">
        <v>79.510000000000005</v>
      </c>
      <c r="M80" s="22">
        <v>0.19</v>
      </c>
      <c r="N80" s="21">
        <f t="shared" si="9"/>
        <v>64.403100000000009</v>
      </c>
      <c r="O80" s="21">
        <v>64.400000000000006</v>
      </c>
      <c r="P80" s="19" t="s">
        <v>4</v>
      </c>
      <c r="Q80" s="23">
        <v>10</v>
      </c>
      <c r="R80" s="45">
        <v>2.6</v>
      </c>
    </row>
    <row r="81" spans="2:18" x14ac:dyDescent="0.2">
      <c r="B81" s="25">
        <v>78</v>
      </c>
      <c r="C81" s="18">
        <v>43908</v>
      </c>
      <c r="D81" s="24">
        <f t="shared" si="5"/>
        <v>2020</v>
      </c>
      <c r="E81" s="24" t="str">
        <f t="shared" si="6"/>
        <v>Q1</v>
      </c>
      <c r="F81" s="24" t="str">
        <f t="shared" si="7"/>
        <v>Mar</v>
      </c>
      <c r="G81" s="24">
        <f t="shared" si="8"/>
        <v>3</v>
      </c>
      <c r="H81" s="19">
        <v>1955</v>
      </c>
      <c r="I81" s="19" t="s">
        <v>0</v>
      </c>
      <c r="J81" s="19" t="s">
        <v>5</v>
      </c>
      <c r="K81" s="20">
        <v>5</v>
      </c>
      <c r="L81" s="21">
        <v>239.35</v>
      </c>
      <c r="M81" s="22">
        <v>0.25</v>
      </c>
      <c r="N81" s="21">
        <f t="shared" si="9"/>
        <v>179.51249999999999</v>
      </c>
      <c r="O81" s="21">
        <v>897.56</v>
      </c>
      <c r="P81" s="19" t="s">
        <v>4</v>
      </c>
      <c r="Q81" s="23">
        <v>3</v>
      </c>
      <c r="R81" s="45">
        <v>1.5</v>
      </c>
    </row>
    <row r="82" spans="2:18" x14ac:dyDescent="0.2">
      <c r="B82" s="25">
        <v>79</v>
      </c>
      <c r="C82" s="18">
        <v>43909</v>
      </c>
      <c r="D82" s="24">
        <f t="shared" si="5"/>
        <v>2020</v>
      </c>
      <c r="E82" s="24" t="str">
        <f t="shared" si="6"/>
        <v>Q1</v>
      </c>
      <c r="F82" s="24" t="str">
        <f t="shared" si="7"/>
        <v>Mar</v>
      </c>
      <c r="G82" s="24">
        <f t="shared" si="8"/>
        <v>3</v>
      </c>
      <c r="H82" s="19">
        <v>1454</v>
      </c>
      <c r="I82" s="19" t="s">
        <v>3</v>
      </c>
      <c r="J82" s="19" t="s">
        <v>1</v>
      </c>
      <c r="K82" s="20">
        <v>3</v>
      </c>
      <c r="L82" s="21">
        <v>565.04</v>
      </c>
      <c r="M82" s="22">
        <v>0.22</v>
      </c>
      <c r="N82" s="21">
        <f t="shared" si="9"/>
        <v>440.73119999999994</v>
      </c>
      <c r="O82" s="21">
        <v>1322.19</v>
      </c>
      <c r="P82" s="19" t="s">
        <v>4</v>
      </c>
      <c r="Q82" s="23">
        <v>10</v>
      </c>
      <c r="R82" s="45">
        <v>3.7</v>
      </c>
    </row>
    <row r="83" spans="2:18" x14ac:dyDescent="0.2">
      <c r="B83" s="25">
        <v>80</v>
      </c>
      <c r="C83" s="18">
        <v>43910</v>
      </c>
      <c r="D83" s="24">
        <f t="shared" si="5"/>
        <v>2020</v>
      </c>
      <c r="E83" s="24" t="str">
        <f t="shared" si="6"/>
        <v>Q1</v>
      </c>
      <c r="F83" s="24" t="str">
        <f t="shared" si="7"/>
        <v>Mar</v>
      </c>
      <c r="G83" s="24">
        <f t="shared" si="8"/>
        <v>3</v>
      </c>
      <c r="H83" s="19">
        <v>1427</v>
      </c>
      <c r="I83" s="19" t="s">
        <v>3</v>
      </c>
      <c r="J83" s="19" t="s">
        <v>9</v>
      </c>
      <c r="K83" s="20">
        <v>6</v>
      </c>
      <c r="L83" s="21">
        <v>420.35</v>
      </c>
      <c r="M83" s="22">
        <v>0.27</v>
      </c>
      <c r="N83" s="21">
        <f t="shared" si="9"/>
        <v>306.85550000000001</v>
      </c>
      <c r="O83" s="21">
        <v>1841.13</v>
      </c>
      <c r="P83" s="19" t="s">
        <v>2</v>
      </c>
      <c r="Q83" s="23">
        <v>6</v>
      </c>
      <c r="R83" s="45">
        <v>4.3</v>
      </c>
    </row>
    <row r="84" spans="2:18" x14ac:dyDescent="0.2">
      <c r="B84" s="25">
        <v>81</v>
      </c>
      <c r="C84" s="18">
        <v>43911</v>
      </c>
      <c r="D84" s="24">
        <f t="shared" si="5"/>
        <v>2020</v>
      </c>
      <c r="E84" s="24" t="str">
        <f t="shared" si="6"/>
        <v>Q1</v>
      </c>
      <c r="F84" s="24" t="str">
        <f t="shared" si="7"/>
        <v>Mar</v>
      </c>
      <c r="G84" s="24">
        <f t="shared" si="8"/>
        <v>3</v>
      </c>
      <c r="H84" s="19">
        <v>1508</v>
      </c>
      <c r="I84" s="19" t="s">
        <v>3</v>
      </c>
      <c r="J84" s="19" t="s">
        <v>5</v>
      </c>
      <c r="K84" s="20">
        <v>7</v>
      </c>
      <c r="L84" s="21">
        <v>522.55999999999995</v>
      </c>
      <c r="M84" s="22">
        <v>0.25</v>
      </c>
      <c r="N84" s="21">
        <f t="shared" si="9"/>
        <v>391.91999999999996</v>
      </c>
      <c r="O84" s="21">
        <v>2743.44</v>
      </c>
      <c r="P84" s="19" t="s">
        <v>2</v>
      </c>
      <c r="Q84" s="23">
        <v>7</v>
      </c>
      <c r="R84" s="45">
        <v>1.1000000000000001</v>
      </c>
    </row>
    <row r="85" spans="2:18" x14ac:dyDescent="0.2">
      <c r="B85" s="25">
        <v>82</v>
      </c>
      <c r="C85" s="18">
        <v>43912</v>
      </c>
      <c r="D85" s="24">
        <f t="shared" si="5"/>
        <v>2020</v>
      </c>
      <c r="E85" s="24" t="str">
        <f t="shared" si="6"/>
        <v>Q1</v>
      </c>
      <c r="F85" s="24" t="str">
        <f t="shared" si="7"/>
        <v>Mar</v>
      </c>
      <c r="G85" s="24">
        <f t="shared" si="8"/>
        <v>3</v>
      </c>
      <c r="H85" s="19">
        <v>1775</v>
      </c>
      <c r="I85" s="19" t="s">
        <v>7</v>
      </c>
      <c r="J85" s="19" t="s">
        <v>1</v>
      </c>
      <c r="K85" s="20">
        <v>7</v>
      </c>
      <c r="L85" s="21">
        <v>229.38</v>
      </c>
      <c r="M85" s="22">
        <v>0.24</v>
      </c>
      <c r="N85" s="21">
        <f t="shared" si="9"/>
        <v>174.3288</v>
      </c>
      <c r="O85" s="21">
        <v>1220.3</v>
      </c>
      <c r="P85" s="19" t="s">
        <v>6</v>
      </c>
      <c r="Q85" s="23">
        <v>11</v>
      </c>
      <c r="R85" s="45">
        <v>3.3</v>
      </c>
    </row>
    <row r="86" spans="2:18" x14ac:dyDescent="0.2">
      <c r="B86" s="25">
        <v>83</v>
      </c>
      <c r="C86" s="18">
        <v>43913</v>
      </c>
      <c r="D86" s="24">
        <f t="shared" si="5"/>
        <v>2020</v>
      </c>
      <c r="E86" s="24" t="str">
        <f t="shared" si="6"/>
        <v>Q1</v>
      </c>
      <c r="F86" s="24" t="str">
        <f t="shared" si="7"/>
        <v>Mar</v>
      </c>
      <c r="G86" s="24">
        <f t="shared" si="8"/>
        <v>3</v>
      </c>
      <c r="H86" s="19">
        <v>1942</v>
      </c>
      <c r="I86" s="19" t="s">
        <v>3</v>
      </c>
      <c r="J86" s="19" t="s">
        <v>5</v>
      </c>
      <c r="K86" s="20">
        <v>3</v>
      </c>
      <c r="L86" s="21">
        <v>40.28</v>
      </c>
      <c r="M86" s="22">
        <v>0.28999999999999998</v>
      </c>
      <c r="N86" s="21">
        <f t="shared" si="9"/>
        <v>28.598800000000004</v>
      </c>
      <c r="O86" s="21">
        <v>85.8</v>
      </c>
      <c r="P86" s="19" t="s">
        <v>4</v>
      </c>
      <c r="Q86" s="23">
        <v>1</v>
      </c>
      <c r="R86" s="45">
        <v>2.9</v>
      </c>
    </row>
    <row r="87" spans="2:18" x14ac:dyDescent="0.2">
      <c r="B87" s="25">
        <v>84</v>
      </c>
      <c r="C87" s="18">
        <v>43914</v>
      </c>
      <c r="D87" s="24">
        <f t="shared" si="5"/>
        <v>2020</v>
      </c>
      <c r="E87" s="24" t="str">
        <f t="shared" si="6"/>
        <v>Q1</v>
      </c>
      <c r="F87" s="24" t="str">
        <f t="shared" si="7"/>
        <v>Mar</v>
      </c>
      <c r="G87" s="24">
        <f t="shared" si="8"/>
        <v>3</v>
      </c>
      <c r="H87" s="19">
        <v>1034</v>
      </c>
      <c r="I87" s="19" t="s">
        <v>3</v>
      </c>
      <c r="J87" s="19" t="s">
        <v>9</v>
      </c>
      <c r="K87" s="20">
        <v>1</v>
      </c>
      <c r="L87" s="21">
        <v>584.98</v>
      </c>
      <c r="M87" s="22">
        <v>0.23</v>
      </c>
      <c r="N87" s="21">
        <f t="shared" si="9"/>
        <v>450.43460000000005</v>
      </c>
      <c r="O87" s="21">
        <v>450.43</v>
      </c>
      <c r="P87" s="19" t="s">
        <v>6</v>
      </c>
      <c r="Q87" s="23">
        <v>6</v>
      </c>
      <c r="R87" s="45">
        <v>2</v>
      </c>
    </row>
    <row r="88" spans="2:18" x14ac:dyDescent="0.2">
      <c r="B88" s="25">
        <v>85</v>
      </c>
      <c r="C88" s="18">
        <v>43915</v>
      </c>
      <c r="D88" s="24">
        <f t="shared" si="5"/>
        <v>2020</v>
      </c>
      <c r="E88" s="24" t="str">
        <f t="shared" si="6"/>
        <v>Q1</v>
      </c>
      <c r="F88" s="24" t="str">
        <f t="shared" si="7"/>
        <v>Mar</v>
      </c>
      <c r="G88" s="24">
        <f t="shared" si="8"/>
        <v>3</v>
      </c>
      <c r="H88" s="19">
        <v>1205</v>
      </c>
      <c r="I88" s="19" t="s">
        <v>7</v>
      </c>
      <c r="J88" s="19" t="s">
        <v>5</v>
      </c>
      <c r="K88" s="20">
        <v>6</v>
      </c>
      <c r="L88" s="21">
        <v>25.05</v>
      </c>
      <c r="M88" s="22">
        <v>0.14000000000000001</v>
      </c>
      <c r="N88" s="21">
        <f t="shared" si="9"/>
        <v>21.542999999999999</v>
      </c>
      <c r="O88" s="21">
        <v>129.26</v>
      </c>
      <c r="P88" s="19" t="s">
        <v>4</v>
      </c>
      <c r="Q88" s="23">
        <v>10</v>
      </c>
      <c r="R88" s="45">
        <v>1.6</v>
      </c>
    </row>
    <row r="89" spans="2:18" x14ac:dyDescent="0.2">
      <c r="B89" s="25">
        <v>86</v>
      </c>
      <c r="C89" s="18">
        <v>43916</v>
      </c>
      <c r="D89" s="24">
        <f t="shared" si="5"/>
        <v>2020</v>
      </c>
      <c r="E89" s="24" t="str">
        <f t="shared" si="6"/>
        <v>Q1</v>
      </c>
      <c r="F89" s="24" t="str">
        <f t="shared" si="7"/>
        <v>Mar</v>
      </c>
      <c r="G89" s="24">
        <f t="shared" si="8"/>
        <v>3</v>
      </c>
      <c r="H89" s="19">
        <v>1080</v>
      </c>
      <c r="I89" s="19" t="s">
        <v>10</v>
      </c>
      <c r="J89" s="19" t="s">
        <v>8</v>
      </c>
      <c r="K89" s="20">
        <v>2</v>
      </c>
      <c r="L89" s="21">
        <v>569.38</v>
      </c>
      <c r="M89" s="22">
        <v>0.17</v>
      </c>
      <c r="N89" s="21">
        <f t="shared" si="9"/>
        <v>472.58539999999999</v>
      </c>
      <c r="O89" s="21">
        <v>945.17</v>
      </c>
      <c r="P89" s="19" t="s">
        <v>4</v>
      </c>
      <c r="Q89" s="23">
        <v>1</v>
      </c>
      <c r="R89" s="45">
        <v>1.8</v>
      </c>
    </row>
    <row r="90" spans="2:18" x14ac:dyDescent="0.2">
      <c r="B90" s="25">
        <v>87</v>
      </c>
      <c r="C90" s="18">
        <v>43917</v>
      </c>
      <c r="D90" s="24">
        <f t="shared" si="5"/>
        <v>2020</v>
      </c>
      <c r="E90" s="24" t="str">
        <f t="shared" si="6"/>
        <v>Q1</v>
      </c>
      <c r="F90" s="24" t="str">
        <f t="shared" si="7"/>
        <v>Mar</v>
      </c>
      <c r="G90" s="24">
        <f t="shared" si="8"/>
        <v>3</v>
      </c>
      <c r="H90" s="19">
        <v>1931</v>
      </c>
      <c r="I90" s="19" t="s">
        <v>3</v>
      </c>
      <c r="J90" s="19" t="s">
        <v>9</v>
      </c>
      <c r="K90" s="20">
        <v>7</v>
      </c>
      <c r="L90" s="21">
        <v>230.68</v>
      </c>
      <c r="M90" s="22">
        <v>0.25</v>
      </c>
      <c r="N90" s="21">
        <f t="shared" si="9"/>
        <v>173.01</v>
      </c>
      <c r="O90" s="21">
        <v>1211.07</v>
      </c>
      <c r="P90" s="19" t="s">
        <v>6</v>
      </c>
      <c r="Q90" s="23">
        <v>7</v>
      </c>
      <c r="R90" s="45">
        <v>3.9</v>
      </c>
    </row>
    <row r="91" spans="2:18" x14ac:dyDescent="0.2">
      <c r="B91" s="25">
        <v>88</v>
      </c>
      <c r="C91" s="18">
        <v>43918</v>
      </c>
      <c r="D91" s="24">
        <f t="shared" si="5"/>
        <v>2020</v>
      </c>
      <c r="E91" s="24" t="str">
        <f t="shared" si="6"/>
        <v>Q1</v>
      </c>
      <c r="F91" s="24" t="str">
        <f t="shared" si="7"/>
        <v>Mar</v>
      </c>
      <c r="G91" s="24">
        <f t="shared" si="8"/>
        <v>3</v>
      </c>
      <c r="H91" s="19">
        <v>1561</v>
      </c>
      <c r="I91" s="19" t="s">
        <v>10</v>
      </c>
      <c r="J91" s="19" t="s">
        <v>8</v>
      </c>
      <c r="K91" s="20">
        <v>1</v>
      </c>
      <c r="L91" s="21">
        <v>20.9</v>
      </c>
      <c r="M91" s="22">
        <v>0.31</v>
      </c>
      <c r="N91" s="21">
        <f t="shared" si="9"/>
        <v>14.420999999999999</v>
      </c>
      <c r="O91" s="21">
        <v>14.42</v>
      </c>
      <c r="P91" s="19" t="s">
        <v>6</v>
      </c>
      <c r="Q91" s="23">
        <v>10</v>
      </c>
      <c r="R91" s="45">
        <v>3.1</v>
      </c>
    </row>
    <row r="92" spans="2:18" x14ac:dyDescent="0.2">
      <c r="B92" s="25">
        <v>89</v>
      </c>
      <c r="C92" s="18">
        <v>43919</v>
      </c>
      <c r="D92" s="24">
        <f t="shared" si="5"/>
        <v>2020</v>
      </c>
      <c r="E92" s="24" t="str">
        <f t="shared" si="6"/>
        <v>Q1</v>
      </c>
      <c r="F92" s="24" t="str">
        <f t="shared" si="7"/>
        <v>Mar</v>
      </c>
      <c r="G92" s="24">
        <f t="shared" si="8"/>
        <v>3</v>
      </c>
      <c r="H92" s="19">
        <v>1871</v>
      </c>
      <c r="I92" s="19" t="s">
        <v>0</v>
      </c>
      <c r="J92" s="19" t="s">
        <v>1</v>
      </c>
      <c r="K92" s="20">
        <v>2</v>
      </c>
      <c r="L92" s="21">
        <v>418.16</v>
      </c>
      <c r="M92" s="22">
        <v>0.1</v>
      </c>
      <c r="N92" s="21">
        <f t="shared" si="9"/>
        <v>376.34400000000005</v>
      </c>
      <c r="O92" s="21">
        <v>752.69</v>
      </c>
      <c r="P92" s="19" t="s">
        <v>4</v>
      </c>
      <c r="Q92" s="23">
        <v>5</v>
      </c>
      <c r="R92" s="45">
        <v>4.9000000000000004</v>
      </c>
    </row>
    <row r="93" spans="2:18" x14ac:dyDescent="0.2">
      <c r="B93" s="25">
        <v>90</v>
      </c>
      <c r="C93" s="18">
        <v>43920</v>
      </c>
      <c r="D93" s="24">
        <f t="shared" si="5"/>
        <v>2020</v>
      </c>
      <c r="E93" s="24" t="str">
        <f t="shared" si="6"/>
        <v>Q1</v>
      </c>
      <c r="F93" s="24" t="str">
        <f t="shared" si="7"/>
        <v>Mar</v>
      </c>
      <c r="G93" s="24">
        <f t="shared" si="8"/>
        <v>3</v>
      </c>
      <c r="H93" s="19">
        <v>1387</v>
      </c>
      <c r="I93" s="19" t="s">
        <v>7</v>
      </c>
      <c r="J93" s="19" t="s">
        <v>1</v>
      </c>
      <c r="K93" s="20">
        <v>6</v>
      </c>
      <c r="L93" s="21">
        <v>588.62</v>
      </c>
      <c r="M93" s="22">
        <v>0.12</v>
      </c>
      <c r="N93" s="21">
        <f t="shared" si="9"/>
        <v>517.98559999999998</v>
      </c>
      <c r="O93" s="21">
        <v>3107.91</v>
      </c>
      <c r="P93" s="19" t="s">
        <v>4</v>
      </c>
      <c r="Q93" s="23">
        <v>10</v>
      </c>
      <c r="R93" s="45">
        <v>2</v>
      </c>
    </row>
    <row r="94" spans="2:18" x14ac:dyDescent="0.2">
      <c r="B94" s="25">
        <v>91</v>
      </c>
      <c r="C94" s="18">
        <v>43921</v>
      </c>
      <c r="D94" s="24">
        <f t="shared" si="5"/>
        <v>2020</v>
      </c>
      <c r="E94" s="24" t="str">
        <f t="shared" si="6"/>
        <v>Q1</v>
      </c>
      <c r="F94" s="24" t="str">
        <f t="shared" si="7"/>
        <v>Mar</v>
      </c>
      <c r="G94" s="24">
        <f t="shared" si="8"/>
        <v>3</v>
      </c>
      <c r="H94" s="19">
        <v>1001</v>
      </c>
      <c r="I94" s="19" t="s">
        <v>10</v>
      </c>
      <c r="J94" s="19" t="s">
        <v>5</v>
      </c>
      <c r="K94" s="20">
        <v>3</v>
      </c>
      <c r="L94" s="21">
        <v>579.89</v>
      </c>
      <c r="M94" s="22">
        <v>0.33</v>
      </c>
      <c r="N94" s="21">
        <f t="shared" si="9"/>
        <v>388.52629999999999</v>
      </c>
      <c r="O94" s="21">
        <v>1165.58</v>
      </c>
      <c r="P94" s="19" t="s">
        <v>2</v>
      </c>
      <c r="Q94" s="23">
        <v>4</v>
      </c>
      <c r="R94" s="45">
        <v>4.8</v>
      </c>
    </row>
    <row r="95" spans="2:18" x14ac:dyDescent="0.2">
      <c r="B95" s="25">
        <v>92</v>
      </c>
      <c r="C95" s="18">
        <v>43922</v>
      </c>
      <c r="D95" s="24">
        <f t="shared" si="5"/>
        <v>2020</v>
      </c>
      <c r="E95" s="24" t="str">
        <f t="shared" si="6"/>
        <v>Q2</v>
      </c>
      <c r="F95" s="24" t="str">
        <f t="shared" si="7"/>
        <v>Apr</v>
      </c>
      <c r="G95" s="24">
        <f t="shared" si="8"/>
        <v>4</v>
      </c>
      <c r="H95" s="19">
        <v>1389</v>
      </c>
      <c r="I95" s="19" t="s">
        <v>3</v>
      </c>
      <c r="J95" s="19" t="s">
        <v>8</v>
      </c>
      <c r="K95" s="20">
        <v>5</v>
      </c>
      <c r="L95" s="21">
        <v>109.15</v>
      </c>
      <c r="M95" s="22">
        <v>0.2</v>
      </c>
      <c r="N95" s="21">
        <f t="shared" si="9"/>
        <v>87.320000000000007</v>
      </c>
      <c r="O95" s="21">
        <v>436.6</v>
      </c>
      <c r="P95" s="19" t="s">
        <v>4</v>
      </c>
      <c r="Q95" s="23">
        <v>1</v>
      </c>
      <c r="R95" s="45">
        <v>3.1</v>
      </c>
    </row>
    <row r="96" spans="2:18" x14ac:dyDescent="0.2">
      <c r="B96" s="25">
        <v>93</v>
      </c>
      <c r="C96" s="18">
        <v>43923</v>
      </c>
      <c r="D96" s="24">
        <f t="shared" si="5"/>
        <v>2020</v>
      </c>
      <c r="E96" s="24" t="str">
        <f t="shared" si="6"/>
        <v>Q2</v>
      </c>
      <c r="F96" s="24" t="str">
        <f t="shared" si="7"/>
        <v>Apr</v>
      </c>
      <c r="G96" s="24">
        <f t="shared" si="8"/>
        <v>4</v>
      </c>
      <c r="H96" s="19">
        <v>1565</v>
      </c>
      <c r="I96" s="19" t="s">
        <v>0</v>
      </c>
      <c r="J96" s="19" t="s">
        <v>8</v>
      </c>
      <c r="K96" s="20">
        <v>4</v>
      </c>
      <c r="L96" s="21">
        <v>121.03</v>
      </c>
      <c r="M96" s="22">
        <v>0.06</v>
      </c>
      <c r="N96" s="21">
        <f t="shared" si="9"/>
        <v>113.76820000000001</v>
      </c>
      <c r="O96" s="21">
        <v>455.07</v>
      </c>
      <c r="P96" s="19" t="s">
        <v>2</v>
      </c>
      <c r="Q96" s="23">
        <v>9</v>
      </c>
      <c r="R96" s="45">
        <v>1.6</v>
      </c>
    </row>
    <row r="97" spans="2:18" x14ac:dyDescent="0.2">
      <c r="B97" s="25">
        <v>94</v>
      </c>
      <c r="C97" s="18">
        <v>43924</v>
      </c>
      <c r="D97" s="24">
        <f t="shared" si="5"/>
        <v>2020</v>
      </c>
      <c r="E97" s="24" t="str">
        <f t="shared" si="6"/>
        <v>Q2</v>
      </c>
      <c r="F97" s="24" t="str">
        <f t="shared" si="7"/>
        <v>Apr</v>
      </c>
      <c r="G97" s="24">
        <f t="shared" si="8"/>
        <v>4</v>
      </c>
      <c r="H97" s="19">
        <v>1105</v>
      </c>
      <c r="I97" s="19" t="s">
        <v>7</v>
      </c>
      <c r="J97" s="19" t="s">
        <v>9</v>
      </c>
      <c r="K97" s="20">
        <v>3</v>
      </c>
      <c r="L97" s="21">
        <v>345.84</v>
      </c>
      <c r="M97" s="22">
        <v>0.23</v>
      </c>
      <c r="N97" s="21">
        <f t="shared" si="9"/>
        <v>266.29679999999996</v>
      </c>
      <c r="O97" s="21">
        <v>798.89</v>
      </c>
      <c r="P97" s="19" t="s">
        <v>2</v>
      </c>
      <c r="Q97" s="23">
        <v>7</v>
      </c>
      <c r="R97" s="45">
        <v>1.6</v>
      </c>
    </row>
    <row r="98" spans="2:18" x14ac:dyDescent="0.2">
      <c r="B98" s="25">
        <v>95</v>
      </c>
      <c r="C98" s="18">
        <v>43925</v>
      </c>
      <c r="D98" s="24">
        <f t="shared" si="5"/>
        <v>2020</v>
      </c>
      <c r="E98" s="24" t="str">
        <f t="shared" si="6"/>
        <v>Q2</v>
      </c>
      <c r="F98" s="24" t="str">
        <f t="shared" si="7"/>
        <v>Apr</v>
      </c>
      <c r="G98" s="24">
        <f t="shared" si="8"/>
        <v>4</v>
      </c>
      <c r="H98" s="19">
        <v>1771</v>
      </c>
      <c r="I98" s="19" t="s">
        <v>10</v>
      </c>
      <c r="J98" s="19" t="s">
        <v>8</v>
      </c>
      <c r="K98" s="20">
        <v>2</v>
      </c>
      <c r="L98" s="21">
        <v>387.82</v>
      </c>
      <c r="M98" s="22">
        <v>0.35</v>
      </c>
      <c r="N98" s="21">
        <f t="shared" si="9"/>
        <v>252.083</v>
      </c>
      <c r="O98" s="21">
        <v>504.17</v>
      </c>
      <c r="P98" s="19" t="s">
        <v>6</v>
      </c>
      <c r="Q98" s="23">
        <v>2</v>
      </c>
      <c r="R98" s="45">
        <v>3.4</v>
      </c>
    </row>
    <row r="99" spans="2:18" x14ac:dyDescent="0.2">
      <c r="B99" s="25">
        <v>96</v>
      </c>
      <c r="C99" s="18">
        <v>43926</v>
      </c>
      <c r="D99" s="24">
        <f t="shared" si="5"/>
        <v>2020</v>
      </c>
      <c r="E99" s="24" t="str">
        <f t="shared" si="6"/>
        <v>Q2</v>
      </c>
      <c r="F99" s="24" t="str">
        <f t="shared" si="7"/>
        <v>Apr</v>
      </c>
      <c r="G99" s="24">
        <f t="shared" si="8"/>
        <v>4</v>
      </c>
      <c r="H99" s="19">
        <v>1821</v>
      </c>
      <c r="I99" s="19" t="s">
        <v>3</v>
      </c>
      <c r="J99" s="19" t="s">
        <v>8</v>
      </c>
      <c r="K99" s="20">
        <v>1</v>
      </c>
      <c r="L99" s="21">
        <v>447.56</v>
      </c>
      <c r="M99" s="22">
        <v>0.28999999999999998</v>
      </c>
      <c r="N99" s="21">
        <f t="shared" si="9"/>
        <v>317.76760000000002</v>
      </c>
      <c r="O99" s="21">
        <v>317.77</v>
      </c>
      <c r="P99" s="19" t="s">
        <v>4</v>
      </c>
      <c r="Q99" s="23">
        <v>4</v>
      </c>
      <c r="R99" s="45">
        <v>4.3</v>
      </c>
    </row>
    <row r="100" spans="2:18" x14ac:dyDescent="0.2">
      <c r="B100" s="25">
        <v>97</v>
      </c>
      <c r="C100" s="18">
        <v>43927</v>
      </c>
      <c r="D100" s="24">
        <f t="shared" si="5"/>
        <v>2020</v>
      </c>
      <c r="E100" s="24" t="str">
        <f t="shared" si="6"/>
        <v>Q2</v>
      </c>
      <c r="F100" s="24" t="str">
        <f t="shared" si="7"/>
        <v>Apr</v>
      </c>
      <c r="G100" s="24">
        <f t="shared" si="8"/>
        <v>4</v>
      </c>
      <c r="H100" s="19">
        <v>1476</v>
      </c>
      <c r="I100" s="19" t="s">
        <v>7</v>
      </c>
      <c r="J100" s="19" t="s">
        <v>9</v>
      </c>
      <c r="K100" s="20">
        <v>7</v>
      </c>
      <c r="L100" s="21">
        <v>120.91</v>
      </c>
      <c r="M100" s="22">
        <v>0.26</v>
      </c>
      <c r="N100" s="21">
        <f t="shared" si="9"/>
        <v>89.473399999999998</v>
      </c>
      <c r="O100" s="21">
        <v>626.30999999999995</v>
      </c>
      <c r="P100" s="19" t="s">
        <v>6</v>
      </c>
      <c r="Q100" s="23">
        <v>4</v>
      </c>
      <c r="R100" s="45">
        <v>4</v>
      </c>
    </row>
    <row r="101" spans="2:18" x14ac:dyDescent="0.2">
      <c r="B101" s="25">
        <v>98</v>
      </c>
      <c r="C101" s="18">
        <v>43928</v>
      </c>
      <c r="D101" s="24">
        <f t="shared" si="5"/>
        <v>2020</v>
      </c>
      <c r="E101" s="24" t="str">
        <f t="shared" si="6"/>
        <v>Q2</v>
      </c>
      <c r="F101" s="24" t="str">
        <f t="shared" si="7"/>
        <v>Apr</v>
      </c>
      <c r="G101" s="24">
        <f t="shared" si="8"/>
        <v>4</v>
      </c>
      <c r="H101" s="19">
        <v>1702</v>
      </c>
      <c r="I101" s="19" t="s">
        <v>7</v>
      </c>
      <c r="J101" s="19" t="s">
        <v>9</v>
      </c>
      <c r="K101" s="20">
        <v>6</v>
      </c>
      <c r="L101" s="21">
        <v>576.02</v>
      </c>
      <c r="M101" s="22">
        <v>7.0000000000000007E-2</v>
      </c>
      <c r="N101" s="21">
        <f t="shared" si="9"/>
        <v>535.69859999999994</v>
      </c>
      <c r="O101" s="21">
        <v>3214.19</v>
      </c>
      <c r="P101" s="19" t="s">
        <v>4</v>
      </c>
      <c r="Q101" s="23">
        <v>8</v>
      </c>
      <c r="R101" s="45">
        <v>3.6</v>
      </c>
    </row>
    <row r="102" spans="2:18" x14ac:dyDescent="0.2">
      <c r="B102" s="25">
        <v>99</v>
      </c>
      <c r="C102" s="18">
        <v>43929</v>
      </c>
      <c r="D102" s="24">
        <f t="shared" si="5"/>
        <v>2020</v>
      </c>
      <c r="E102" s="24" t="str">
        <f t="shared" si="6"/>
        <v>Q2</v>
      </c>
      <c r="F102" s="24" t="str">
        <f t="shared" si="7"/>
        <v>Apr</v>
      </c>
      <c r="G102" s="24">
        <f t="shared" si="8"/>
        <v>4</v>
      </c>
      <c r="H102" s="19">
        <v>1401</v>
      </c>
      <c r="I102" s="19" t="s">
        <v>10</v>
      </c>
      <c r="J102" s="19" t="s">
        <v>8</v>
      </c>
      <c r="K102" s="20">
        <v>3</v>
      </c>
      <c r="L102" s="21">
        <v>388.66</v>
      </c>
      <c r="M102" s="22">
        <v>0.31</v>
      </c>
      <c r="N102" s="21">
        <f t="shared" si="9"/>
        <v>268.17540000000002</v>
      </c>
      <c r="O102" s="21">
        <v>804.53</v>
      </c>
      <c r="P102" s="19" t="s">
        <v>4</v>
      </c>
      <c r="Q102" s="23">
        <v>2</v>
      </c>
      <c r="R102" s="45">
        <v>1.7</v>
      </c>
    </row>
    <row r="103" spans="2:18" x14ac:dyDescent="0.2">
      <c r="B103" s="25">
        <v>100</v>
      </c>
      <c r="C103" s="18">
        <v>43930</v>
      </c>
      <c r="D103" s="24">
        <f t="shared" si="5"/>
        <v>2020</v>
      </c>
      <c r="E103" s="24" t="str">
        <f t="shared" si="6"/>
        <v>Q2</v>
      </c>
      <c r="F103" s="24" t="str">
        <f t="shared" si="7"/>
        <v>Apr</v>
      </c>
      <c r="G103" s="24">
        <f t="shared" si="8"/>
        <v>4</v>
      </c>
      <c r="H103" s="19">
        <v>1729</v>
      </c>
      <c r="I103" s="19" t="s">
        <v>10</v>
      </c>
      <c r="J103" s="19" t="s">
        <v>5</v>
      </c>
      <c r="K103" s="20">
        <v>7</v>
      </c>
      <c r="L103" s="21">
        <v>510.52</v>
      </c>
      <c r="M103" s="22">
        <v>0.18</v>
      </c>
      <c r="N103" s="21">
        <f t="shared" si="9"/>
        <v>418.62639999999999</v>
      </c>
      <c r="O103" s="21">
        <v>2930.38</v>
      </c>
      <c r="P103" s="19" t="s">
        <v>6</v>
      </c>
      <c r="Q103" s="23">
        <v>11</v>
      </c>
      <c r="R103" s="45">
        <v>1.4</v>
      </c>
    </row>
    <row r="104" spans="2:18" x14ac:dyDescent="0.2">
      <c r="B104" s="25">
        <v>101</v>
      </c>
      <c r="C104" s="18">
        <v>43931</v>
      </c>
      <c r="D104" s="24">
        <f t="shared" si="5"/>
        <v>2020</v>
      </c>
      <c r="E104" s="24" t="str">
        <f t="shared" si="6"/>
        <v>Q2</v>
      </c>
      <c r="F104" s="24" t="str">
        <f t="shared" si="7"/>
        <v>Apr</v>
      </c>
      <c r="G104" s="24">
        <f t="shared" si="8"/>
        <v>4</v>
      </c>
      <c r="H104" s="19">
        <v>1555</v>
      </c>
      <c r="I104" s="19" t="s">
        <v>7</v>
      </c>
      <c r="J104" s="19" t="s">
        <v>9</v>
      </c>
      <c r="K104" s="20">
        <v>7</v>
      </c>
      <c r="L104" s="21">
        <v>330.94</v>
      </c>
      <c r="M104" s="22">
        <v>0.31</v>
      </c>
      <c r="N104" s="21">
        <f t="shared" si="9"/>
        <v>228.3486</v>
      </c>
      <c r="O104" s="21">
        <v>1598.44</v>
      </c>
      <c r="P104" s="19" t="s">
        <v>4</v>
      </c>
      <c r="Q104" s="23">
        <v>5</v>
      </c>
      <c r="R104" s="45">
        <v>1</v>
      </c>
    </row>
    <row r="105" spans="2:18" x14ac:dyDescent="0.2">
      <c r="B105" s="25">
        <v>102</v>
      </c>
      <c r="C105" s="18">
        <v>43932</v>
      </c>
      <c r="D105" s="24">
        <f t="shared" si="5"/>
        <v>2020</v>
      </c>
      <c r="E105" s="24" t="str">
        <f t="shared" si="6"/>
        <v>Q2</v>
      </c>
      <c r="F105" s="24" t="str">
        <f t="shared" si="7"/>
        <v>Apr</v>
      </c>
      <c r="G105" s="24">
        <f t="shared" si="8"/>
        <v>4</v>
      </c>
      <c r="H105" s="19">
        <v>1161</v>
      </c>
      <c r="I105" s="19" t="s">
        <v>3</v>
      </c>
      <c r="J105" s="19" t="s">
        <v>9</v>
      </c>
      <c r="K105" s="20">
        <v>5</v>
      </c>
      <c r="L105" s="21">
        <v>257.35000000000002</v>
      </c>
      <c r="M105" s="22">
        <v>0.12</v>
      </c>
      <c r="N105" s="21">
        <f t="shared" si="9"/>
        <v>226.46800000000002</v>
      </c>
      <c r="O105" s="21">
        <v>1132.3399999999999</v>
      </c>
      <c r="P105" s="19" t="s">
        <v>4</v>
      </c>
      <c r="Q105" s="23">
        <v>10</v>
      </c>
      <c r="R105" s="45">
        <v>1.4</v>
      </c>
    </row>
    <row r="106" spans="2:18" x14ac:dyDescent="0.2">
      <c r="B106" s="25">
        <v>103</v>
      </c>
      <c r="C106" s="18">
        <v>43933</v>
      </c>
      <c r="D106" s="24">
        <f t="shared" si="5"/>
        <v>2020</v>
      </c>
      <c r="E106" s="24" t="str">
        <f t="shared" si="6"/>
        <v>Q2</v>
      </c>
      <c r="F106" s="24" t="str">
        <f t="shared" si="7"/>
        <v>Apr</v>
      </c>
      <c r="G106" s="24">
        <f t="shared" si="8"/>
        <v>4</v>
      </c>
      <c r="H106" s="19">
        <v>1201</v>
      </c>
      <c r="I106" s="19" t="s">
        <v>3</v>
      </c>
      <c r="J106" s="19" t="s">
        <v>8</v>
      </c>
      <c r="K106" s="20">
        <v>6</v>
      </c>
      <c r="L106" s="21">
        <v>586.65</v>
      </c>
      <c r="M106" s="22">
        <v>0.02</v>
      </c>
      <c r="N106" s="21">
        <f t="shared" si="9"/>
        <v>574.91700000000003</v>
      </c>
      <c r="O106" s="21">
        <v>3449.5</v>
      </c>
      <c r="P106" s="19" t="s">
        <v>6</v>
      </c>
      <c r="Q106" s="23">
        <v>8</v>
      </c>
      <c r="R106" s="45">
        <v>4.0999999999999996</v>
      </c>
    </row>
    <row r="107" spans="2:18" x14ac:dyDescent="0.2">
      <c r="B107" s="25">
        <v>104</v>
      </c>
      <c r="C107" s="18">
        <v>43934</v>
      </c>
      <c r="D107" s="24">
        <f t="shared" si="5"/>
        <v>2020</v>
      </c>
      <c r="E107" s="24" t="str">
        <f t="shared" si="6"/>
        <v>Q2</v>
      </c>
      <c r="F107" s="24" t="str">
        <f t="shared" si="7"/>
        <v>Apr</v>
      </c>
      <c r="G107" s="24">
        <f t="shared" si="8"/>
        <v>4</v>
      </c>
      <c r="H107" s="19">
        <v>1957</v>
      </c>
      <c r="I107" s="19" t="s">
        <v>10</v>
      </c>
      <c r="J107" s="19" t="s">
        <v>8</v>
      </c>
      <c r="K107" s="20">
        <v>2</v>
      </c>
      <c r="L107" s="21">
        <v>355.54</v>
      </c>
      <c r="M107" s="22">
        <v>0.17</v>
      </c>
      <c r="N107" s="21">
        <f t="shared" si="9"/>
        <v>295.09820000000002</v>
      </c>
      <c r="O107" s="21">
        <v>590.20000000000005</v>
      </c>
      <c r="P107" s="19" t="s">
        <v>6</v>
      </c>
      <c r="Q107" s="23">
        <v>6</v>
      </c>
      <c r="R107" s="45">
        <v>4.5999999999999996</v>
      </c>
    </row>
    <row r="108" spans="2:18" x14ac:dyDescent="0.2">
      <c r="B108" s="25">
        <v>105</v>
      </c>
      <c r="C108" s="18">
        <v>43935</v>
      </c>
      <c r="D108" s="24">
        <f t="shared" si="5"/>
        <v>2020</v>
      </c>
      <c r="E108" s="24" t="str">
        <f t="shared" si="6"/>
        <v>Q2</v>
      </c>
      <c r="F108" s="24" t="str">
        <f t="shared" si="7"/>
        <v>Apr</v>
      </c>
      <c r="G108" s="24">
        <f t="shared" si="8"/>
        <v>4</v>
      </c>
      <c r="H108" s="19">
        <v>1995</v>
      </c>
      <c r="I108" s="19" t="s">
        <v>7</v>
      </c>
      <c r="J108" s="19" t="s">
        <v>9</v>
      </c>
      <c r="K108" s="20">
        <v>6</v>
      </c>
      <c r="L108" s="21">
        <v>522.12</v>
      </c>
      <c r="M108" s="22">
        <v>0.09</v>
      </c>
      <c r="N108" s="21">
        <f t="shared" si="9"/>
        <v>475.12920000000003</v>
      </c>
      <c r="O108" s="21">
        <v>2850.78</v>
      </c>
      <c r="P108" s="19" t="s">
        <v>4</v>
      </c>
      <c r="Q108" s="23">
        <v>4</v>
      </c>
      <c r="R108" s="45">
        <v>2</v>
      </c>
    </row>
    <row r="109" spans="2:18" x14ac:dyDescent="0.2">
      <c r="B109" s="25">
        <v>106</v>
      </c>
      <c r="C109" s="18">
        <v>43936</v>
      </c>
      <c r="D109" s="24">
        <f t="shared" si="5"/>
        <v>2020</v>
      </c>
      <c r="E109" s="24" t="str">
        <f t="shared" si="6"/>
        <v>Q2</v>
      </c>
      <c r="F109" s="24" t="str">
        <f t="shared" si="7"/>
        <v>Apr</v>
      </c>
      <c r="G109" s="24">
        <f t="shared" si="8"/>
        <v>4</v>
      </c>
      <c r="H109" s="19">
        <v>1269</v>
      </c>
      <c r="I109" s="19" t="s">
        <v>0</v>
      </c>
      <c r="J109" s="19" t="s">
        <v>8</v>
      </c>
      <c r="K109" s="20">
        <v>6</v>
      </c>
      <c r="L109" s="21">
        <v>572.67999999999995</v>
      </c>
      <c r="M109" s="22">
        <v>0.25</v>
      </c>
      <c r="N109" s="21">
        <f t="shared" si="9"/>
        <v>429.51</v>
      </c>
      <c r="O109" s="21">
        <v>2577.06</v>
      </c>
      <c r="P109" s="19" t="s">
        <v>4</v>
      </c>
      <c r="Q109" s="23">
        <v>5</v>
      </c>
      <c r="R109" s="45">
        <v>4.2</v>
      </c>
    </row>
    <row r="110" spans="2:18" x14ac:dyDescent="0.2">
      <c r="B110" s="25">
        <v>107</v>
      </c>
      <c r="C110" s="18">
        <v>43937</v>
      </c>
      <c r="D110" s="24">
        <f t="shared" si="5"/>
        <v>2020</v>
      </c>
      <c r="E110" s="24" t="str">
        <f t="shared" si="6"/>
        <v>Q2</v>
      </c>
      <c r="F110" s="24" t="str">
        <f t="shared" si="7"/>
        <v>Apr</v>
      </c>
      <c r="G110" s="24">
        <f t="shared" si="8"/>
        <v>4</v>
      </c>
      <c r="H110" s="19">
        <v>1862</v>
      </c>
      <c r="I110" s="19" t="s">
        <v>7</v>
      </c>
      <c r="J110" s="19" t="s">
        <v>9</v>
      </c>
      <c r="K110" s="20">
        <v>1</v>
      </c>
      <c r="L110" s="21">
        <v>410.08</v>
      </c>
      <c r="M110" s="22">
        <v>0.33</v>
      </c>
      <c r="N110" s="21">
        <f t="shared" si="9"/>
        <v>274.75360000000001</v>
      </c>
      <c r="O110" s="21">
        <v>274.75</v>
      </c>
      <c r="P110" s="19" t="s">
        <v>4</v>
      </c>
      <c r="Q110" s="23">
        <v>2</v>
      </c>
      <c r="R110" s="45">
        <v>1.8</v>
      </c>
    </row>
    <row r="111" spans="2:18" x14ac:dyDescent="0.2">
      <c r="B111" s="25">
        <v>108</v>
      </c>
      <c r="C111" s="18">
        <v>43938</v>
      </c>
      <c r="D111" s="24">
        <f t="shared" si="5"/>
        <v>2020</v>
      </c>
      <c r="E111" s="24" t="str">
        <f t="shared" si="6"/>
        <v>Q2</v>
      </c>
      <c r="F111" s="24" t="str">
        <f t="shared" si="7"/>
        <v>Apr</v>
      </c>
      <c r="G111" s="24">
        <f t="shared" si="8"/>
        <v>4</v>
      </c>
      <c r="H111" s="19">
        <v>1815</v>
      </c>
      <c r="I111" s="19" t="s">
        <v>3</v>
      </c>
      <c r="J111" s="19" t="s">
        <v>5</v>
      </c>
      <c r="K111" s="20">
        <v>4</v>
      </c>
      <c r="L111" s="21">
        <v>336.13</v>
      </c>
      <c r="M111" s="22">
        <v>0.24</v>
      </c>
      <c r="N111" s="21">
        <f t="shared" si="9"/>
        <v>255.4588</v>
      </c>
      <c r="O111" s="21">
        <v>1021.84</v>
      </c>
      <c r="P111" s="19" t="s">
        <v>4</v>
      </c>
      <c r="Q111" s="23">
        <v>5</v>
      </c>
      <c r="R111" s="45">
        <v>2</v>
      </c>
    </row>
    <row r="112" spans="2:18" x14ac:dyDescent="0.2">
      <c r="B112" s="25">
        <v>109</v>
      </c>
      <c r="C112" s="18">
        <v>43939</v>
      </c>
      <c r="D112" s="24">
        <f t="shared" si="5"/>
        <v>2020</v>
      </c>
      <c r="E112" s="24" t="str">
        <f t="shared" si="6"/>
        <v>Q2</v>
      </c>
      <c r="F112" s="24" t="str">
        <f t="shared" si="7"/>
        <v>Apr</v>
      </c>
      <c r="G112" s="24">
        <f t="shared" si="8"/>
        <v>4</v>
      </c>
      <c r="H112" s="19">
        <v>1270</v>
      </c>
      <c r="I112" s="19" t="s">
        <v>7</v>
      </c>
      <c r="J112" s="19" t="s">
        <v>5</v>
      </c>
      <c r="K112" s="20">
        <v>7</v>
      </c>
      <c r="L112" s="21">
        <v>17.05</v>
      </c>
      <c r="M112" s="22">
        <v>0.31</v>
      </c>
      <c r="N112" s="21">
        <f t="shared" si="9"/>
        <v>11.764500000000002</v>
      </c>
      <c r="O112" s="21">
        <v>82.35</v>
      </c>
      <c r="P112" s="19" t="s">
        <v>6</v>
      </c>
      <c r="Q112" s="23">
        <v>3</v>
      </c>
      <c r="R112" s="45">
        <v>1.9</v>
      </c>
    </row>
    <row r="113" spans="2:18" x14ac:dyDescent="0.2">
      <c r="B113" s="25">
        <v>110</v>
      </c>
      <c r="C113" s="18">
        <v>43940</v>
      </c>
      <c r="D113" s="24">
        <f t="shared" si="5"/>
        <v>2020</v>
      </c>
      <c r="E113" s="24" t="str">
        <f t="shared" si="6"/>
        <v>Q2</v>
      </c>
      <c r="F113" s="24" t="str">
        <f t="shared" si="7"/>
        <v>Apr</v>
      </c>
      <c r="G113" s="24">
        <f t="shared" si="8"/>
        <v>4</v>
      </c>
      <c r="H113" s="19">
        <v>1455</v>
      </c>
      <c r="I113" s="19" t="s">
        <v>7</v>
      </c>
      <c r="J113" s="19" t="s">
        <v>9</v>
      </c>
      <c r="K113" s="20">
        <v>2</v>
      </c>
      <c r="L113" s="21">
        <v>38.409999999999997</v>
      </c>
      <c r="M113" s="22">
        <v>0.16</v>
      </c>
      <c r="N113" s="21">
        <f t="shared" si="9"/>
        <v>32.264399999999995</v>
      </c>
      <c r="O113" s="21">
        <v>64.53</v>
      </c>
      <c r="P113" s="19" t="s">
        <v>6</v>
      </c>
      <c r="Q113" s="23">
        <v>3</v>
      </c>
      <c r="R113" s="45">
        <v>1.2</v>
      </c>
    </row>
    <row r="114" spans="2:18" x14ac:dyDescent="0.2">
      <c r="B114" s="25">
        <v>111</v>
      </c>
      <c r="C114" s="18">
        <v>43941</v>
      </c>
      <c r="D114" s="24">
        <f t="shared" si="5"/>
        <v>2020</v>
      </c>
      <c r="E114" s="24" t="str">
        <f t="shared" si="6"/>
        <v>Q2</v>
      </c>
      <c r="F114" s="24" t="str">
        <f t="shared" si="7"/>
        <v>Apr</v>
      </c>
      <c r="G114" s="24">
        <f t="shared" si="8"/>
        <v>4</v>
      </c>
      <c r="H114" s="19">
        <v>1461</v>
      </c>
      <c r="I114" s="19" t="s">
        <v>3</v>
      </c>
      <c r="J114" s="19" t="s">
        <v>9</v>
      </c>
      <c r="K114" s="20">
        <v>1</v>
      </c>
      <c r="L114" s="21">
        <v>132.5</v>
      </c>
      <c r="M114" s="22">
        <v>0.27</v>
      </c>
      <c r="N114" s="21">
        <f t="shared" si="9"/>
        <v>96.724999999999994</v>
      </c>
      <c r="O114" s="21">
        <v>96.72</v>
      </c>
      <c r="P114" s="19" t="s">
        <v>6</v>
      </c>
      <c r="Q114" s="23">
        <v>7</v>
      </c>
      <c r="R114" s="45">
        <v>1.8</v>
      </c>
    </row>
    <row r="115" spans="2:18" x14ac:dyDescent="0.2">
      <c r="B115" s="25">
        <v>112</v>
      </c>
      <c r="C115" s="18">
        <v>43942</v>
      </c>
      <c r="D115" s="24">
        <f t="shared" si="5"/>
        <v>2020</v>
      </c>
      <c r="E115" s="24" t="str">
        <f t="shared" si="6"/>
        <v>Q2</v>
      </c>
      <c r="F115" s="24" t="str">
        <f t="shared" si="7"/>
        <v>Apr</v>
      </c>
      <c r="G115" s="24">
        <f t="shared" si="8"/>
        <v>4</v>
      </c>
      <c r="H115" s="19">
        <v>1726</v>
      </c>
      <c r="I115" s="19" t="s">
        <v>7</v>
      </c>
      <c r="J115" s="19" t="s">
        <v>1</v>
      </c>
      <c r="K115" s="20">
        <v>7</v>
      </c>
      <c r="L115" s="21">
        <v>123.81</v>
      </c>
      <c r="M115" s="22">
        <v>0.3</v>
      </c>
      <c r="N115" s="21">
        <f t="shared" si="9"/>
        <v>86.667000000000002</v>
      </c>
      <c r="O115" s="21">
        <v>606.66999999999996</v>
      </c>
      <c r="P115" s="19" t="s">
        <v>4</v>
      </c>
      <c r="Q115" s="23">
        <v>3</v>
      </c>
      <c r="R115" s="45">
        <v>2.5</v>
      </c>
    </row>
    <row r="116" spans="2:18" x14ac:dyDescent="0.2">
      <c r="B116" s="25">
        <v>113</v>
      </c>
      <c r="C116" s="18">
        <v>43943</v>
      </c>
      <c r="D116" s="24">
        <f t="shared" si="5"/>
        <v>2020</v>
      </c>
      <c r="E116" s="24" t="str">
        <f t="shared" si="6"/>
        <v>Q2</v>
      </c>
      <c r="F116" s="24" t="str">
        <f t="shared" si="7"/>
        <v>Apr</v>
      </c>
      <c r="G116" s="24">
        <f t="shared" si="8"/>
        <v>4</v>
      </c>
      <c r="H116" s="19">
        <v>1251</v>
      </c>
      <c r="I116" s="19" t="s">
        <v>10</v>
      </c>
      <c r="J116" s="19" t="s">
        <v>1</v>
      </c>
      <c r="K116" s="20">
        <v>4</v>
      </c>
      <c r="L116" s="21">
        <v>164.03</v>
      </c>
      <c r="M116" s="22">
        <v>0.25</v>
      </c>
      <c r="N116" s="21">
        <f t="shared" si="9"/>
        <v>123.02250000000001</v>
      </c>
      <c r="O116" s="21">
        <v>492.09</v>
      </c>
      <c r="P116" s="19" t="s">
        <v>4</v>
      </c>
      <c r="Q116" s="23">
        <v>4</v>
      </c>
      <c r="R116" s="45">
        <v>2.6</v>
      </c>
    </row>
    <row r="117" spans="2:18" x14ac:dyDescent="0.2">
      <c r="B117" s="25">
        <v>114</v>
      </c>
      <c r="C117" s="18">
        <v>43944</v>
      </c>
      <c r="D117" s="24">
        <f t="shared" si="5"/>
        <v>2020</v>
      </c>
      <c r="E117" s="24" t="str">
        <f t="shared" si="6"/>
        <v>Q2</v>
      </c>
      <c r="F117" s="24" t="str">
        <f t="shared" si="7"/>
        <v>Apr</v>
      </c>
      <c r="G117" s="24">
        <f t="shared" si="8"/>
        <v>4</v>
      </c>
      <c r="H117" s="19">
        <v>1701</v>
      </c>
      <c r="I117" s="19" t="s">
        <v>7</v>
      </c>
      <c r="J117" s="19" t="s">
        <v>8</v>
      </c>
      <c r="K117" s="20">
        <v>1</v>
      </c>
      <c r="L117" s="21">
        <v>193.39</v>
      </c>
      <c r="M117" s="22">
        <v>0.18</v>
      </c>
      <c r="N117" s="21">
        <f t="shared" si="9"/>
        <v>158.57979999999998</v>
      </c>
      <c r="O117" s="21">
        <v>158.58000000000001</v>
      </c>
      <c r="P117" s="19" t="s">
        <v>4</v>
      </c>
      <c r="Q117" s="23">
        <v>7</v>
      </c>
      <c r="R117" s="45">
        <v>2.2000000000000002</v>
      </c>
    </row>
    <row r="118" spans="2:18" x14ac:dyDescent="0.2">
      <c r="B118" s="25">
        <v>115</v>
      </c>
      <c r="C118" s="18">
        <v>43945</v>
      </c>
      <c r="D118" s="24">
        <f t="shared" si="5"/>
        <v>2020</v>
      </c>
      <c r="E118" s="24" t="str">
        <f t="shared" si="6"/>
        <v>Q2</v>
      </c>
      <c r="F118" s="24" t="str">
        <f t="shared" si="7"/>
        <v>Apr</v>
      </c>
      <c r="G118" s="24">
        <f t="shared" si="8"/>
        <v>4</v>
      </c>
      <c r="H118" s="19">
        <v>1295</v>
      </c>
      <c r="I118" s="19" t="s">
        <v>3</v>
      </c>
      <c r="J118" s="19" t="s">
        <v>8</v>
      </c>
      <c r="K118" s="20">
        <v>4</v>
      </c>
      <c r="L118" s="21">
        <v>225.64</v>
      </c>
      <c r="M118" s="22">
        <v>0.22</v>
      </c>
      <c r="N118" s="21">
        <f t="shared" si="9"/>
        <v>175.99919999999997</v>
      </c>
      <c r="O118" s="21">
        <v>704</v>
      </c>
      <c r="P118" s="19" t="s">
        <v>4</v>
      </c>
      <c r="Q118" s="23">
        <v>3</v>
      </c>
      <c r="R118" s="45">
        <v>3.1</v>
      </c>
    </row>
    <row r="119" spans="2:18" x14ac:dyDescent="0.2">
      <c r="B119" s="25">
        <v>116</v>
      </c>
      <c r="C119" s="18">
        <v>43946</v>
      </c>
      <c r="D119" s="24">
        <f t="shared" si="5"/>
        <v>2020</v>
      </c>
      <c r="E119" s="24" t="str">
        <f t="shared" si="6"/>
        <v>Q2</v>
      </c>
      <c r="F119" s="24" t="str">
        <f t="shared" si="7"/>
        <v>Apr</v>
      </c>
      <c r="G119" s="24">
        <f t="shared" si="8"/>
        <v>4</v>
      </c>
      <c r="H119" s="19">
        <v>1724</v>
      </c>
      <c r="I119" s="19" t="s">
        <v>7</v>
      </c>
      <c r="J119" s="19" t="s">
        <v>9</v>
      </c>
      <c r="K119" s="20">
        <v>4</v>
      </c>
      <c r="L119" s="21">
        <v>261.01</v>
      </c>
      <c r="M119" s="22">
        <v>0.25</v>
      </c>
      <c r="N119" s="21">
        <f t="shared" si="9"/>
        <v>195.75749999999999</v>
      </c>
      <c r="O119" s="21">
        <v>783.03</v>
      </c>
      <c r="P119" s="19" t="s">
        <v>4</v>
      </c>
      <c r="Q119" s="23">
        <v>10</v>
      </c>
      <c r="R119" s="45">
        <v>2.5</v>
      </c>
    </row>
    <row r="120" spans="2:18" x14ac:dyDescent="0.2">
      <c r="B120" s="25">
        <v>117</v>
      </c>
      <c r="C120" s="18">
        <v>43947</v>
      </c>
      <c r="D120" s="24">
        <f t="shared" si="5"/>
        <v>2020</v>
      </c>
      <c r="E120" s="24" t="str">
        <f t="shared" si="6"/>
        <v>Q2</v>
      </c>
      <c r="F120" s="24" t="str">
        <f t="shared" si="7"/>
        <v>Apr</v>
      </c>
      <c r="G120" s="24">
        <f t="shared" si="8"/>
        <v>4</v>
      </c>
      <c r="H120" s="19">
        <v>1719</v>
      </c>
      <c r="I120" s="19" t="s">
        <v>7</v>
      </c>
      <c r="J120" s="19" t="s">
        <v>9</v>
      </c>
      <c r="K120" s="20">
        <v>4</v>
      </c>
      <c r="L120" s="21">
        <v>72.84</v>
      </c>
      <c r="M120" s="22">
        <v>0.09</v>
      </c>
      <c r="N120" s="21">
        <f t="shared" si="9"/>
        <v>66.284400000000005</v>
      </c>
      <c r="O120" s="21">
        <v>265.14</v>
      </c>
      <c r="P120" s="19" t="s">
        <v>4</v>
      </c>
      <c r="Q120" s="23">
        <v>10</v>
      </c>
      <c r="R120" s="45">
        <v>4.9000000000000004</v>
      </c>
    </row>
    <row r="121" spans="2:18" x14ac:dyDescent="0.2">
      <c r="B121" s="25">
        <v>118</v>
      </c>
      <c r="C121" s="18">
        <v>43948</v>
      </c>
      <c r="D121" s="24">
        <f t="shared" si="5"/>
        <v>2020</v>
      </c>
      <c r="E121" s="24" t="str">
        <f t="shared" si="6"/>
        <v>Q2</v>
      </c>
      <c r="F121" s="24" t="str">
        <f t="shared" si="7"/>
        <v>Apr</v>
      </c>
      <c r="G121" s="24">
        <f t="shared" si="8"/>
        <v>4</v>
      </c>
      <c r="H121" s="19">
        <v>1748</v>
      </c>
      <c r="I121" s="19" t="s">
        <v>7</v>
      </c>
      <c r="J121" s="19" t="s">
        <v>1</v>
      </c>
      <c r="K121" s="20">
        <v>1</v>
      </c>
      <c r="L121" s="21">
        <v>39.78</v>
      </c>
      <c r="M121" s="22">
        <v>0.28000000000000003</v>
      </c>
      <c r="N121" s="21">
        <f t="shared" si="9"/>
        <v>28.6416</v>
      </c>
      <c r="O121" s="21">
        <v>28.64</v>
      </c>
      <c r="P121" s="19" t="s">
        <v>4</v>
      </c>
      <c r="Q121" s="23">
        <v>2</v>
      </c>
      <c r="R121" s="45">
        <v>4.2</v>
      </c>
    </row>
    <row r="122" spans="2:18" x14ac:dyDescent="0.2">
      <c r="B122" s="25">
        <v>119</v>
      </c>
      <c r="C122" s="18">
        <v>43949</v>
      </c>
      <c r="D122" s="24">
        <f t="shared" si="5"/>
        <v>2020</v>
      </c>
      <c r="E122" s="24" t="str">
        <f t="shared" si="6"/>
        <v>Q2</v>
      </c>
      <c r="F122" s="24" t="str">
        <f t="shared" si="7"/>
        <v>Apr</v>
      </c>
      <c r="G122" s="24">
        <f t="shared" si="8"/>
        <v>4</v>
      </c>
      <c r="H122" s="19">
        <v>1337</v>
      </c>
      <c r="I122" s="19" t="s">
        <v>3</v>
      </c>
      <c r="J122" s="19" t="s">
        <v>1</v>
      </c>
      <c r="K122" s="20">
        <v>6</v>
      </c>
      <c r="L122" s="21">
        <v>409.26</v>
      </c>
      <c r="M122" s="22">
        <v>0.33</v>
      </c>
      <c r="N122" s="21">
        <f t="shared" si="9"/>
        <v>274.20420000000001</v>
      </c>
      <c r="O122" s="21">
        <v>1645.23</v>
      </c>
      <c r="P122" s="19" t="s">
        <v>6</v>
      </c>
      <c r="Q122" s="23">
        <v>10</v>
      </c>
      <c r="R122" s="45">
        <v>4.7</v>
      </c>
    </row>
    <row r="123" spans="2:18" x14ac:dyDescent="0.2">
      <c r="B123" s="25">
        <v>120</v>
      </c>
      <c r="C123" s="18">
        <v>43950</v>
      </c>
      <c r="D123" s="24">
        <f t="shared" si="5"/>
        <v>2020</v>
      </c>
      <c r="E123" s="24" t="str">
        <f t="shared" si="6"/>
        <v>Q2</v>
      </c>
      <c r="F123" s="24" t="str">
        <f t="shared" si="7"/>
        <v>Apr</v>
      </c>
      <c r="G123" s="24">
        <f t="shared" si="8"/>
        <v>4</v>
      </c>
      <c r="H123" s="19">
        <v>1878</v>
      </c>
      <c r="I123" s="19" t="s">
        <v>3</v>
      </c>
      <c r="J123" s="19" t="s">
        <v>9</v>
      </c>
      <c r="K123" s="20">
        <v>4</v>
      </c>
      <c r="L123" s="21">
        <v>329.34</v>
      </c>
      <c r="M123" s="22">
        <v>0.16</v>
      </c>
      <c r="N123" s="21">
        <f t="shared" si="9"/>
        <v>276.6456</v>
      </c>
      <c r="O123" s="21">
        <v>1106.58</v>
      </c>
      <c r="P123" s="19" t="s">
        <v>6</v>
      </c>
      <c r="Q123" s="23">
        <v>7</v>
      </c>
      <c r="R123" s="45">
        <v>3.2</v>
      </c>
    </row>
    <row r="124" spans="2:18" x14ac:dyDescent="0.2">
      <c r="B124" s="25">
        <v>121</v>
      </c>
      <c r="C124" s="18">
        <v>43951</v>
      </c>
      <c r="D124" s="24">
        <f t="shared" si="5"/>
        <v>2020</v>
      </c>
      <c r="E124" s="24" t="str">
        <f t="shared" si="6"/>
        <v>Q2</v>
      </c>
      <c r="F124" s="24" t="str">
        <f t="shared" si="7"/>
        <v>Apr</v>
      </c>
      <c r="G124" s="24">
        <f t="shared" si="8"/>
        <v>4</v>
      </c>
      <c r="H124" s="19">
        <v>1052</v>
      </c>
      <c r="I124" s="19" t="s">
        <v>3</v>
      </c>
      <c r="J124" s="19" t="s">
        <v>5</v>
      </c>
      <c r="K124" s="20">
        <v>6</v>
      </c>
      <c r="L124" s="21">
        <v>274.82</v>
      </c>
      <c r="M124" s="22">
        <v>0.25</v>
      </c>
      <c r="N124" s="21">
        <f t="shared" si="9"/>
        <v>206.11500000000001</v>
      </c>
      <c r="O124" s="21">
        <v>1236.69</v>
      </c>
      <c r="P124" s="19" t="s">
        <v>6</v>
      </c>
      <c r="Q124" s="23">
        <v>5</v>
      </c>
      <c r="R124" s="45">
        <v>3.7</v>
      </c>
    </row>
    <row r="125" spans="2:18" x14ac:dyDescent="0.2">
      <c r="B125" s="25">
        <v>122</v>
      </c>
      <c r="C125" s="18">
        <v>43952</v>
      </c>
      <c r="D125" s="24">
        <f t="shared" si="5"/>
        <v>2020</v>
      </c>
      <c r="E125" s="24" t="str">
        <f t="shared" si="6"/>
        <v>Q2</v>
      </c>
      <c r="F125" s="24" t="str">
        <f t="shared" si="7"/>
        <v>May</v>
      </c>
      <c r="G125" s="24">
        <f t="shared" si="8"/>
        <v>5</v>
      </c>
      <c r="H125" s="19">
        <v>1791</v>
      </c>
      <c r="I125" s="19" t="s">
        <v>3</v>
      </c>
      <c r="J125" s="19" t="s">
        <v>5</v>
      </c>
      <c r="K125" s="20">
        <v>7</v>
      </c>
      <c r="L125" s="21">
        <v>386.15</v>
      </c>
      <c r="M125" s="22">
        <v>0.26</v>
      </c>
      <c r="N125" s="21">
        <f t="shared" si="9"/>
        <v>285.75099999999998</v>
      </c>
      <c r="O125" s="21">
        <v>2000.26</v>
      </c>
      <c r="P125" s="19" t="s">
        <v>4</v>
      </c>
      <c r="Q125" s="23">
        <v>1</v>
      </c>
      <c r="R125" s="45">
        <v>1.7</v>
      </c>
    </row>
    <row r="126" spans="2:18" x14ac:dyDescent="0.2">
      <c r="B126" s="25">
        <v>123</v>
      </c>
      <c r="C126" s="18">
        <v>43953</v>
      </c>
      <c r="D126" s="24">
        <f t="shared" si="5"/>
        <v>2020</v>
      </c>
      <c r="E126" s="24" t="str">
        <f t="shared" si="6"/>
        <v>Q2</v>
      </c>
      <c r="F126" s="24" t="str">
        <f t="shared" si="7"/>
        <v>May</v>
      </c>
      <c r="G126" s="24">
        <f t="shared" si="8"/>
        <v>5</v>
      </c>
      <c r="H126" s="19">
        <v>1921</v>
      </c>
      <c r="I126" s="19" t="s">
        <v>3</v>
      </c>
      <c r="J126" s="19" t="s">
        <v>8</v>
      </c>
      <c r="K126" s="20">
        <v>7</v>
      </c>
      <c r="L126" s="21">
        <v>499.19</v>
      </c>
      <c r="M126" s="22">
        <v>0.23</v>
      </c>
      <c r="N126" s="21">
        <f t="shared" si="9"/>
        <v>384.37630000000001</v>
      </c>
      <c r="O126" s="21">
        <v>2690.63</v>
      </c>
      <c r="P126" s="19" t="s">
        <v>2</v>
      </c>
      <c r="Q126" s="23">
        <v>10</v>
      </c>
      <c r="R126" s="45">
        <v>4</v>
      </c>
    </row>
    <row r="127" spans="2:18" x14ac:dyDescent="0.2">
      <c r="B127" s="25">
        <v>124</v>
      </c>
      <c r="C127" s="18">
        <v>43954</v>
      </c>
      <c r="D127" s="24">
        <f t="shared" si="5"/>
        <v>2020</v>
      </c>
      <c r="E127" s="24" t="str">
        <f t="shared" si="6"/>
        <v>Q2</v>
      </c>
      <c r="F127" s="24" t="str">
        <f t="shared" si="7"/>
        <v>May</v>
      </c>
      <c r="G127" s="24">
        <f t="shared" si="8"/>
        <v>5</v>
      </c>
      <c r="H127" s="19">
        <v>1216</v>
      </c>
      <c r="I127" s="19" t="s">
        <v>7</v>
      </c>
      <c r="J127" s="19" t="s">
        <v>9</v>
      </c>
      <c r="K127" s="20">
        <v>2</v>
      </c>
      <c r="L127" s="21">
        <v>265.2</v>
      </c>
      <c r="M127" s="22">
        <v>0.19</v>
      </c>
      <c r="N127" s="21">
        <f t="shared" si="9"/>
        <v>214.81199999999998</v>
      </c>
      <c r="O127" s="21">
        <v>429.62</v>
      </c>
      <c r="P127" s="19" t="s">
        <v>2</v>
      </c>
      <c r="Q127" s="23">
        <v>8</v>
      </c>
      <c r="R127" s="45">
        <v>1.9</v>
      </c>
    </row>
    <row r="128" spans="2:18" x14ac:dyDescent="0.2">
      <c r="B128" s="25">
        <v>125</v>
      </c>
      <c r="C128" s="18">
        <v>43955</v>
      </c>
      <c r="D128" s="24">
        <f t="shared" si="5"/>
        <v>2020</v>
      </c>
      <c r="E128" s="24" t="str">
        <f t="shared" si="6"/>
        <v>Q2</v>
      </c>
      <c r="F128" s="24" t="str">
        <f t="shared" si="7"/>
        <v>May</v>
      </c>
      <c r="G128" s="24">
        <f t="shared" si="8"/>
        <v>5</v>
      </c>
      <c r="H128" s="19">
        <v>1763</v>
      </c>
      <c r="I128" s="19" t="s">
        <v>3</v>
      </c>
      <c r="J128" s="19" t="s">
        <v>9</v>
      </c>
      <c r="K128" s="20">
        <v>5</v>
      </c>
      <c r="L128" s="21">
        <v>390.05</v>
      </c>
      <c r="M128" s="22">
        <v>0.31</v>
      </c>
      <c r="N128" s="21">
        <f t="shared" si="9"/>
        <v>269.1345</v>
      </c>
      <c r="O128" s="21">
        <v>1345.67</v>
      </c>
      <c r="P128" s="19" t="s">
        <v>4</v>
      </c>
      <c r="Q128" s="23">
        <v>3</v>
      </c>
      <c r="R128" s="45">
        <v>1.6</v>
      </c>
    </row>
    <row r="129" spans="2:18" x14ac:dyDescent="0.2">
      <c r="B129" s="25">
        <v>126</v>
      </c>
      <c r="C129" s="18">
        <v>43956</v>
      </c>
      <c r="D129" s="24">
        <f t="shared" si="5"/>
        <v>2020</v>
      </c>
      <c r="E129" s="24" t="str">
        <f t="shared" si="6"/>
        <v>Q2</v>
      </c>
      <c r="F129" s="24" t="str">
        <f t="shared" si="7"/>
        <v>May</v>
      </c>
      <c r="G129" s="24">
        <f t="shared" si="8"/>
        <v>5</v>
      </c>
      <c r="H129" s="19">
        <v>1187</v>
      </c>
      <c r="I129" s="19" t="s">
        <v>0</v>
      </c>
      <c r="J129" s="19" t="s">
        <v>8</v>
      </c>
      <c r="K129" s="20">
        <v>6</v>
      </c>
      <c r="L129" s="21">
        <v>572.84</v>
      </c>
      <c r="M129" s="22">
        <v>0.16</v>
      </c>
      <c r="N129" s="21">
        <f t="shared" si="9"/>
        <v>481.18560000000002</v>
      </c>
      <c r="O129" s="21">
        <v>2887.11</v>
      </c>
      <c r="P129" s="19" t="s">
        <v>6</v>
      </c>
      <c r="Q129" s="23">
        <v>11</v>
      </c>
      <c r="R129" s="45">
        <v>1.2</v>
      </c>
    </row>
    <row r="130" spans="2:18" x14ac:dyDescent="0.2">
      <c r="B130" s="25">
        <v>127</v>
      </c>
      <c r="C130" s="18">
        <v>43957</v>
      </c>
      <c r="D130" s="24">
        <f t="shared" si="5"/>
        <v>2020</v>
      </c>
      <c r="E130" s="24" t="str">
        <f t="shared" si="6"/>
        <v>Q2</v>
      </c>
      <c r="F130" s="24" t="str">
        <f t="shared" si="7"/>
        <v>May</v>
      </c>
      <c r="G130" s="24">
        <f t="shared" si="8"/>
        <v>5</v>
      </c>
      <c r="H130" s="19">
        <v>1379</v>
      </c>
      <c r="I130" s="19" t="s">
        <v>3</v>
      </c>
      <c r="J130" s="19" t="s">
        <v>1</v>
      </c>
      <c r="K130" s="20">
        <v>7</v>
      </c>
      <c r="L130" s="21">
        <v>506.18</v>
      </c>
      <c r="M130" s="22">
        <v>0.02</v>
      </c>
      <c r="N130" s="21">
        <f t="shared" si="9"/>
        <v>496.0564</v>
      </c>
      <c r="O130" s="21">
        <v>3472.39</v>
      </c>
      <c r="P130" s="19" t="s">
        <v>2</v>
      </c>
      <c r="Q130" s="23">
        <v>7</v>
      </c>
      <c r="R130" s="45">
        <v>2.9</v>
      </c>
    </row>
    <row r="131" spans="2:18" x14ac:dyDescent="0.2">
      <c r="B131" s="25">
        <v>128</v>
      </c>
      <c r="C131" s="18">
        <v>43958</v>
      </c>
      <c r="D131" s="24">
        <f t="shared" si="5"/>
        <v>2020</v>
      </c>
      <c r="E131" s="24" t="str">
        <f t="shared" si="6"/>
        <v>Q2</v>
      </c>
      <c r="F131" s="24" t="str">
        <f t="shared" si="7"/>
        <v>May</v>
      </c>
      <c r="G131" s="24">
        <f t="shared" si="8"/>
        <v>5</v>
      </c>
      <c r="H131" s="19">
        <v>1492</v>
      </c>
      <c r="I131" s="19" t="s">
        <v>10</v>
      </c>
      <c r="J131" s="19" t="s">
        <v>1</v>
      </c>
      <c r="K131" s="20">
        <v>5</v>
      </c>
      <c r="L131" s="21">
        <v>264.20999999999998</v>
      </c>
      <c r="M131" s="22">
        <v>0.3</v>
      </c>
      <c r="N131" s="21">
        <f t="shared" si="9"/>
        <v>184.947</v>
      </c>
      <c r="O131" s="21">
        <v>924.73</v>
      </c>
      <c r="P131" s="19" t="s">
        <v>6</v>
      </c>
      <c r="Q131" s="23">
        <v>6</v>
      </c>
      <c r="R131" s="45">
        <v>2.1</v>
      </c>
    </row>
    <row r="132" spans="2:18" x14ac:dyDescent="0.2">
      <c r="B132" s="25">
        <v>129</v>
      </c>
      <c r="C132" s="18">
        <v>43959</v>
      </c>
      <c r="D132" s="24">
        <f t="shared" ref="D132:D195" si="10">YEAR(C132)</f>
        <v>2020</v>
      </c>
      <c r="E132" s="24" t="str">
        <f t="shared" ref="E132:E195" si="11">"Q"&amp;ROUNDUP(MONTH(C132)/3,0)</f>
        <v>Q2</v>
      </c>
      <c r="F132" s="24" t="str">
        <f t="shared" ref="F132:F195" si="12">TEXT(C132,"mmm")</f>
        <v>May</v>
      </c>
      <c r="G132" s="24">
        <f t="shared" ref="G132:G195" si="13">MONTH(C132)</f>
        <v>5</v>
      </c>
      <c r="H132" s="19">
        <v>1040</v>
      </c>
      <c r="I132" s="19" t="s">
        <v>7</v>
      </c>
      <c r="J132" s="19" t="s">
        <v>5</v>
      </c>
      <c r="K132" s="20">
        <v>4</v>
      </c>
      <c r="L132" s="21">
        <v>392.16</v>
      </c>
      <c r="M132" s="22">
        <v>0.24</v>
      </c>
      <c r="N132" s="21">
        <f t="shared" si="9"/>
        <v>298.04160000000002</v>
      </c>
      <c r="O132" s="21">
        <v>1192.17</v>
      </c>
      <c r="P132" s="19" t="s">
        <v>4</v>
      </c>
      <c r="Q132" s="23">
        <v>10</v>
      </c>
      <c r="R132" s="45">
        <v>4.9000000000000004</v>
      </c>
    </row>
    <row r="133" spans="2:18" x14ac:dyDescent="0.2">
      <c r="B133" s="25">
        <v>130</v>
      </c>
      <c r="C133" s="18">
        <v>43960</v>
      </c>
      <c r="D133" s="24">
        <f t="shared" si="10"/>
        <v>2020</v>
      </c>
      <c r="E133" s="24" t="str">
        <f t="shared" si="11"/>
        <v>Q2</v>
      </c>
      <c r="F133" s="24" t="str">
        <f t="shared" si="12"/>
        <v>May</v>
      </c>
      <c r="G133" s="24">
        <f t="shared" si="13"/>
        <v>5</v>
      </c>
      <c r="H133" s="19">
        <v>1156</v>
      </c>
      <c r="I133" s="19" t="s">
        <v>10</v>
      </c>
      <c r="J133" s="19" t="s">
        <v>9</v>
      </c>
      <c r="K133" s="20">
        <v>5</v>
      </c>
      <c r="L133" s="21">
        <v>118.59</v>
      </c>
      <c r="M133" s="22">
        <v>0.3</v>
      </c>
      <c r="N133" s="21">
        <f t="shared" ref="N133:N196" si="14">L133-(L133*M133)</f>
        <v>83.013000000000005</v>
      </c>
      <c r="O133" s="21">
        <v>415.06</v>
      </c>
      <c r="P133" s="19" t="s">
        <v>6</v>
      </c>
      <c r="Q133" s="23">
        <v>6</v>
      </c>
      <c r="R133" s="45">
        <v>2</v>
      </c>
    </row>
    <row r="134" spans="2:18" x14ac:dyDescent="0.2">
      <c r="B134" s="25">
        <v>131</v>
      </c>
      <c r="C134" s="18">
        <v>43961</v>
      </c>
      <c r="D134" s="24">
        <f t="shared" si="10"/>
        <v>2020</v>
      </c>
      <c r="E134" s="24" t="str">
        <f t="shared" si="11"/>
        <v>Q2</v>
      </c>
      <c r="F134" s="24" t="str">
        <f t="shared" si="12"/>
        <v>May</v>
      </c>
      <c r="G134" s="24">
        <f t="shared" si="13"/>
        <v>5</v>
      </c>
      <c r="H134" s="19">
        <v>1014</v>
      </c>
      <c r="I134" s="19" t="s">
        <v>10</v>
      </c>
      <c r="J134" s="19" t="s">
        <v>1</v>
      </c>
      <c r="K134" s="20">
        <v>5</v>
      </c>
      <c r="L134" s="21">
        <v>342.91</v>
      </c>
      <c r="M134" s="22">
        <v>0.05</v>
      </c>
      <c r="N134" s="21">
        <f t="shared" si="14"/>
        <v>325.7645</v>
      </c>
      <c r="O134" s="21">
        <v>1628.82</v>
      </c>
      <c r="P134" s="19" t="s">
        <v>6</v>
      </c>
      <c r="Q134" s="23">
        <v>8</v>
      </c>
      <c r="R134" s="45">
        <v>4.5</v>
      </c>
    </row>
    <row r="135" spans="2:18" x14ac:dyDescent="0.2">
      <c r="B135" s="25">
        <v>132</v>
      </c>
      <c r="C135" s="18">
        <v>43962</v>
      </c>
      <c r="D135" s="24">
        <f t="shared" si="10"/>
        <v>2020</v>
      </c>
      <c r="E135" s="24" t="str">
        <f t="shared" si="11"/>
        <v>Q2</v>
      </c>
      <c r="F135" s="24" t="str">
        <f t="shared" si="12"/>
        <v>May</v>
      </c>
      <c r="G135" s="24">
        <f t="shared" si="13"/>
        <v>5</v>
      </c>
      <c r="H135" s="19">
        <v>1812</v>
      </c>
      <c r="I135" s="19" t="s">
        <v>3</v>
      </c>
      <c r="J135" s="19" t="s">
        <v>5</v>
      </c>
      <c r="K135" s="20">
        <v>4</v>
      </c>
      <c r="L135" s="21">
        <v>589.08000000000004</v>
      </c>
      <c r="M135" s="22">
        <v>0.01</v>
      </c>
      <c r="N135" s="21">
        <f t="shared" si="14"/>
        <v>583.18920000000003</v>
      </c>
      <c r="O135" s="21">
        <v>2332.7600000000002</v>
      </c>
      <c r="P135" s="19" t="s">
        <v>4</v>
      </c>
      <c r="Q135" s="23">
        <v>4</v>
      </c>
      <c r="R135" s="45">
        <v>2.2999999999999998</v>
      </c>
    </row>
    <row r="136" spans="2:18" x14ac:dyDescent="0.2">
      <c r="B136" s="25">
        <v>133</v>
      </c>
      <c r="C136" s="18">
        <v>43963</v>
      </c>
      <c r="D136" s="24">
        <f t="shared" si="10"/>
        <v>2020</v>
      </c>
      <c r="E136" s="24" t="str">
        <f t="shared" si="11"/>
        <v>Q2</v>
      </c>
      <c r="F136" s="24" t="str">
        <f t="shared" si="12"/>
        <v>May</v>
      </c>
      <c r="G136" s="24">
        <f t="shared" si="13"/>
        <v>5</v>
      </c>
      <c r="H136" s="19">
        <v>1064</v>
      </c>
      <c r="I136" s="19" t="s">
        <v>0</v>
      </c>
      <c r="J136" s="19" t="s">
        <v>5</v>
      </c>
      <c r="K136" s="20">
        <v>6</v>
      </c>
      <c r="L136" s="21">
        <v>318.20999999999998</v>
      </c>
      <c r="M136" s="22">
        <v>0.33</v>
      </c>
      <c r="N136" s="21">
        <f t="shared" si="14"/>
        <v>213.20069999999998</v>
      </c>
      <c r="O136" s="21">
        <v>1279.2</v>
      </c>
      <c r="P136" s="19" t="s">
        <v>2</v>
      </c>
      <c r="Q136" s="23">
        <v>4</v>
      </c>
      <c r="R136" s="45">
        <v>4</v>
      </c>
    </row>
    <row r="137" spans="2:18" x14ac:dyDescent="0.2">
      <c r="B137" s="25">
        <v>134</v>
      </c>
      <c r="C137" s="18">
        <v>43964</v>
      </c>
      <c r="D137" s="24">
        <f t="shared" si="10"/>
        <v>2020</v>
      </c>
      <c r="E137" s="24" t="str">
        <f t="shared" si="11"/>
        <v>Q2</v>
      </c>
      <c r="F137" s="24" t="str">
        <f t="shared" si="12"/>
        <v>May</v>
      </c>
      <c r="G137" s="24">
        <f t="shared" si="13"/>
        <v>5</v>
      </c>
      <c r="H137" s="19">
        <v>1856</v>
      </c>
      <c r="I137" s="19" t="s">
        <v>7</v>
      </c>
      <c r="J137" s="19" t="s">
        <v>5</v>
      </c>
      <c r="K137" s="20">
        <v>4</v>
      </c>
      <c r="L137" s="21">
        <v>557.66999999999996</v>
      </c>
      <c r="M137" s="22">
        <v>0.05</v>
      </c>
      <c r="N137" s="21">
        <f t="shared" si="14"/>
        <v>529.78649999999993</v>
      </c>
      <c r="O137" s="21">
        <v>2119.15</v>
      </c>
      <c r="P137" s="19" t="s">
        <v>6</v>
      </c>
      <c r="Q137" s="23">
        <v>3</v>
      </c>
      <c r="R137" s="45">
        <v>3.6</v>
      </c>
    </row>
    <row r="138" spans="2:18" x14ac:dyDescent="0.2">
      <c r="B138" s="25">
        <v>135</v>
      </c>
      <c r="C138" s="18">
        <v>43965</v>
      </c>
      <c r="D138" s="24">
        <f t="shared" si="10"/>
        <v>2020</v>
      </c>
      <c r="E138" s="24" t="str">
        <f t="shared" si="11"/>
        <v>Q2</v>
      </c>
      <c r="F138" s="24" t="str">
        <f t="shared" si="12"/>
        <v>May</v>
      </c>
      <c r="G138" s="24">
        <f t="shared" si="13"/>
        <v>5</v>
      </c>
      <c r="H138" s="19">
        <v>1838</v>
      </c>
      <c r="I138" s="19" t="s">
        <v>7</v>
      </c>
      <c r="J138" s="19" t="s">
        <v>1</v>
      </c>
      <c r="K138" s="20">
        <v>2</v>
      </c>
      <c r="L138" s="21">
        <v>253.29</v>
      </c>
      <c r="M138" s="22">
        <v>0.28000000000000003</v>
      </c>
      <c r="N138" s="21">
        <f t="shared" si="14"/>
        <v>182.36879999999999</v>
      </c>
      <c r="O138" s="21">
        <v>364.74</v>
      </c>
      <c r="P138" s="19" t="s">
        <v>4</v>
      </c>
      <c r="Q138" s="23">
        <v>1</v>
      </c>
      <c r="R138" s="45">
        <v>3.2</v>
      </c>
    </row>
    <row r="139" spans="2:18" x14ac:dyDescent="0.2">
      <c r="B139" s="25">
        <v>136</v>
      </c>
      <c r="C139" s="18">
        <v>43966</v>
      </c>
      <c r="D139" s="24">
        <f t="shared" si="10"/>
        <v>2020</v>
      </c>
      <c r="E139" s="24" t="str">
        <f t="shared" si="11"/>
        <v>Q2</v>
      </c>
      <c r="F139" s="24" t="str">
        <f t="shared" si="12"/>
        <v>May</v>
      </c>
      <c r="G139" s="24">
        <f t="shared" si="13"/>
        <v>5</v>
      </c>
      <c r="H139" s="19">
        <v>1520</v>
      </c>
      <c r="I139" s="19" t="s">
        <v>10</v>
      </c>
      <c r="J139" s="19" t="s">
        <v>1</v>
      </c>
      <c r="K139" s="20">
        <v>3</v>
      </c>
      <c r="L139" s="21">
        <v>599.32000000000005</v>
      </c>
      <c r="M139" s="22">
        <v>0.28999999999999998</v>
      </c>
      <c r="N139" s="21">
        <f t="shared" si="14"/>
        <v>425.51720000000006</v>
      </c>
      <c r="O139" s="21">
        <v>1276.55</v>
      </c>
      <c r="P139" s="19" t="s">
        <v>6</v>
      </c>
      <c r="Q139" s="23">
        <v>10</v>
      </c>
      <c r="R139" s="45">
        <v>2.7</v>
      </c>
    </row>
    <row r="140" spans="2:18" x14ac:dyDescent="0.2">
      <c r="B140" s="25">
        <v>137</v>
      </c>
      <c r="C140" s="18">
        <v>43967</v>
      </c>
      <c r="D140" s="24">
        <f t="shared" si="10"/>
        <v>2020</v>
      </c>
      <c r="E140" s="24" t="str">
        <f t="shared" si="11"/>
        <v>Q2</v>
      </c>
      <c r="F140" s="24" t="str">
        <f t="shared" si="12"/>
        <v>May</v>
      </c>
      <c r="G140" s="24">
        <f t="shared" si="13"/>
        <v>5</v>
      </c>
      <c r="H140" s="19">
        <v>1343</v>
      </c>
      <c r="I140" s="19" t="s">
        <v>10</v>
      </c>
      <c r="J140" s="19" t="s">
        <v>9</v>
      </c>
      <c r="K140" s="20">
        <v>1</v>
      </c>
      <c r="L140" s="21">
        <v>353.84</v>
      </c>
      <c r="M140" s="22">
        <v>0.25</v>
      </c>
      <c r="N140" s="21">
        <f t="shared" si="14"/>
        <v>265.38</v>
      </c>
      <c r="O140" s="21">
        <v>265.38</v>
      </c>
      <c r="P140" s="19" t="s">
        <v>6</v>
      </c>
      <c r="Q140" s="23">
        <v>3</v>
      </c>
      <c r="R140" s="45">
        <v>3.7</v>
      </c>
    </row>
    <row r="141" spans="2:18" x14ac:dyDescent="0.2">
      <c r="B141" s="25">
        <v>138</v>
      </c>
      <c r="C141" s="18">
        <v>43968</v>
      </c>
      <c r="D141" s="24">
        <f t="shared" si="10"/>
        <v>2020</v>
      </c>
      <c r="E141" s="24" t="str">
        <f t="shared" si="11"/>
        <v>Q2</v>
      </c>
      <c r="F141" s="24" t="str">
        <f t="shared" si="12"/>
        <v>May</v>
      </c>
      <c r="G141" s="24">
        <f t="shared" si="13"/>
        <v>5</v>
      </c>
      <c r="H141" s="19">
        <v>1128</v>
      </c>
      <c r="I141" s="19" t="s">
        <v>7</v>
      </c>
      <c r="J141" s="19" t="s">
        <v>9</v>
      </c>
      <c r="K141" s="20">
        <v>4</v>
      </c>
      <c r="L141" s="21">
        <v>39.729999999999997</v>
      </c>
      <c r="M141" s="22">
        <v>0.05</v>
      </c>
      <c r="N141" s="21">
        <f t="shared" si="14"/>
        <v>37.743499999999997</v>
      </c>
      <c r="O141" s="21">
        <v>150.97</v>
      </c>
      <c r="P141" s="19" t="s">
        <v>4</v>
      </c>
      <c r="Q141" s="23">
        <v>1</v>
      </c>
      <c r="R141" s="45">
        <v>2.6</v>
      </c>
    </row>
    <row r="142" spans="2:18" x14ac:dyDescent="0.2">
      <c r="B142" s="25">
        <v>139</v>
      </c>
      <c r="C142" s="18">
        <v>43969</v>
      </c>
      <c r="D142" s="24">
        <f t="shared" si="10"/>
        <v>2020</v>
      </c>
      <c r="E142" s="24" t="str">
        <f t="shared" si="11"/>
        <v>Q2</v>
      </c>
      <c r="F142" s="24" t="str">
        <f t="shared" si="12"/>
        <v>May</v>
      </c>
      <c r="G142" s="24">
        <f t="shared" si="13"/>
        <v>5</v>
      </c>
      <c r="H142" s="19">
        <v>1647</v>
      </c>
      <c r="I142" s="19" t="s">
        <v>7</v>
      </c>
      <c r="J142" s="19" t="s">
        <v>5</v>
      </c>
      <c r="K142" s="20">
        <v>4</v>
      </c>
      <c r="L142" s="21">
        <v>358.25</v>
      </c>
      <c r="M142" s="22">
        <v>0.23</v>
      </c>
      <c r="N142" s="21">
        <f t="shared" si="14"/>
        <v>275.85249999999996</v>
      </c>
      <c r="O142" s="21">
        <v>1103.4100000000001</v>
      </c>
      <c r="P142" s="19" t="s">
        <v>4</v>
      </c>
      <c r="Q142" s="23">
        <v>6</v>
      </c>
      <c r="R142" s="45">
        <v>3.2</v>
      </c>
    </row>
    <row r="143" spans="2:18" x14ac:dyDescent="0.2">
      <c r="B143" s="25">
        <v>140</v>
      </c>
      <c r="C143" s="18">
        <v>43970</v>
      </c>
      <c r="D143" s="24">
        <f t="shared" si="10"/>
        <v>2020</v>
      </c>
      <c r="E143" s="24" t="str">
        <f t="shared" si="11"/>
        <v>Q2</v>
      </c>
      <c r="F143" s="24" t="str">
        <f t="shared" si="12"/>
        <v>May</v>
      </c>
      <c r="G143" s="24">
        <f t="shared" si="13"/>
        <v>5</v>
      </c>
      <c r="H143" s="19">
        <v>1471</v>
      </c>
      <c r="I143" s="19" t="s">
        <v>7</v>
      </c>
      <c r="J143" s="19" t="s">
        <v>5</v>
      </c>
      <c r="K143" s="20">
        <v>5</v>
      </c>
      <c r="L143" s="21">
        <v>175.63</v>
      </c>
      <c r="M143" s="22">
        <v>0.31</v>
      </c>
      <c r="N143" s="21">
        <f t="shared" si="14"/>
        <v>121.18469999999999</v>
      </c>
      <c r="O143" s="21">
        <v>605.91999999999996</v>
      </c>
      <c r="P143" s="19" t="s">
        <v>2</v>
      </c>
      <c r="Q143" s="23">
        <v>8</v>
      </c>
      <c r="R143" s="45">
        <v>3.4</v>
      </c>
    </row>
    <row r="144" spans="2:18" x14ac:dyDescent="0.2">
      <c r="B144" s="25">
        <v>141</v>
      </c>
      <c r="C144" s="18">
        <v>43971</v>
      </c>
      <c r="D144" s="24">
        <f t="shared" si="10"/>
        <v>2020</v>
      </c>
      <c r="E144" s="24" t="str">
        <f t="shared" si="11"/>
        <v>Q2</v>
      </c>
      <c r="F144" s="24" t="str">
        <f t="shared" si="12"/>
        <v>May</v>
      </c>
      <c r="G144" s="24">
        <f t="shared" si="13"/>
        <v>5</v>
      </c>
      <c r="H144" s="19">
        <v>1062</v>
      </c>
      <c r="I144" s="19" t="s">
        <v>7</v>
      </c>
      <c r="J144" s="19" t="s">
        <v>1</v>
      </c>
      <c r="K144" s="20">
        <v>2</v>
      </c>
      <c r="L144" s="21">
        <v>34</v>
      </c>
      <c r="M144" s="22">
        <v>0.15</v>
      </c>
      <c r="N144" s="21">
        <f t="shared" si="14"/>
        <v>28.9</v>
      </c>
      <c r="O144" s="21">
        <v>57.8</v>
      </c>
      <c r="P144" s="19" t="s">
        <v>6</v>
      </c>
      <c r="Q144" s="23">
        <v>3</v>
      </c>
      <c r="R144" s="45">
        <v>2.1</v>
      </c>
    </row>
    <row r="145" spans="2:18" x14ac:dyDescent="0.2">
      <c r="B145" s="25">
        <v>142</v>
      </c>
      <c r="C145" s="18">
        <v>43972</v>
      </c>
      <c r="D145" s="24">
        <f t="shared" si="10"/>
        <v>2020</v>
      </c>
      <c r="E145" s="24" t="str">
        <f t="shared" si="11"/>
        <v>Q2</v>
      </c>
      <c r="F145" s="24" t="str">
        <f t="shared" si="12"/>
        <v>May</v>
      </c>
      <c r="G145" s="24">
        <f t="shared" si="13"/>
        <v>5</v>
      </c>
      <c r="H145" s="19">
        <v>1138</v>
      </c>
      <c r="I145" s="19" t="s">
        <v>10</v>
      </c>
      <c r="J145" s="19" t="s">
        <v>1</v>
      </c>
      <c r="K145" s="20">
        <v>7</v>
      </c>
      <c r="L145" s="21">
        <v>495.2</v>
      </c>
      <c r="M145" s="22">
        <v>0.14000000000000001</v>
      </c>
      <c r="N145" s="21">
        <f t="shared" si="14"/>
        <v>425.87199999999996</v>
      </c>
      <c r="O145" s="21">
        <v>2981.1</v>
      </c>
      <c r="P145" s="19" t="s">
        <v>4</v>
      </c>
      <c r="Q145" s="23">
        <v>4</v>
      </c>
      <c r="R145" s="45">
        <v>2.4</v>
      </c>
    </row>
    <row r="146" spans="2:18" x14ac:dyDescent="0.2">
      <c r="B146" s="25">
        <v>143</v>
      </c>
      <c r="C146" s="18">
        <v>43973</v>
      </c>
      <c r="D146" s="24">
        <f t="shared" si="10"/>
        <v>2020</v>
      </c>
      <c r="E146" s="24" t="str">
        <f t="shared" si="11"/>
        <v>Q2</v>
      </c>
      <c r="F146" s="24" t="str">
        <f t="shared" si="12"/>
        <v>May</v>
      </c>
      <c r="G146" s="24">
        <f t="shared" si="13"/>
        <v>5</v>
      </c>
      <c r="H146" s="19">
        <v>1498</v>
      </c>
      <c r="I146" s="19" t="s">
        <v>3</v>
      </c>
      <c r="J146" s="19" t="s">
        <v>9</v>
      </c>
      <c r="K146" s="20">
        <v>7</v>
      </c>
      <c r="L146" s="21">
        <v>176.3</v>
      </c>
      <c r="M146" s="22">
        <v>0.16</v>
      </c>
      <c r="N146" s="21">
        <f t="shared" si="14"/>
        <v>148.09200000000001</v>
      </c>
      <c r="O146" s="21">
        <v>1036.6400000000001</v>
      </c>
      <c r="P146" s="19" t="s">
        <v>4</v>
      </c>
      <c r="Q146" s="23">
        <v>5</v>
      </c>
      <c r="R146" s="45">
        <v>1.1000000000000001</v>
      </c>
    </row>
    <row r="147" spans="2:18" x14ac:dyDescent="0.2">
      <c r="B147" s="25">
        <v>144</v>
      </c>
      <c r="C147" s="18">
        <v>43974</v>
      </c>
      <c r="D147" s="24">
        <f t="shared" si="10"/>
        <v>2020</v>
      </c>
      <c r="E147" s="24" t="str">
        <f t="shared" si="11"/>
        <v>Q2</v>
      </c>
      <c r="F147" s="24" t="str">
        <f t="shared" si="12"/>
        <v>May</v>
      </c>
      <c r="G147" s="24">
        <f t="shared" si="13"/>
        <v>5</v>
      </c>
      <c r="H147" s="19">
        <v>1592</v>
      </c>
      <c r="I147" s="19" t="s">
        <v>7</v>
      </c>
      <c r="J147" s="19" t="s">
        <v>9</v>
      </c>
      <c r="K147" s="20">
        <v>5</v>
      </c>
      <c r="L147" s="21">
        <v>480.98</v>
      </c>
      <c r="M147" s="22">
        <v>0.03</v>
      </c>
      <c r="N147" s="21">
        <f t="shared" si="14"/>
        <v>466.55060000000003</v>
      </c>
      <c r="O147" s="21">
        <v>2332.75</v>
      </c>
      <c r="P147" s="19" t="s">
        <v>6</v>
      </c>
      <c r="Q147" s="23">
        <v>7</v>
      </c>
      <c r="R147" s="45">
        <v>4.4000000000000004</v>
      </c>
    </row>
    <row r="148" spans="2:18" x14ac:dyDescent="0.2">
      <c r="B148" s="25">
        <v>145</v>
      </c>
      <c r="C148" s="18">
        <v>43975</v>
      </c>
      <c r="D148" s="24">
        <f t="shared" si="10"/>
        <v>2020</v>
      </c>
      <c r="E148" s="24" t="str">
        <f t="shared" si="11"/>
        <v>Q2</v>
      </c>
      <c r="F148" s="24" t="str">
        <f t="shared" si="12"/>
        <v>May</v>
      </c>
      <c r="G148" s="24">
        <f t="shared" si="13"/>
        <v>5</v>
      </c>
      <c r="H148" s="19">
        <v>1391</v>
      </c>
      <c r="I148" s="19" t="s">
        <v>3</v>
      </c>
      <c r="J148" s="19" t="s">
        <v>8</v>
      </c>
      <c r="K148" s="20">
        <v>6</v>
      </c>
      <c r="L148" s="21">
        <v>183.61</v>
      </c>
      <c r="M148" s="22">
        <v>0.31</v>
      </c>
      <c r="N148" s="21">
        <f t="shared" si="14"/>
        <v>126.6909</v>
      </c>
      <c r="O148" s="21">
        <v>760.15</v>
      </c>
      <c r="P148" s="19" t="s">
        <v>6</v>
      </c>
      <c r="Q148" s="23">
        <v>11</v>
      </c>
      <c r="R148" s="45">
        <v>4</v>
      </c>
    </row>
    <row r="149" spans="2:18" x14ac:dyDescent="0.2">
      <c r="B149" s="25">
        <v>146</v>
      </c>
      <c r="C149" s="18">
        <v>43976</v>
      </c>
      <c r="D149" s="24">
        <f t="shared" si="10"/>
        <v>2020</v>
      </c>
      <c r="E149" s="24" t="str">
        <f t="shared" si="11"/>
        <v>Q2</v>
      </c>
      <c r="F149" s="24" t="str">
        <f t="shared" si="12"/>
        <v>May</v>
      </c>
      <c r="G149" s="24">
        <f t="shared" si="13"/>
        <v>5</v>
      </c>
      <c r="H149" s="19">
        <v>1674</v>
      </c>
      <c r="I149" s="19" t="s">
        <v>7</v>
      </c>
      <c r="J149" s="19" t="s">
        <v>9</v>
      </c>
      <c r="K149" s="20">
        <v>4</v>
      </c>
      <c r="L149" s="21">
        <v>128.68</v>
      </c>
      <c r="M149" s="22">
        <v>0.3</v>
      </c>
      <c r="N149" s="21">
        <f t="shared" si="14"/>
        <v>90.076000000000008</v>
      </c>
      <c r="O149" s="21">
        <v>360.3</v>
      </c>
      <c r="P149" s="19" t="s">
        <v>4</v>
      </c>
      <c r="Q149" s="23">
        <v>6</v>
      </c>
      <c r="R149" s="45">
        <v>1.7</v>
      </c>
    </row>
    <row r="150" spans="2:18" x14ac:dyDescent="0.2">
      <c r="B150" s="25">
        <v>147</v>
      </c>
      <c r="C150" s="18">
        <v>43977</v>
      </c>
      <c r="D150" s="24">
        <f t="shared" si="10"/>
        <v>2020</v>
      </c>
      <c r="E150" s="24" t="str">
        <f t="shared" si="11"/>
        <v>Q2</v>
      </c>
      <c r="F150" s="24" t="str">
        <f t="shared" si="12"/>
        <v>May</v>
      </c>
      <c r="G150" s="24">
        <f t="shared" si="13"/>
        <v>5</v>
      </c>
      <c r="H150" s="19">
        <v>1418</v>
      </c>
      <c r="I150" s="19" t="s">
        <v>7</v>
      </c>
      <c r="J150" s="19" t="s">
        <v>1</v>
      </c>
      <c r="K150" s="20">
        <v>4</v>
      </c>
      <c r="L150" s="21">
        <v>584.75</v>
      </c>
      <c r="M150" s="22">
        <v>0.35</v>
      </c>
      <c r="N150" s="21">
        <f t="shared" si="14"/>
        <v>380.08749999999998</v>
      </c>
      <c r="O150" s="21">
        <v>1520.35</v>
      </c>
      <c r="P150" s="19" t="s">
        <v>6</v>
      </c>
      <c r="Q150" s="23">
        <v>2</v>
      </c>
      <c r="R150" s="45">
        <v>2.4</v>
      </c>
    </row>
    <row r="151" spans="2:18" x14ac:dyDescent="0.2">
      <c r="B151" s="25">
        <v>148</v>
      </c>
      <c r="C151" s="18">
        <v>43978</v>
      </c>
      <c r="D151" s="24">
        <f t="shared" si="10"/>
        <v>2020</v>
      </c>
      <c r="E151" s="24" t="str">
        <f t="shared" si="11"/>
        <v>Q2</v>
      </c>
      <c r="F151" s="24" t="str">
        <f t="shared" si="12"/>
        <v>May</v>
      </c>
      <c r="G151" s="24">
        <f t="shared" si="13"/>
        <v>5</v>
      </c>
      <c r="H151" s="19">
        <v>1288</v>
      </c>
      <c r="I151" s="19" t="s">
        <v>3</v>
      </c>
      <c r="J151" s="19" t="s">
        <v>5</v>
      </c>
      <c r="K151" s="20">
        <v>5</v>
      </c>
      <c r="L151" s="21">
        <v>226.56</v>
      </c>
      <c r="M151" s="22">
        <v>0.2</v>
      </c>
      <c r="N151" s="21">
        <f t="shared" si="14"/>
        <v>181.24799999999999</v>
      </c>
      <c r="O151" s="21">
        <v>906.24</v>
      </c>
      <c r="P151" s="19" t="s">
        <v>4</v>
      </c>
      <c r="Q151" s="23">
        <v>7</v>
      </c>
      <c r="R151" s="45">
        <v>2.7</v>
      </c>
    </row>
    <row r="152" spans="2:18" x14ac:dyDescent="0.2">
      <c r="B152" s="25">
        <v>149</v>
      </c>
      <c r="C152" s="18">
        <v>43979</v>
      </c>
      <c r="D152" s="24">
        <f t="shared" si="10"/>
        <v>2020</v>
      </c>
      <c r="E152" s="24" t="str">
        <f t="shared" si="11"/>
        <v>Q2</v>
      </c>
      <c r="F152" s="24" t="str">
        <f t="shared" si="12"/>
        <v>May</v>
      </c>
      <c r="G152" s="24">
        <f t="shared" si="13"/>
        <v>5</v>
      </c>
      <c r="H152" s="19">
        <v>1378</v>
      </c>
      <c r="I152" s="19" t="s">
        <v>0</v>
      </c>
      <c r="J152" s="19" t="s">
        <v>8</v>
      </c>
      <c r="K152" s="20">
        <v>4</v>
      </c>
      <c r="L152" s="21">
        <v>366.81</v>
      </c>
      <c r="M152" s="22">
        <v>0.26</v>
      </c>
      <c r="N152" s="21">
        <f t="shared" si="14"/>
        <v>271.43939999999998</v>
      </c>
      <c r="O152" s="21">
        <v>1085.76</v>
      </c>
      <c r="P152" s="19" t="s">
        <v>4</v>
      </c>
      <c r="Q152" s="23">
        <v>8</v>
      </c>
      <c r="R152" s="45">
        <v>2.2999999999999998</v>
      </c>
    </row>
    <row r="153" spans="2:18" x14ac:dyDescent="0.2">
      <c r="B153" s="25">
        <v>150</v>
      </c>
      <c r="C153" s="18">
        <v>43980</v>
      </c>
      <c r="D153" s="24">
        <f t="shared" si="10"/>
        <v>2020</v>
      </c>
      <c r="E153" s="24" t="str">
        <f t="shared" si="11"/>
        <v>Q2</v>
      </c>
      <c r="F153" s="24" t="str">
        <f t="shared" si="12"/>
        <v>May</v>
      </c>
      <c r="G153" s="24">
        <f t="shared" si="13"/>
        <v>5</v>
      </c>
      <c r="H153" s="19">
        <v>1772</v>
      </c>
      <c r="I153" s="19" t="s">
        <v>10</v>
      </c>
      <c r="J153" s="19" t="s">
        <v>9</v>
      </c>
      <c r="K153" s="20">
        <v>6</v>
      </c>
      <c r="L153" s="21">
        <v>371.84</v>
      </c>
      <c r="M153" s="22">
        <v>7.0000000000000007E-2</v>
      </c>
      <c r="N153" s="21">
        <f t="shared" si="14"/>
        <v>345.81119999999999</v>
      </c>
      <c r="O153" s="21">
        <v>2074.87</v>
      </c>
      <c r="P153" s="19" t="s">
        <v>6</v>
      </c>
      <c r="Q153" s="23">
        <v>1</v>
      </c>
      <c r="R153" s="45">
        <v>4.2</v>
      </c>
    </row>
    <row r="154" spans="2:18" x14ac:dyDescent="0.2">
      <c r="B154" s="25">
        <v>151</v>
      </c>
      <c r="C154" s="18">
        <v>43981</v>
      </c>
      <c r="D154" s="24">
        <f t="shared" si="10"/>
        <v>2020</v>
      </c>
      <c r="E154" s="24" t="str">
        <f t="shared" si="11"/>
        <v>Q2</v>
      </c>
      <c r="F154" s="24" t="str">
        <f t="shared" si="12"/>
        <v>May</v>
      </c>
      <c r="G154" s="24">
        <f t="shared" si="13"/>
        <v>5</v>
      </c>
      <c r="H154" s="19">
        <v>1489</v>
      </c>
      <c r="I154" s="19" t="s">
        <v>7</v>
      </c>
      <c r="J154" s="19" t="s">
        <v>9</v>
      </c>
      <c r="K154" s="20">
        <v>3</v>
      </c>
      <c r="L154" s="21">
        <v>342.88</v>
      </c>
      <c r="M154" s="22">
        <v>0.23</v>
      </c>
      <c r="N154" s="21">
        <f t="shared" si="14"/>
        <v>264.01760000000002</v>
      </c>
      <c r="O154" s="21">
        <v>792.05</v>
      </c>
      <c r="P154" s="19" t="s">
        <v>4</v>
      </c>
      <c r="Q154" s="23">
        <v>6</v>
      </c>
      <c r="R154" s="45">
        <v>3.9</v>
      </c>
    </row>
    <row r="155" spans="2:18" x14ac:dyDescent="0.2">
      <c r="B155" s="25">
        <v>152</v>
      </c>
      <c r="C155" s="18">
        <v>43982</v>
      </c>
      <c r="D155" s="24">
        <f t="shared" si="10"/>
        <v>2020</v>
      </c>
      <c r="E155" s="24" t="str">
        <f t="shared" si="11"/>
        <v>Q2</v>
      </c>
      <c r="F155" s="24" t="str">
        <f t="shared" si="12"/>
        <v>May</v>
      </c>
      <c r="G155" s="24">
        <f t="shared" si="13"/>
        <v>5</v>
      </c>
      <c r="H155" s="19">
        <v>1230</v>
      </c>
      <c r="I155" s="19" t="s">
        <v>0</v>
      </c>
      <c r="J155" s="19" t="s">
        <v>1</v>
      </c>
      <c r="K155" s="20">
        <v>1</v>
      </c>
      <c r="L155" s="21">
        <v>550.1</v>
      </c>
      <c r="M155" s="22">
        <v>0.23</v>
      </c>
      <c r="N155" s="21">
        <f t="shared" si="14"/>
        <v>423.577</v>
      </c>
      <c r="O155" s="21">
        <v>423.58</v>
      </c>
      <c r="P155" s="19" t="s">
        <v>2</v>
      </c>
      <c r="Q155" s="23">
        <v>11</v>
      </c>
      <c r="R155" s="45">
        <v>4.0999999999999996</v>
      </c>
    </row>
    <row r="156" spans="2:18" x14ac:dyDescent="0.2">
      <c r="B156" s="25">
        <v>153</v>
      </c>
      <c r="C156" s="18">
        <v>43983</v>
      </c>
      <c r="D156" s="24">
        <f t="shared" si="10"/>
        <v>2020</v>
      </c>
      <c r="E156" s="24" t="str">
        <f t="shared" si="11"/>
        <v>Q2</v>
      </c>
      <c r="F156" s="24" t="str">
        <f t="shared" si="12"/>
        <v>Jun</v>
      </c>
      <c r="G156" s="24">
        <f t="shared" si="13"/>
        <v>6</v>
      </c>
      <c r="H156" s="19">
        <v>1040</v>
      </c>
      <c r="I156" s="19" t="s">
        <v>10</v>
      </c>
      <c r="J156" s="19" t="s">
        <v>8</v>
      </c>
      <c r="K156" s="20">
        <v>1</v>
      </c>
      <c r="L156" s="21">
        <v>409.55</v>
      </c>
      <c r="M156" s="22">
        <v>0.32</v>
      </c>
      <c r="N156" s="21">
        <f t="shared" si="14"/>
        <v>278.49400000000003</v>
      </c>
      <c r="O156" s="21">
        <v>278.49</v>
      </c>
      <c r="P156" s="19" t="s">
        <v>4</v>
      </c>
      <c r="Q156" s="23">
        <v>9</v>
      </c>
      <c r="R156" s="45">
        <v>4.5999999999999996</v>
      </c>
    </row>
    <row r="157" spans="2:18" x14ac:dyDescent="0.2">
      <c r="B157" s="25">
        <v>154</v>
      </c>
      <c r="C157" s="18">
        <v>43984</v>
      </c>
      <c r="D157" s="24">
        <f t="shared" si="10"/>
        <v>2020</v>
      </c>
      <c r="E157" s="24" t="str">
        <f t="shared" si="11"/>
        <v>Q2</v>
      </c>
      <c r="F157" s="24" t="str">
        <f t="shared" si="12"/>
        <v>Jun</v>
      </c>
      <c r="G157" s="24">
        <f t="shared" si="13"/>
        <v>6</v>
      </c>
      <c r="H157" s="19">
        <v>1027</v>
      </c>
      <c r="I157" s="19" t="s">
        <v>10</v>
      </c>
      <c r="J157" s="19" t="s">
        <v>9</v>
      </c>
      <c r="K157" s="20">
        <v>1</v>
      </c>
      <c r="L157" s="21">
        <v>251.18</v>
      </c>
      <c r="M157" s="22">
        <v>0.28999999999999998</v>
      </c>
      <c r="N157" s="21">
        <f t="shared" si="14"/>
        <v>178.33780000000002</v>
      </c>
      <c r="O157" s="21">
        <v>178.34</v>
      </c>
      <c r="P157" s="19" t="s">
        <v>6</v>
      </c>
      <c r="Q157" s="23">
        <v>7</v>
      </c>
      <c r="R157" s="45">
        <v>3.4</v>
      </c>
    </row>
    <row r="158" spans="2:18" x14ac:dyDescent="0.2">
      <c r="B158" s="25">
        <v>155</v>
      </c>
      <c r="C158" s="18">
        <v>43985</v>
      </c>
      <c r="D158" s="24">
        <f t="shared" si="10"/>
        <v>2020</v>
      </c>
      <c r="E158" s="24" t="str">
        <f t="shared" si="11"/>
        <v>Q2</v>
      </c>
      <c r="F158" s="24" t="str">
        <f t="shared" si="12"/>
        <v>Jun</v>
      </c>
      <c r="G158" s="24">
        <f t="shared" si="13"/>
        <v>6</v>
      </c>
      <c r="H158" s="19">
        <v>1134</v>
      </c>
      <c r="I158" s="19" t="s">
        <v>3</v>
      </c>
      <c r="J158" s="19" t="s">
        <v>5</v>
      </c>
      <c r="K158" s="20">
        <v>3</v>
      </c>
      <c r="L158" s="21">
        <v>519.49</v>
      </c>
      <c r="M158" s="22">
        <v>0.33</v>
      </c>
      <c r="N158" s="21">
        <f t="shared" si="14"/>
        <v>348.05830000000003</v>
      </c>
      <c r="O158" s="21">
        <v>1044.17</v>
      </c>
      <c r="P158" s="19" t="s">
        <v>4</v>
      </c>
      <c r="Q158" s="23">
        <v>5</v>
      </c>
      <c r="R158" s="45">
        <v>3.5</v>
      </c>
    </row>
    <row r="159" spans="2:18" x14ac:dyDescent="0.2">
      <c r="B159" s="25">
        <v>156</v>
      </c>
      <c r="C159" s="18">
        <v>43986</v>
      </c>
      <c r="D159" s="24">
        <f t="shared" si="10"/>
        <v>2020</v>
      </c>
      <c r="E159" s="24" t="str">
        <f t="shared" si="11"/>
        <v>Q2</v>
      </c>
      <c r="F159" s="24" t="str">
        <f t="shared" si="12"/>
        <v>Jun</v>
      </c>
      <c r="G159" s="24">
        <f t="shared" si="13"/>
        <v>6</v>
      </c>
      <c r="H159" s="19">
        <v>1200</v>
      </c>
      <c r="I159" s="19" t="s">
        <v>3</v>
      </c>
      <c r="J159" s="19" t="s">
        <v>1</v>
      </c>
      <c r="K159" s="20">
        <v>4</v>
      </c>
      <c r="L159" s="21">
        <v>120.92</v>
      </c>
      <c r="M159" s="22">
        <v>0.3</v>
      </c>
      <c r="N159" s="21">
        <f t="shared" si="14"/>
        <v>84.644000000000005</v>
      </c>
      <c r="O159" s="21">
        <v>338.58</v>
      </c>
      <c r="P159" s="19" t="s">
        <v>4</v>
      </c>
      <c r="Q159" s="23">
        <v>10</v>
      </c>
      <c r="R159" s="45">
        <v>3.9</v>
      </c>
    </row>
    <row r="160" spans="2:18" x14ac:dyDescent="0.2">
      <c r="B160" s="25">
        <v>157</v>
      </c>
      <c r="C160" s="18">
        <v>43987</v>
      </c>
      <c r="D160" s="24">
        <f t="shared" si="10"/>
        <v>2020</v>
      </c>
      <c r="E160" s="24" t="str">
        <f t="shared" si="11"/>
        <v>Q2</v>
      </c>
      <c r="F160" s="24" t="str">
        <f t="shared" si="12"/>
        <v>Jun</v>
      </c>
      <c r="G160" s="24">
        <f t="shared" si="13"/>
        <v>6</v>
      </c>
      <c r="H160" s="19">
        <v>1839</v>
      </c>
      <c r="I160" s="19" t="s">
        <v>7</v>
      </c>
      <c r="J160" s="19" t="s">
        <v>8</v>
      </c>
      <c r="K160" s="20">
        <v>5</v>
      </c>
      <c r="L160" s="21">
        <v>333.38</v>
      </c>
      <c r="M160" s="22">
        <v>0.3</v>
      </c>
      <c r="N160" s="21">
        <f t="shared" si="14"/>
        <v>233.36599999999999</v>
      </c>
      <c r="O160" s="21">
        <v>1166.83</v>
      </c>
      <c r="P160" s="19" t="s">
        <v>6</v>
      </c>
      <c r="Q160" s="23">
        <v>11</v>
      </c>
      <c r="R160" s="45">
        <v>3.7</v>
      </c>
    </row>
    <row r="161" spans="2:18" x14ac:dyDescent="0.2">
      <c r="B161" s="25">
        <v>158</v>
      </c>
      <c r="C161" s="18">
        <v>43988</v>
      </c>
      <c r="D161" s="24">
        <f t="shared" si="10"/>
        <v>2020</v>
      </c>
      <c r="E161" s="24" t="str">
        <f t="shared" si="11"/>
        <v>Q2</v>
      </c>
      <c r="F161" s="24" t="str">
        <f t="shared" si="12"/>
        <v>Jun</v>
      </c>
      <c r="G161" s="24">
        <f t="shared" si="13"/>
        <v>6</v>
      </c>
      <c r="H161" s="19">
        <v>1779</v>
      </c>
      <c r="I161" s="19" t="s">
        <v>7</v>
      </c>
      <c r="J161" s="19" t="s">
        <v>9</v>
      </c>
      <c r="K161" s="20">
        <v>7</v>
      </c>
      <c r="L161" s="21">
        <v>571.07000000000005</v>
      </c>
      <c r="M161" s="22">
        <v>0.02</v>
      </c>
      <c r="N161" s="21">
        <f t="shared" si="14"/>
        <v>559.6486000000001</v>
      </c>
      <c r="O161" s="21">
        <v>3917.54</v>
      </c>
      <c r="P161" s="19" t="s">
        <v>6</v>
      </c>
      <c r="Q161" s="23">
        <v>10</v>
      </c>
      <c r="R161" s="45">
        <v>4.5</v>
      </c>
    </row>
    <row r="162" spans="2:18" x14ac:dyDescent="0.2">
      <c r="B162" s="25">
        <v>159</v>
      </c>
      <c r="C162" s="18">
        <v>43989</v>
      </c>
      <c r="D162" s="24">
        <f t="shared" si="10"/>
        <v>2020</v>
      </c>
      <c r="E162" s="24" t="str">
        <f t="shared" si="11"/>
        <v>Q2</v>
      </c>
      <c r="F162" s="24" t="str">
        <f t="shared" si="12"/>
        <v>Jun</v>
      </c>
      <c r="G162" s="24">
        <f t="shared" si="13"/>
        <v>6</v>
      </c>
      <c r="H162" s="19">
        <v>1929</v>
      </c>
      <c r="I162" s="19" t="s">
        <v>7</v>
      </c>
      <c r="J162" s="19" t="s">
        <v>9</v>
      </c>
      <c r="K162" s="20">
        <v>2</v>
      </c>
      <c r="L162" s="21">
        <v>380.86</v>
      </c>
      <c r="M162" s="22">
        <v>0.3</v>
      </c>
      <c r="N162" s="21">
        <f t="shared" si="14"/>
        <v>266.60200000000003</v>
      </c>
      <c r="O162" s="21">
        <v>533.20000000000005</v>
      </c>
      <c r="P162" s="19" t="s">
        <v>6</v>
      </c>
      <c r="Q162" s="23">
        <v>9</v>
      </c>
      <c r="R162" s="45">
        <v>4.0999999999999996</v>
      </c>
    </row>
    <row r="163" spans="2:18" x14ac:dyDescent="0.2">
      <c r="B163" s="25">
        <v>160</v>
      </c>
      <c r="C163" s="18">
        <v>43990</v>
      </c>
      <c r="D163" s="24">
        <f t="shared" si="10"/>
        <v>2020</v>
      </c>
      <c r="E163" s="24" t="str">
        <f t="shared" si="11"/>
        <v>Q2</v>
      </c>
      <c r="F163" s="24" t="str">
        <f t="shared" si="12"/>
        <v>Jun</v>
      </c>
      <c r="G163" s="24">
        <f t="shared" si="13"/>
        <v>6</v>
      </c>
      <c r="H163" s="19">
        <v>1032</v>
      </c>
      <c r="I163" s="19" t="s">
        <v>7</v>
      </c>
      <c r="J163" s="19" t="s">
        <v>8</v>
      </c>
      <c r="K163" s="20">
        <v>4</v>
      </c>
      <c r="L163" s="21">
        <v>492.93</v>
      </c>
      <c r="M163" s="22">
        <v>0.21</v>
      </c>
      <c r="N163" s="21">
        <f t="shared" si="14"/>
        <v>389.41470000000004</v>
      </c>
      <c r="O163" s="21">
        <v>1557.66</v>
      </c>
      <c r="P163" s="19" t="s">
        <v>6</v>
      </c>
      <c r="Q163" s="23">
        <v>2</v>
      </c>
      <c r="R163" s="45">
        <v>1.5</v>
      </c>
    </row>
    <row r="164" spans="2:18" x14ac:dyDescent="0.2">
      <c r="B164" s="25">
        <v>161</v>
      </c>
      <c r="C164" s="18">
        <v>43991</v>
      </c>
      <c r="D164" s="24">
        <f t="shared" si="10"/>
        <v>2020</v>
      </c>
      <c r="E164" s="24" t="str">
        <f t="shared" si="11"/>
        <v>Q2</v>
      </c>
      <c r="F164" s="24" t="str">
        <f t="shared" si="12"/>
        <v>Jun</v>
      </c>
      <c r="G164" s="24">
        <f t="shared" si="13"/>
        <v>6</v>
      </c>
      <c r="H164" s="19">
        <v>1047</v>
      </c>
      <c r="I164" s="19" t="s">
        <v>3</v>
      </c>
      <c r="J164" s="19" t="s">
        <v>1</v>
      </c>
      <c r="K164" s="20">
        <v>3</v>
      </c>
      <c r="L164" s="21">
        <v>397.33</v>
      </c>
      <c r="M164" s="22">
        <v>0.13</v>
      </c>
      <c r="N164" s="21">
        <f t="shared" si="14"/>
        <v>345.6771</v>
      </c>
      <c r="O164" s="21">
        <v>1037.03</v>
      </c>
      <c r="P164" s="19" t="s">
        <v>6</v>
      </c>
      <c r="Q164" s="23">
        <v>7</v>
      </c>
      <c r="R164" s="45">
        <v>4.7</v>
      </c>
    </row>
    <row r="165" spans="2:18" x14ac:dyDescent="0.2">
      <c r="B165" s="25">
        <v>162</v>
      </c>
      <c r="C165" s="18">
        <v>43992</v>
      </c>
      <c r="D165" s="24">
        <f t="shared" si="10"/>
        <v>2020</v>
      </c>
      <c r="E165" s="24" t="str">
        <f t="shared" si="11"/>
        <v>Q2</v>
      </c>
      <c r="F165" s="24" t="str">
        <f t="shared" si="12"/>
        <v>Jun</v>
      </c>
      <c r="G165" s="24">
        <f t="shared" si="13"/>
        <v>6</v>
      </c>
      <c r="H165" s="19">
        <v>1502</v>
      </c>
      <c r="I165" s="19" t="s">
        <v>10</v>
      </c>
      <c r="J165" s="19" t="s">
        <v>8</v>
      </c>
      <c r="K165" s="20">
        <v>6</v>
      </c>
      <c r="L165" s="21">
        <v>506.03</v>
      </c>
      <c r="M165" s="22">
        <v>0.02</v>
      </c>
      <c r="N165" s="21">
        <f t="shared" si="14"/>
        <v>495.90939999999995</v>
      </c>
      <c r="O165" s="21">
        <v>2975.46</v>
      </c>
      <c r="P165" s="19" t="s">
        <v>6</v>
      </c>
      <c r="Q165" s="23">
        <v>9</v>
      </c>
      <c r="R165" s="45">
        <v>3.7</v>
      </c>
    </row>
    <row r="166" spans="2:18" x14ac:dyDescent="0.2">
      <c r="B166" s="25">
        <v>163</v>
      </c>
      <c r="C166" s="18">
        <v>43993</v>
      </c>
      <c r="D166" s="24">
        <f t="shared" si="10"/>
        <v>2020</v>
      </c>
      <c r="E166" s="24" t="str">
        <f t="shared" si="11"/>
        <v>Q2</v>
      </c>
      <c r="F166" s="24" t="str">
        <f t="shared" si="12"/>
        <v>Jun</v>
      </c>
      <c r="G166" s="24">
        <f t="shared" si="13"/>
        <v>6</v>
      </c>
      <c r="H166" s="19">
        <v>1406</v>
      </c>
      <c r="I166" s="19" t="s">
        <v>3</v>
      </c>
      <c r="J166" s="19" t="s">
        <v>8</v>
      </c>
      <c r="K166" s="20">
        <v>3</v>
      </c>
      <c r="L166" s="21">
        <v>567.53</v>
      </c>
      <c r="M166" s="22">
        <v>0.24</v>
      </c>
      <c r="N166" s="21">
        <f t="shared" si="14"/>
        <v>431.32279999999997</v>
      </c>
      <c r="O166" s="21">
        <v>1293.97</v>
      </c>
      <c r="P166" s="19" t="s">
        <v>6</v>
      </c>
      <c r="Q166" s="23">
        <v>2</v>
      </c>
      <c r="R166" s="45">
        <v>1.5</v>
      </c>
    </row>
    <row r="167" spans="2:18" x14ac:dyDescent="0.2">
      <c r="B167" s="25">
        <v>164</v>
      </c>
      <c r="C167" s="18">
        <v>43994</v>
      </c>
      <c r="D167" s="24">
        <f t="shared" si="10"/>
        <v>2020</v>
      </c>
      <c r="E167" s="24" t="str">
        <f t="shared" si="11"/>
        <v>Q2</v>
      </c>
      <c r="F167" s="24" t="str">
        <f t="shared" si="12"/>
        <v>Jun</v>
      </c>
      <c r="G167" s="24">
        <f t="shared" si="13"/>
        <v>6</v>
      </c>
      <c r="H167" s="19">
        <v>1573</v>
      </c>
      <c r="I167" s="19" t="s">
        <v>7</v>
      </c>
      <c r="J167" s="19" t="s">
        <v>1</v>
      </c>
      <c r="K167" s="20">
        <v>7</v>
      </c>
      <c r="L167" s="21">
        <v>174.66</v>
      </c>
      <c r="M167" s="22">
        <v>0.11</v>
      </c>
      <c r="N167" s="21">
        <f t="shared" si="14"/>
        <v>155.44739999999999</v>
      </c>
      <c r="O167" s="21">
        <v>1088.1300000000001</v>
      </c>
      <c r="P167" s="19" t="s">
        <v>6</v>
      </c>
      <c r="Q167" s="23">
        <v>11</v>
      </c>
      <c r="R167" s="45">
        <v>4.0999999999999996</v>
      </c>
    </row>
    <row r="168" spans="2:18" x14ac:dyDescent="0.2">
      <c r="B168" s="25">
        <v>165</v>
      </c>
      <c r="C168" s="18">
        <v>43995</v>
      </c>
      <c r="D168" s="24">
        <f t="shared" si="10"/>
        <v>2020</v>
      </c>
      <c r="E168" s="24" t="str">
        <f t="shared" si="11"/>
        <v>Q2</v>
      </c>
      <c r="F168" s="24" t="str">
        <f t="shared" si="12"/>
        <v>Jun</v>
      </c>
      <c r="G168" s="24">
        <f t="shared" si="13"/>
        <v>6</v>
      </c>
      <c r="H168" s="19">
        <v>1727</v>
      </c>
      <c r="I168" s="19" t="s">
        <v>0</v>
      </c>
      <c r="J168" s="19" t="s">
        <v>9</v>
      </c>
      <c r="K168" s="20">
        <v>1</v>
      </c>
      <c r="L168" s="21">
        <v>114.25</v>
      </c>
      <c r="M168" s="22">
        <v>0.16</v>
      </c>
      <c r="N168" s="21">
        <f t="shared" si="14"/>
        <v>95.97</v>
      </c>
      <c r="O168" s="21">
        <v>95.97</v>
      </c>
      <c r="P168" s="19" t="s">
        <v>6</v>
      </c>
      <c r="Q168" s="23">
        <v>10</v>
      </c>
      <c r="R168" s="45">
        <v>2.4</v>
      </c>
    </row>
    <row r="169" spans="2:18" x14ac:dyDescent="0.2">
      <c r="B169" s="25">
        <v>166</v>
      </c>
      <c r="C169" s="18">
        <v>43996</v>
      </c>
      <c r="D169" s="24">
        <f t="shared" si="10"/>
        <v>2020</v>
      </c>
      <c r="E169" s="24" t="str">
        <f t="shared" si="11"/>
        <v>Q2</v>
      </c>
      <c r="F169" s="24" t="str">
        <f t="shared" si="12"/>
        <v>Jun</v>
      </c>
      <c r="G169" s="24">
        <f t="shared" si="13"/>
        <v>6</v>
      </c>
      <c r="H169" s="19">
        <v>1804</v>
      </c>
      <c r="I169" s="19" t="s">
        <v>0</v>
      </c>
      <c r="J169" s="19" t="s">
        <v>5</v>
      </c>
      <c r="K169" s="20">
        <v>4</v>
      </c>
      <c r="L169" s="21">
        <v>298.13</v>
      </c>
      <c r="M169" s="22">
        <v>0.24</v>
      </c>
      <c r="N169" s="21">
        <f t="shared" si="14"/>
        <v>226.5788</v>
      </c>
      <c r="O169" s="21">
        <v>906.32</v>
      </c>
      <c r="P169" s="19" t="s">
        <v>2</v>
      </c>
      <c r="Q169" s="23">
        <v>6</v>
      </c>
      <c r="R169" s="45">
        <v>4.2</v>
      </c>
    </row>
    <row r="170" spans="2:18" x14ac:dyDescent="0.2">
      <c r="B170" s="25">
        <v>167</v>
      </c>
      <c r="C170" s="18">
        <v>43997</v>
      </c>
      <c r="D170" s="24">
        <f t="shared" si="10"/>
        <v>2020</v>
      </c>
      <c r="E170" s="24" t="str">
        <f t="shared" si="11"/>
        <v>Q2</v>
      </c>
      <c r="F170" s="24" t="str">
        <f t="shared" si="12"/>
        <v>Jun</v>
      </c>
      <c r="G170" s="24">
        <f t="shared" si="13"/>
        <v>6</v>
      </c>
      <c r="H170" s="19">
        <v>1098</v>
      </c>
      <c r="I170" s="19" t="s">
        <v>10</v>
      </c>
      <c r="J170" s="19" t="s">
        <v>1</v>
      </c>
      <c r="K170" s="20">
        <v>7</v>
      </c>
      <c r="L170" s="21">
        <v>425.59</v>
      </c>
      <c r="M170" s="22">
        <v>0.32</v>
      </c>
      <c r="N170" s="21">
        <f t="shared" si="14"/>
        <v>289.40120000000002</v>
      </c>
      <c r="O170" s="21">
        <v>2025.81</v>
      </c>
      <c r="P170" s="19" t="s">
        <v>4</v>
      </c>
      <c r="Q170" s="23">
        <v>9</v>
      </c>
      <c r="R170" s="45">
        <v>4.8</v>
      </c>
    </row>
    <row r="171" spans="2:18" x14ac:dyDescent="0.2">
      <c r="B171" s="25">
        <v>168</v>
      </c>
      <c r="C171" s="18">
        <v>43998</v>
      </c>
      <c r="D171" s="24">
        <f t="shared" si="10"/>
        <v>2020</v>
      </c>
      <c r="E171" s="24" t="str">
        <f t="shared" si="11"/>
        <v>Q2</v>
      </c>
      <c r="F171" s="24" t="str">
        <f t="shared" si="12"/>
        <v>Jun</v>
      </c>
      <c r="G171" s="24">
        <f t="shared" si="13"/>
        <v>6</v>
      </c>
      <c r="H171" s="19">
        <v>1683</v>
      </c>
      <c r="I171" s="19" t="s">
        <v>0</v>
      </c>
      <c r="J171" s="19" t="s">
        <v>5</v>
      </c>
      <c r="K171" s="20">
        <v>1</v>
      </c>
      <c r="L171" s="21">
        <v>147.91</v>
      </c>
      <c r="M171" s="22">
        <v>0.28999999999999998</v>
      </c>
      <c r="N171" s="21">
        <f t="shared" si="14"/>
        <v>105.01609999999999</v>
      </c>
      <c r="O171" s="21">
        <v>105.02</v>
      </c>
      <c r="P171" s="19" t="s">
        <v>6</v>
      </c>
      <c r="Q171" s="23">
        <v>3</v>
      </c>
      <c r="R171" s="45">
        <v>2</v>
      </c>
    </row>
    <row r="172" spans="2:18" x14ac:dyDescent="0.2">
      <c r="B172" s="25">
        <v>169</v>
      </c>
      <c r="C172" s="18">
        <v>43999</v>
      </c>
      <c r="D172" s="24">
        <f t="shared" si="10"/>
        <v>2020</v>
      </c>
      <c r="E172" s="24" t="str">
        <f t="shared" si="11"/>
        <v>Q2</v>
      </c>
      <c r="F172" s="24" t="str">
        <f t="shared" si="12"/>
        <v>Jun</v>
      </c>
      <c r="G172" s="24">
        <f t="shared" si="13"/>
        <v>6</v>
      </c>
      <c r="H172" s="19">
        <v>1871</v>
      </c>
      <c r="I172" s="19" t="s">
        <v>3</v>
      </c>
      <c r="J172" s="19" t="s">
        <v>9</v>
      </c>
      <c r="K172" s="20">
        <v>2</v>
      </c>
      <c r="L172" s="21">
        <v>17.399999999999999</v>
      </c>
      <c r="M172" s="22">
        <v>0.16</v>
      </c>
      <c r="N172" s="21">
        <f t="shared" si="14"/>
        <v>14.616</v>
      </c>
      <c r="O172" s="21">
        <v>29.23</v>
      </c>
      <c r="P172" s="19" t="s">
        <v>4</v>
      </c>
      <c r="Q172" s="23">
        <v>8</v>
      </c>
      <c r="R172" s="45">
        <v>4.4000000000000004</v>
      </c>
    </row>
    <row r="173" spans="2:18" x14ac:dyDescent="0.2">
      <c r="B173" s="25">
        <v>170</v>
      </c>
      <c r="C173" s="18">
        <v>44000</v>
      </c>
      <c r="D173" s="24">
        <f t="shared" si="10"/>
        <v>2020</v>
      </c>
      <c r="E173" s="24" t="str">
        <f t="shared" si="11"/>
        <v>Q2</v>
      </c>
      <c r="F173" s="24" t="str">
        <f t="shared" si="12"/>
        <v>Jun</v>
      </c>
      <c r="G173" s="24">
        <f t="shared" si="13"/>
        <v>6</v>
      </c>
      <c r="H173" s="19">
        <v>1725</v>
      </c>
      <c r="I173" s="19" t="s">
        <v>0</v>
      </c>
      <c r="J173" s="19" t="s">
        <v>8</v>
      </c>
      <c r="K173" s="20">
        <v>6</v>
      </c>
      <c r="L173" s="21">
        <v>215.62</v>
      </c>
      <c r="M173" s="22">
        <v>0.14000000000000001</v>
      </c>
      <c r="N173" s="21">
        <f t="shared" si="14"/>
        <v>185.4332</v>
      </c>
      <c r="O173" s="21">
        <v>1112.5999999999999</v>
      </c>
      <c r="P173" s="19" t="s">
        <v>4</v>
      </c>
      <c r="Q173" s="23">
        <v>5</v>
      </c>
      <c r="R173" s="45">
        <v>4.0999999999999996</v>
      </c>
    </row>
    <row r="174" spans="2:18" x14ac:dyDescent="0.2">
      <c r="B174" s="25">
        <v>171</v>
      </c>
      <c r="C174" s="18">
        <v>44001</v>
      </c>
      <c r="D174" s="24">
        <f t="shared" si="10"/>
        <v>2020</v>
      </c>
      <c r="E174" s="24" t="str">
        <f t="shared" si="11"/>
        <v>Q2</v>
      </c>
      <c r="F174" s="24" t="str">
        <f t="shared" si="12"/>
        <v>Jun</v>
      </c>
      <c r="G174" s="24">
        <f t="shared" si="13"/>
        <v>6</v>
      </c>
      <c r="H174" s="19">
        <v>1986</v>
      </c>
      <c r="I174" s="19" t="s">
        <v>7</v>
      </c>
      <c r="J174" s="19" t="s">
        <v>5</v>
      </c>
      <c r="K174" s="20">
        <v>1</v>
      </c>
      <c r="L174" s="21">
        <v>581.78</v>
      </c>
      <c r="M174" s="22">
        <v>0.08</v>
      </c>
      <c r="N174" s="21">
        <f t="shared" si="14"/>
        <v>535.23759999999993</v>
      </c>
      <c r="O174" s="21">
        <v>535.24</v>
      </c>
      <c r="P174" s="19" t="s">
        <v>4</v>
      </c>
      <c r="Q174" s="23">
        <v>7</v>
      </c>
      <c r="R174" s="45">
        <v>3.7</v>
      </c>
    </row>
    <row r="175" spans="2:18" x14ac:dyDescent="0.2">
      <c r="B175" s="25">
        <v>172</v>
      </c>
      <c r="C175" s="18">
        <v>44002</v>
      </c>
      <c r="D175" s="24">
        <f t="shared" si="10"/>
        <v>2020</v>
      </c>
      <c r="E175" s="24" t="str">
        <f t="shared" si="11"/>
        <v>Q2</v>
      </c>
      <c r="F175" s="24" t="str">
        <f t="shared" si="12"/>
        <v>Jun</v>
      </c>
      <c r="G175" s="24">
        <f t="shared" si="13"/>
        <v>6</v>
      </c>
      <c r="H175" s="19">
        <v>1546</v>
      </c>
      <c r="I175" s="19" t="s">
        <v>3</v>
      </c>
      <c r="J175" s="19" t="s">
        <v>9</v>
      </c>
      <c r="K175" s="20">
        <v>2</v>
      </c>
      <c r="L175" s="21">
        <v>421.56</v>
      </c>
      <c r="M175" s="22">
        <v>0.13</v>
      </c>
      <c r="N175" s="21">
        <f t="shared" si="14"/>
        <v>366.75720000000001</v>
      </c>
      <c r="O175" s="21">
        <v>733.51</v>
      </c>
      <c r="P175" s="19" t="s">
        <v>2</v>
      </c>
      <c r="Q175" s="23">
        <v>3</v>
      </c>
      <c r="R175" s="45">
        <v>2.5</v>
      </c>
    </row>
    <row r="176" spans="2:18" x14ac:dyDescent="0.2">
      <c r="B176" s="25">
        <v>173</v>
      </c>
      <c r="C176" s="18">
        <v>44003</v>
      </c>
      <c r="D176" s="24">
        <f t="shared" si="10"/>
        <v>2020</v>
      </c>
      <c r="E176" s="24" t="str">
        <f t="shared" si="11"/>
        <v>Q2</v>
      </c>
      <c r="F176" s="24" t="str">
        <f t="shared" si="12"/>
        <v>Jun</v>
      </c>
      <c r="G176" s="24">
        <f t="shared" si="13"/>
        <v>6</v>
      </c>
      <c r="H176" s="19">
        <v>1960</v>
      </c>
      <c r="I176" s="19" t="s">
        <v>7</v>
      </c>
      <c r="J176" s="19" t="s">
        <v>9</v>
      </c>
      <c r="K176" s="20">
        <v>3</v>
      </c>
      <c r="L176" s="21">
        <v>249.78</v>
      </c>
      <c r="M176" s="22">
        <v>0.04</v>
      </c>
      <c r="N176" s="21">
        <f t="shared" si="14"/>
        <v>239.78880000000001</v>
      </c>
      <c r="O176" s="21">
        <v>719.37</v>
      </c>
      <c r="P176" s="19" t="s">
        <v>6</v>
      </c>
      <c r="Q176" s="23">
        <v>8</v>
      </c>
      <c r="R176" s="45">
        <v>1.4</v>
      </c>
    </row>
    <row r="177" spans="2:18" x14ac:dyDescent="0.2">
      <c r="B177" s="25">
        <v>174</v>
      </c>
      <c r="C177" s="18">
        <v>44004</v>
      </c>
      <c r="D177" s="24">
        <f t="shared" si="10"/>
        <v>2020</v>
      </c>
      <c r="E177" s="24" t="str">
        <f t="shared" si="11"/>
        <v>Q2</v>
      </c>
      <c r="F177" s="24" t="str">
        <f t="shared" si="12"/>
        <v>Jun</v>
      </c>
      <c r="G177" s="24">
        <f t="shared" si="13"/>
        <v>6</v>
      </c>
      <c r="H177" s="19">
        <v>1738</v>
      </c>
      <c r="I177" s="19" t="s">
        <v>7</v>
      </c>
      <c r="J177" s="19" t="s">
        <v>8</v>
      </c>
      <c r="K177" s="20">
        <v>1</v>
      </c>
      <c r="L177" s="21">
        <v>127.66</v>
      </c>
      <c r="M177" s="22">
        <v>0.34</v>
      </c>
      <c r="N177" s="21">
        <f t="shared" si="14"/>
        <v>84.255599999999987</v>
      </c>
      <c r="O177" s="21">
        <v>84.26</v>
      </c>
      <c r="P177" s="19" t="s">
        <v>6</v>
      </c>
      <c r="Q177" s="23">
        <v>2</v>
      </c>
      <c r="R177" s="45">
        <v>2.9</v>
      </c>
    </row>
    <row r="178" spans="2:18" x14ac:dyDescent="0.2">
      <c r="B178" s="25">
        <v>175</v>
      </c>
      <c r="C178" s="18">
        <v>44005</v>
      </c>
      <c r="D178" s="24">
        <f t="shared" si="10"/>
        <v>2020</v>
      </c>
      <c r="E178" s="24" t="str">
        <f t="shared" si="11"/>
        <v>Q2</v>
      </c>
      <c r="F178" s="24" t="str">
        <f t="shared" si="12"/>
        <v>Jun</v>
      </c>
      <c r="G178" s="24">
        <f t="shared" si="13"/>
        <v>6</v>
      </c>
      <c r="H178" s="19">
        <v>1612</v>
      </c>
      <c r="I178" s="19" t="s">
        <v>7</v>
      </c>
      <c r="J178" s="19" t="s">
        <v>8</v>
      </c>
      <c r="K178" s="20">
        <v>1</v>
      </c>
      <c r="L178" s="21">
        <v>223.31</v>
      </c>
      <c r="M178" s="22">
        <v>0.2</v>
      </c>
      <c r="N178" s="21">
        <f t="shared" si="14"/>
        <v>178.648</v>
      </c>
      <c r="O178" s="21">
        <v>178.65</v>
      </c>
      <c r="P178" s="19" t="s">
        <v>4</v>
      </c>
      <c r="Q178" s="23">
        <v>8</v>
      </c>
      <c r="R178" s="45">
        <v>1.4</v>
      </c>
    </row>
    <row r="179" spans="2:18" x14ac:dyDescent="0.2">
      <c r="B179" s="25">
        <v>176</v>
      </c>
      <c r="C179" s="18">
        <v>44006</v>
      </c>
      <c r="D179" s="24">
        <f t="shared" si="10"/>
        <v>2020</v>
      </c>
      <c r="E179" s="24" t="str">
        <f t="shared" si="11"/>
        <v>Q2</v>
      </c>
      <c r="F179" s="24" t="str">
        <f t="shared" si="12"/>
        <v>Jun</v>
      </c>
      <c r="G179" s="24">
        <f t="shared" si="13"/>
        <v>6</v>
      </c>
      <c r="H179" s="19">
        <v>1942</v>
      </c>
      <c r="I179" s="19" t="s">
        <v>3</v>
      </c>
      <c r="J179" s="19" t="s">
        <v>9</v>
      </c>
      <c r="K179" s="20">
        <v>5</v>
      </c>
      <c r="L179" s="21">
        <v>114.36</v>
      </c>
      <c r="M179" s="22">
        <v>0.04</v>
      </c>
      <c r="N179" s="21">
        <f t="shared" si="14"/>
        <v>109.7856</v>
      </c>
      <c r="O179" s="21">
        <v>548.92999999999995</v>
      </c>
      <c r="P179" s="19" t="s">
        <v>6</v>
      </c>
      <c r="Q179" s="23">
        <v>2</v>
      </c>
      <c r="R179" s="45">
        <v>3</v>
      </c>
    </row>
    <row r="180" spans="2:18" x14ac:dyDescent="0.2">
      <c r="B180" s="25">
        <v>177</v>
      </c>
      <c r="C180" s="18">
        <v>44007</v>
      </c>
      <c r="D180" s="24">
        <f t="shared" si="10"/>
        <v>2020</v>
      </c>
      <c r="E180" s="24" t="str">
        <f t="shared" si="11"/>
        <v>Q2</v>
      </c>
      <c r="F180" s="24" t="str">
        <f t="shared" si="12"/>
        <v>Jun</v>
      </c>
      <c r="G180" s="24">
        <f t="shared" si="13"/>
        <v>6</v>
      </c>
      <c r="H180" s="19">
        <v>1461</v>
      </c>
      <c r="I180" s="19" t="s">
        <v>10</v>
      </c>
      <c r="J180" s="19" t="s">
        <v>9</v>
      </c>
      <c r="K180" s="20">
        <v>6</v>
      </c>
      <c r="L180" s="21">
        <v>77.19</v>
      </c>
      <c r="M180" s="22">
        <v>0.12</v>
      </c>
      <c r="N180" s="21">
        <f t="shared" si="14"/>
        <v>67.927199999999999</v>
      </c>
      <c r="O180" s="21">
        <v>407.56</v>
      </c>
      <c r="P180" s="19" t="s">
        <v>2</v>
      </c>
      <c r="Q180" s="23">
        <v>7</v>
      </c>
      <c r="R180" s="45">
        <v>4.3</v>
      </c>
    </row>
    <row r="181" spans="2:18" x14ac:dyDescent="0.2">
      <c r="B181" s="25">
        <v>178</v>
      </c>
      <c r="C181" s="18">
        <v>44008</v>
      </c>
      <c r="D181" s="24">
        <f t="shared" si="10"/>
        <v>2020</v>
      </c>
      <c r="E181" s="24" t="str">
        <f t="shared" si="11"/>
        <v>Q2</v>
      </c>
      <c r="F181" s="24" t="str">
        <f t="shared" si="12"/>
        <v>Jun</v>
      </c>
      <c r="G181" s="24">
        <f t="shared" si="13"/>
        <v>6</v>
      </c>
      <c r="H181" s="19">
        <v>1642</v>
      </c>
      <c r="I181" s="19" t="s">
        <v>3</v>
      </c>
      <c r="J181" s="19" t="s">
        <v>5</v>
      </c>
      <c r="K181" s="20">
        <v>6</v>
      </c>
      <c r="L181" s="21">
        <v>545.44000000000005</v>
      </c>
      <c r="M181" s="22">
        <v>0.19</v>
      </c>
      <c r="N181" s="21">
        <f t="shared" si="14"/>
        <v>441.80640000000005</v>
      </c>
      <c r="O181" s="21">
        <v>2650.84</v>
      </c>
      <c r="P181" s="19" t="s">
        <v>4</v>
      </c>
      <c r="Q181" s="23">
        <v>2</v>
      </c>
      <c r="R181" s="45">
        <v>5</v>
      </c>
    </row>
    <row r="182" spans="2:18" x14ac:dyDescent="0.2">
      <c r="B182" s="25">
        <v>179</v>
      </c>
      <c r="C182" s="18">
        <v>44009</v>
      </c>
      <c r="D182" s="24">
        <f t="shared" si="10"/>
        <v>2020</v>
      </c>
      <c r="E182" s="24" t="str">
        <f t="shared" si="11"/>
        <v>Q2</v>
      </c>
      <c r="F182" s="24" t="str">
        <f t="shared" si="12"/>
        <v>Jun</v>
      </c>
      <c r="G182" s="24">
        <f t="shared" si="13"/>
        <v>6</v>
      </c>
      <c r="H182" s="19">
        <v>1768</v>
      </c>
      <c r="I182" s="19" t="s">
        <v>7</v>
      </c>
      <c r="J182" s="19" t="s">
        <v>9</v>
      </c>
      <c r="K182" s="20">
        <v>7</v>
      </c>
      <c r="L182" s="21">
        <v>598.63</v>
      </c>
      <c r="M182" s="22">
        <v>0.19</v>
      </c>
      <c r="N182" s="21">
        <f t="shared" si="14"/>
        <v>484.89030000000002</v>
      </c>
      <c r="O182" s="21">
        <v>3394.23</v>
      </c>
      <c r="P182" s="19" t="s">
        <v>4</v>
      </c>
      <c r="Q182" s="23">
        <v>7</v>
      </c>
      <c r="R182" s="45">
        <v>1.8</v>
      </c>
    </row>
    <row r="183" spans="2:18" x14ac:dyDescent="0.2">
      <c r="B183" s="25">
        <v>180</v>
      </c>
      <c r="C183" s="18">
        <v>44010</v>
      </c>
      <c r="D183" s="24">
        <f t="shared" si="10"/>
        <v>2020</v>
      </c>
      <c r="E183" s="24" t="str">
        <f t="shared" si="11"/>
        <v>Q2</v>
      </c>
      <c r="F183" s="24" t="str">
        <f t="shared" si="12"/>
        <v>Jun</v>
      </c>
      <c r="G183" s="24">
        <f t="shared" si="13"/>
        <v>6</v>
      </c>
      <c r="H183" s="19">
        <v>1004</v>
      </c>
      <c r="I183" s="19" t="s">
        <v>10</v>
      </c>
      <c r="J183" s="19" t="s">
        <v>9</v>
      </c>
      <c r="K183" s="20">
        <v>3</v>
      </c>
      <c r="L183" s="21">
        <v>111.01</v>
      </c>
      <c r="M183" s="22">
        <v>0.01</v>
      </c>
      <c r="N183" s="21">
        <f t="shared" si="14"/>
        <v>109.8999</v>
      </c>
      <c r="O183" s="21">
        <v>329.7</v>
      </c>
      <c r="P183" s="19" t="s">
        <v>4</v>
      </c>
      <c r="Q183" s="23">
        <v>1</v>
      </c>
      <c r="R183" s="45">
        <v>1.8</v>
      </c>
    </row>
    <row r="184" spans="2:18" x14ac:dyDescent="0.2">
      <c r="B184" s="25">
        <v>181</v>
      </c>
      <c r="C184" s="18">
        <v>44011</v>
      </c>
      <c r="D184" s="24">
        <f t="shared" si="10"/>
        <v>2020</v>
      </c>
      <c r="E184" s="24" t="str">
        <f t="shared" si="11"/>
        <v>Q2</v>
      </c>
      <c r="F184" s="24" t="str">
        <f t="shared" si="12"/>
        <v>Jun</v>
      </c>
      <c r="G184" s="24">
        <f t="shared" si="13"/>
        <v>6</v>
      </c>
      <c r="H184" s="19">
        <v>1217</v>
      </c>
      <c r="I184" s="19" t="s">
        <v>3</v>
      </c>
      <c r="J184" s="19" t="s">
        <v>5</v>
      </c>
      <c r="K184" s="20">
        <v>5</v>
      </c>
      <c r="L184" s="21">
        <v>46.9</v>
      </c>
      <c r="M184" s="22">
        <v>0.33</v>
      </c>
      <c r="N184" s="21">
        <f t="shared" si="14"/>
        <v>31.422999999999998</v>
      </c>
      <c r="O184" s="21">
        <v>157.11000000000001</v>
      </c>
      <c r="P184" s="19" t="s">
        <v>6</v>
      </c>
      <c r="Q184" s="23">
        <v>6</v>
      </c>
      <c r="R184" s="45">
        <v>4.2</v>
      </c>
    </row>
    <row r="185" spans="2:18" x14ac:dyDescent="0.2">
      <c r="B185" s="25">
        <v>182</v>
      </c>
      <c r="C185" s="18">
        <v>44012</v>
      </c>
      <c r="D185" s="24">
        <f t="shared" si="10"/>
        <v>2020</v>
      </c>
      <c r="E185" s="24" t="str">
        <f t="shared" si="11"/>
        <v>Q2</v>
      </c>
      <c r="F185" s="24" t="str">
        <f t="shared" si="12"/>
        <v>Jun</v>
      </c>
      <c r="G185" s="24">
        <f t="shared" si="13"/>
        <v>6</v>
      </c>
      <c r="H185" s="19">
        <v>1502</v>
      </c>
      <c r="I185" s="19" t="s">
        <v>3</v>
      </c>
      <c r="J185" s="19" t="s">
        <v>1</v>
      </c>
      <c r="K185" s="20">
        <v>7</v>
      </c>
      <c r="L185" s="21">
        <v>207.89</v>
      </c>
      <c r="M185" s="22">
        <v>0.1</v>
      </c>
      <c r="N185" s="21">
        <f t="shared" si="14"/>
        <v>187.101</v>
      </c>
      <c r="O185" s="21">
        <v>1309.71</v>
      </c>
      <c r="P185" s="19" t="s">
        <v>6</v>
      </c>
      <c r="Q185" s="23">
        <v>10</v>
      </c>
      <c r="R185" s="45">
        <v>2.9</v>
      </c>
    </row>
    <row r="186" spans="2:18" x14ac:dyDescent="0.2">
      <c r="B186" s="25">
        <v>183</v>
      </c>
      <c r="C186" s="18">
        <v>44013</v>
      </c>
      <c r="D186" s="24">
        <f t="shared" si="10"/>
        <v>2020</v>
      </c>
      <c r="E186" s="24" t="str">
        <f t="shared" si="11"/>
        <v>Q3</v>
      </c>
      <c r="F186" s="24" t="str">
        <f t="shared" si="12"/>
        <v>Jul</v>
      </c>
      <c r="G186" s="24">
        <f t="shared" si="13"/>
        <v>7</v>
      </c>
      <c r="H186" s="19">
        <v>1766</v>
      </c>
      <c r="I186" s="19" t="s">
        <v>10</v>
      </c>
      <c r="J186" s="19" t="s">
        <v>5</v>
      </c>
      <c r="K186" s="20">
        <v>2</v>
      </c>
      <c r="L186" s="21">
        <v>285.07</v>
      </c>
      <c r="M186" s="22">
        <v>0.01</v>
      </c>
      <c r="N186" s="21">
        <f t="shared" si="14"/>
        <v>282.21929999999998</v>
      </c>
      <c r="O186" s="21">
        <v>564.44000000000005</v>
      </c>
      <c r="P186" s="19" t="s">
        <v>6</v>
      </c>
      <c r="Q186" s="23">
        <v>7</v>
      </c>
      <c r="R186" s="45">
        <v>4.7</v>
      </c>
    </row>
    <row r="187" spans="2:18" x14ac:dyDescent="0.2">
      <c r="B187" s="25">
        <v>184</v>
      </c>
      <c r="C187" s="18">
        <v>44014</v>
      </c>
      <c r="D187" s="24">
        <f t="shared" si="10"/>
        <v>2020</v>
      </c>
      <c r="E187" s="24" t="str">
        <f t="shared" si="11"/>
        <v>Q3</v>
      </c>
      <c r="F187" s="24" t="str">
        <f t="shared" si="12"/>
        <v>Jul</v>
      </c>
      <c r="G187" s="24">
        <f t="shared" si="13"/>
        <v>7</v>
      </c>
      <c r="H187" s="19">
        <v>1397</v>
      </c>
      <c r="I187" s="19" t="s">
        <v>7</v>
      </c>
      <c r="J187" s="19" t="s">
        <v>5</v>
      </c>
      <c r="K187" s="20">
        <v>7</v>
      </c>
      <c r="L187" s="21">
        <v>134.82</v>
      </c>
      <c r="M187" s="22">
        <v>0.03</v>
      </c>
      <c r="N187" s="21">
        <f t="shared" si="14"/>
        <v>130.77539999999999</v>
      </c>
      <c r="O187" s="21">
        <v>915.43</v>
      </c>
      <c r="P187" s="19" t="s">
        <v>6</v>
      </c>
      <c r="Q187" s="23">
        <v>4</v>
      </c>
      <c r="R187" s="45">
        <v>4.0999999999999996</v>
      </c>
    </row>
    <row r="188" spans="2:18" x14ac:dyDescent="0.2">
      <c r="B188" s="25">
        <v>185</v>
      </c>
      <c r="C188" s="18">
        <v>44015</v>
      </c>
      <c r="D188" s="24">
        <f t="shared" si="10"/>
        <v>2020</v>
      </c>
      <c r="E188" s="24" t="str">
        <f t="shared" si="11"/>
        <v>Q3</v>
      </c>
      <c r="F188" s="24" t="str">
        <f t="shared" si="12"/>
        <v>Jul</v>
      </c>
      <c r="G188" s="24">
        <f t="shared" si="13"/>
        <v>7</v>
      </c>
      <c r="H188" s="19">
        <v>1870</v>
      </c>
      <c r="I188" s="19" t="s">
        <v>7</v>
      </c>
      <c r="J188" s="19" t="s">
        <v>8</v>
      </c>
      <c r="K188" s="20">
        <v>2</v>
      </c>
      <c r="L188" s="21">
        <v>191.33</v>
      </c>
      <c r="M188" s="22">
        <v>0.2</v>
      </c>
      <c r="N188" s="21">
        <f t="shared" si="14"/>
        <v>153.06400000000002</v>
      </c>
      <c r="O188" s="21">
        <v>306.13</v>
      </c>
      <c r="P188" s="19" t="s">
        <v>4</v>
      </c>
      <c r="Q188" s="23">
        <v>11</v>
      </c>
      <c r="R188" s="45">
        <v>3.9</v>
      </c>
    </row>
    <row r="189" spans="2:18" x14ac:dyDescent="0.2">
      <c r="B189" s="25">
        <v>186</v>
      </c>
      <c r="C189" s="18">
        <v>44016</v>
      </c>
      <c r="D189" s="24">
        <f t="shared" si="10"/>
        <v>2020</v>
      </c>
      <c r="E189" s="24" t="str">
        <f t="shared" si="11"/>
        <v>Q3</v>
      </c>
      <c r="F189" s="24" t="str">
        <f t="shared" si="12"/>
        <v>Jul</v>
      </c>
      <c r="G189" s="24">
        <f t="shared" si="13"/>
        <v>7</v>
      </c>
      <c r="H189" s="19">
        <v>1794</v>
      </c>
      <c r="I189" s="19" t="s">
        <v>0</v>
      </c>
      <c r="J189" s="19" t="s">
        <v>5</v>
      </c>
      <c r="K189" s="20">
        <v>3</v>
      </c>
      <c r="L189" s="21">
        <v>132.51</v>
      </c>
      <c r="M189" s="22">
        <v>0.05</v>
      </c>
      <c r="N189" s="21">
        <f t="shared" si="14"/>
        <v>125.88449999999999</v>
      </c>
      <c r="O189" s="21">
        <v>377.65</v>
      </c>
      <c r="P189" s="19" t="s">
        <v>6</v>
      </c>
      <c r="Q189" s="23">
        <v>11</v>
      </c>
      <c r="R189" s="45">
        <v>1.4</v>
      </c>
    </row>
    <row r="190" spans="2:18" x14ac:dyDescent="0.2">
      <c r="B190" s="25">
        <v>187</v>
      </c>
      <c r="C190" s="18">
        <v>44017</v>
      </c>
      <c r="D190" s="24">
        <f t="shared" si="10"/>
        <v>2020</v>
      </c>
      <c r="E190" s="24" t="str">
        <f t="shared" si="11"/>
        <v>Q3</v>
      </c>
      <c r="F190" s="24" t="str">
        <f t="shared" si="12"/>
        <v>Jul</v>
      </c>
      <c r="G190" s="24">
        <f t="shared" si="13"/>
        <v>7</v>
      </c>
      <c r="H190" s="19">
        <v>1392</v>
      </c>
      <c r="I190" s="19" t="s">
        <v>7</v>
      </c>
      <c r="J190" s="19" t="s">
        <v>9</v>
      </c>
      <c r="K190" s="20">
        <v>6</v>
      </c>
      <c r="L190" s="21">
        <v>467.94</v>
      </c>
      <c r="M190" s="22">
        <v>0.01</v>
      </c>
      <c r="N190" s="21">
        <f t="shared" si="14"/>
        <v>463.26060000000001</v>
      </c>
      <c r="O190" s="21">
        <v>2779.56</v>
      </c>
      <c r="P190" s="19" t="s">
        <v>4</v>
      </c>
      <c r="Q190" s="23">
        <v>1</v>
      </c>
      <c r="R190" s="45">
        <v>1.1000000000000001</v>
      </c>
    </row>
    <row r="191" spans="2:18" x14ac:dyDescent="0.2">
      <c r="B191" s="25">
        <v>188</v>
      </c>
      <c r="C191" s="18">
        <v>44018</v>
      </c>
      <c r="D191" s="24">
        <f t="shared" si="10"/>
        <v>2020</v>
      </c>
      <c r="E191" s="24" t="str">
        <f t="shared" si="11"/>
        <v>Q3</v>
      </c>
      <c r="F191" s="24" t="str">
        <f t="shared" si="12"/>
        <v>Jul</v>
      </c>
      <c r="G191" s="24">
        <f t="shared" si="13"/>
        <v>7</v>
      </c>
      <c r="H191" s="19">
        <v>1206</v>
      </c>
      <c r="I191" s="19" t="s">
        <v>3</v>
      </c>
      <c r="J191" s="19" t="s">
        <v>9</v>
      </c>
      <c r="K191" s="20">
        <v>2</v>
      </c>
      <c r="L191" s="21">
        <v>431.86</v>
      </c>
      <c r="M191" s="22">
        <v>0.13</v>
      </c>
      <c r="N191" s="21">
        <f t="shared" si="14"/>
        <v>375.71820000000002</v>
      </c>
      <c r="O191" s="21">
        <v>751.44</v>
      </c>
      <c r="P191" s="19" t="s">
        <v>4</v>
      </c>
      <c r="Q191" s="23">
        <v>6</v>
      </c>
      <c r="R191" s="45">
        <v>2.2999999999999998</v>
      </c>
    </row>
    <row r="192" spans="2:18" x14ac:dyDescent="0.2">
      <c r="B192" s="25">
        <v>189</v>
      </c>
      <c r="C192" s="18">
        <v>44019</v>
      </c>
      <c r="D192" s="24">
        <f t="shared" si="10"/>
        <v>2020</v>
      </c>
      <c r="E192" s="24" t="str">
        <f t="shared" si="11"/>
        <v>Q3</v>
      </c>
      <c r="F192" s="24" t="str">
        <f t="shared" si="12"/>
        <v>Jul</v>
      </c>
      <c r="G192" s="24">
        <f t="shared" si="13"/>
        <v>7</v>
      </c>
      <c r="H192" s="19">
        <v>1014</v>
      </c>
      <c r="I192" s="19" t="s">
        <v>0</v>
      </c>
      <c r="J192" s="19" t="s">
        <v>9</v>
      </c>
      <c r="K192" s="20">
        <v>3</v>
      </c>
      <c r="L192" s="21">
        <v>386.45</v>
      </c>
      <c r="M192" s="22">
        <v>0.22</v>
      </c>
      <c r="N192" s="21">
        <f t="shared" si="14"/>
        <v>301.43099999999998</v>
      </c>
      <c r="O192" s="21">
        <v>904.29</v>
      </c>
      <c r="P192" s="19" t="s">
        <v>6</v>
      </c>
      <c r="Q192" s="23">
        <v>4</v>
      </c>
      <c r="R192" s="45">
        <v>1.9</v>
      </c>
    </row>
    <row r="193" spans="2:18" x14ac:dyDescent="0.2">
      <c r="B193" s="25">
        <v>190</v>
      </c>
      <c r="C193" s="18">
        <v>44020</v>
      </c>
      <c r="D193" s="24">
        <f t="shared" si="10"/>
        <v>2020</v>
      </c>
      <c r="E193" s="24" t="str">
        <f t="shared" si="11"/>
        <v>Q3</v>
      </c>
      <c r="F193" s="24" t="str">
        <f t="shared" si="12"/>
        <v>Jul</v>
      </c>
      <c r="G193" s="24">
        <f t="shared" si="13"/>
        <v>7</v>
      </c>
      <c r="H193" s="19">
        <v>1857</v>
      </c>
      <c r="I193" s="19" t="s">
        <v>10</v>
      </c>
      <c r="J193" s="19" t="s">
        <v>1</v>
      </c>
      <c r="K193" s="20">
        <v>7</v>
      </c>
      <c r="L193" s="21">
        <v>241.52</v>
      </c>
      <c r="M193" s="22">
        <v>0.04</v>
      </c>
      <c r="N193" s="21">
        <f t="shared" si="14"/>
        <v>231.85920000000002</v>
      </c>
      <c r="O193" s="21">
        <v>1623.01</v>
      </c>
      <c r="P193" s="19" t="s">
        <v>2</v>
      </c>
      <c r="Q193" s="23">
        <v>3</v>
      </c>
      <c r="R193" s="45">
        <v>3.8</v>
      </c>
    </row>
    <row r="194" spans="2:18" x14ac:dyDescent="0.2">
      <c r="B194" s="25">
        <v>191</v>
      </c>
      <c r="C194" s="18">
        <v>44021</v>
      </c>
      <c r="D194" s="24">
        <f t="shared" si="10"/>
        <v>2020</v>
      </c>
      <c r="E194" s="24" t="str">
        <f t="shared" si="11"/>
        <v>Q3</v>
      </c>
      <c r="F194" s="24" t="str">
        <f t="shared" si="12"/>
        <v>Jul</v>
      </c>
      <c r="G194" s="24">
        <f t="shared" si="13"/>
        <v>7</v>
      </c>
      <c r="H194" s="19">
        <v>1553</v>
      </c>
      <c r="I194" s="19" t="s">
        <v>7</v>
      </c>
      <c r="J194" s="19" t="s">
        <v>9</v>
      </c>
      <c r="K194" s="20">
        <v>2</v>
      </c>
      <c r="L194" s="21">
        <v>546.79</v>
      </c>
      <c r="M194" s="22">
        <v>0.11</v>
      </c>
      <c r="N194" s="21">
        <f t="shared" si="14"/>
        <v>486.64309999999995</v>
      </c>
      <c r="O194" s="21">
        <v>973.29</v>
      </c>
      <c r="P194" s="19" t="s">
        <v>6</v>
      </c>
      <c r="Q194" s="23">
        <v>4</v>
      </c>
      <c r="R194" s="45">
        <v>2.8</v>
      </c>
    </row>
    <row r="195" spans="2:18" x14ac:dyDescent="0.2">
      <c r="B195" s="25">
        <v>192</v>
      </c>
      <c r="C195" s="18">
        <v>44022</v>
      </c>
      <c r="D195" s="24">
        <f t="shared" si="10"/>
        <v>2020</v>
      </c>
      <c r="E195" s="24" t="str">
        <f t="shared" si="11"/>
        <v>Q3</v>
      </c>
      <c r="F195" s="24" t="str">
        <f t="shared" si="12"/>
        <v>Jul</v>
      </c>
      <c r="G195" s="24">
        <f t="shared" si="13"/>
        <v>7</v>
      </c>
      <c r="H195" s="19">
        <v>1891</v>
      </c>
      <c r="I195" s="19" t="s">
        <v>7</v>
      </c>
      <c r="J195" s="19" t="s">
        <v>1</v>
      </c>
      <c r="K195" s="20">
        <v>4</v>
      </c>
      <c r="L195" s="21">
        <v>582.17999999999995</v>
      </c>
      <c r="M195" s="22">
        <v>0.15</v>
      </c>
      <c r="N195" s="21">
        <f t="shared" si="14"/>
        <v>494.85299999999995</v>
      </c>
      <c r="O195" s="21">
        <v>1979.41</v>
      </c>
      <c r="P195" s="19" t="s">
        <v>6</v>
      </c>
      <c r="Q195" s="23">
        <v>6</v>
      </c>
      <c r="R195" s="45">
        <v>3.1</v>
      </c>
    </row>
    <row r="196" spans="2:18" x14ac:dyDescent="0.2">
      <c r="B196" s="25">
        <v>193</v>
      </c>
      <c r="C196" s="18">
        <v>44023</v>
      </c>
      <c r="D196" s="24">
        <f t="shared" ref="D196:D259" si="15">YEAR(C196)</f>
        <v>2020</v>
      </c>
      <c r="E196" s="24" t="str">
        <f t="shared" ref="E196:E259" si="16">"Q"&amp;ROUNDUP(MONTH(C196)/3,0)</f>
        <v>Q3</v>
      </c>
      <c r="F196" s="24" t="str">
        <f t="shared" ref="F196:F259" si="17">TEXT(C196,"mmm")</f>
        <v>Jul</v>
      </c>
      <c r="G196" s="24">
        <f t="shared" ref="G196:G259" si="18">MONTH(C196)</f>
        <v>7</v>
      </c>
      <c r="H196" s="19">
        <v>1460</v>
      </c>
      <c r="I196" s="19" t="s">
        <v>7</v>
      </c>
      <c r="J196" s="19" t="s">
        <v>9</v>
      </c>
      <c r="K196" s="20">
        <v>1</v>
      </c>
      <c r="L196" s="21">
        <v>116.58</v>
      </c>
      <c r="M196" s="22">
        <v>0.06</v>
      </c>
      <c r="N196" s="21">
        <f t="shared" si="14"/>
        <v>109.5852</v>
      </c>
      <c r="O196" s="21">
        <v>109.59</v>
      </c>
      <c r="P196" s="19" t="s">
        <v>4</v>
      </c>
      <c r="Q196" s="23">
        <v>5</v>
      </c>
      <c r="R196" s="45">
        <v>4.3</v>
      </c>
    </row>
    <row r="197" spans="2:18" x14ac:dyDescent="0.2">
      <c r="B197" s="25">
        <v>194</v>
      </c>
      <c r="C197" s="18">
        <v>44024</v>
      </c>
      <c r="D197" s="24">
        <f t="shared" si="15"/>
        <v>2020</v>
      </c>
      <c r="E197" s="24" t="str">
        <f t="shared" si="16"/>
        <v>Q3</v>
      </c>
      <c r="F197" s="24" t="str">
        <f t="shared" si="17"/>
        <v>Jul</v>
      </c>
      <c r="G197" s="24">
        <f t="shared" si="18"/>
        <v>7</v>
      </c>
      <c r="H197" s="19">
        <v>1690</v>
      </c>
      <c r="I197" s="19" t="s">
        <v>3</v>
      </c>
      <c r="J197" s="19" t="s">
        <v>5</v>
      </c>
      <c r="K197" s="20">
        <v>7</v>
      </c>
      <c r="L197" s="21">
        <v>145.46</v>
      </c>
      <c r="M197" s="22">
        <v>0.18</v>
      </c>
      <c r="N197" s="21">
        <f t="shared" ref="N197:N260" si="19">L197-(L197*M197)</f>
        <v>119.27720000000001</v>
      </c>
      <c r="O197" s="21">
        <v>834.94</v>
      </c>
      <c r="P197" s="19" t="s">
        <v>4</v>
      </c>
      <c r="Q197" s="23">
        <v>2</v>
      </c>
      <c r="R197" s="45">
        <v>2.9</v>
      </c>
    </row>
    <row r="198" spans="2:18" x14ac:dyDescent="0.2">
      <c r="B198" s="25">
        <v>195</v>
      </c>
      <c r="C198" s="18">
        <v>44025</v>
      </c>
      <c r="D198" s="24">
        <f t="shared" si="15"/>
        <v>2020</v>
      </c>
      <c r="E198" s="24" t="str">
        <f t="shared" si="16"/>
        <v>Q3</v>
      </c>
      <c r="F198" s="24" t="str">
        <f t="shared" si="17"/>
        <v>Jul</v>
      </c>
      <c r="G198" s="24">
        <f t="shared" si="18"/>
        <v>7</v>
      </c>
      <c r="H198" s="19">
        <v>1574</v>
      </c>
      <c r="I198" s="19" t="s">
        <v>3</v>
      </c>
      <c r="J198" s="19" t="s">
        <v>8</v>
      </c>
      <c r="K198" s="20">
        <v>6</v>
      </c>
      <c r="L198" s="21">
        <v>322.49</v>
      </c>
      <c r="M198" s="22">
        <v>0.03</v>
      </c>
      <c r="N198" s="21">
        <f t="shared" si="19"/>
        <v>312.81530000000004</v>
      </c>
      <c r="O198" s="21">
        <v>1876.89</v>
      </c>
      <c r="P198" s="19" t="s">
        <v>4</v>
      </c>
      <c r="Q198" s="23">
        <v>2</v>
      </c>
      <c r="R198" s="45">
        <v>3.2</v>
      </c>
    </row>
    <row r="199" spans="2:18" x14ac:dyDescent="0.2">
      <c r="B199" s="25">
        <v>196</v>
      </c>
      <c r="C199" s="18">
        <v>44026</v>
      </c>
      <c r="D199" s="24">
        <f t="shared" si="15"/>
        <v>2020</v>
      </c>
      <c r="E199" s="24" t="str">
        <f t="shared" si="16"/>
        <v>Q3</v>
      </c>
      <c r="F199" s="24" t="str">
        <f t="shared" si="17"/>
        <v>Jul</v>
      </c>
      <c r="G199" s="24">
        <f t="shared" si="18"/>
        <v>7</v>
      </c>
      <c r="H199" s="19">
        <v>1863</v>
      </c>
      <c r="I199" s="19" t="s">
        <v>7</v>
      </c>
      <c r="J199" s="19" t="s">
        <v>9</v>
      </c>
      <c r="K199" s="20">
        <v>7</v>
      </c>
      <c r="L199" s="21">
        <v>68.38</v>
      </c>
      <c r="M199" s="22">
        <v>0.02</v>
      </c>
      <c r="N199" s="21">
        <f t="shared" si="19"/>
        <v>67.0124</v>
      </c>
      <c r="O199" s="21">
        <v>469.09</v>
      </c>
      <c r="P199" s="19" t="s">
        <v>2</v>
      </c>
      <c r="Q199" s="23">
        <v>3</v>
      </c>
      <c r="R199" s="45">
        <v>4.4000000000000004</v>
      </c>
    </row>
    <row r="200" spans="2:18" x14ac:dyDescent="0.2">
      <c r="B200" s="25">
        <v>197</v>
      </c>
      <c r="C200" s="18">
        <v>44027</v>
      </c>
      <c r="D200" s="24">
        <f t="shared" si="15"/>
        <v>2020</v>
      </c>
      <c r="E200" s="24" t="str">
        <f t="shared" si="16"/>
        <v>Q3</v>
      </c>
      <c r="F200" s="24" t="str">
        <f t="shared" si="17"/>
        <v>Jul</v>
      </c>
      <c r="G200" s="24">
        <f t="shared" si="18"/>
        <v>7</v>
      </c>
      <c r="H200" s="19">
        <v>1742</v>
      </c>
      <c r="I200" s="19" t="s">
        <v>0</v>
      </c>
      <c r="J200" s="19" t="s">
        <v>1</v>
      </c>
      <c r="K200" s="20">
        <v>4</v>
      </c>
      <c r="L200" s="21">
        <v>270.32</v>
      </c>
      <c r="M200" s="22">
        <v>0.18</v>
      </c>
      <c r="N200" s="21">
        <f t="shared" si="19"/>
        <v>221.66239999999999</v>
      </c>
      <c r="O200" s="21">
        <v>886.65</v>
      </c>
      <c r="P200" s="19" t="s">
        <v>2</v>
      </c>
      <c r="Q200" s="23">
        <v>11</v>
      </c>
      <c r="R200" s="45">
        <v>2.7</v>
      </c>
    </row>
    <row r="201" spans="2:18" x14ac:dyDescent="0.2">
      <c r="B201" s="25">
        <v>198</v>
      </c>
      <c r="C201" s="18">
        <v>44028</v>
      </c>
      <c r="D201" s="24">
        <f t="shared" si="15"/>
        <v>2020</v>
      </c>
      <c r="E201" s="24" t="str">
        <f t="shared" si="16"/>
        <v>Q3</v>
      </c>
      <c r="F201" s="24" t="str">
        <f t="shared" si="17"/>
        <v>Jul</v>
      </c>
      <c r="G201" s="24">
        <f t="shared" si="18"/>
        <v>7</v>
      </c>
      <c r="H201" s="19">
        <v>1240</v>
      </c>
      <c r="I201" s="19" t="s">
        <v>3</v>
      </c>
      <c r="J201" s="19" t="s">
        <v>1</v>
      </c>
      <c r="K201" s="20">
        <v>3</v>
      </c>
      <c r="L201" s="21">
        <v>355.35</v>
      </c>
      <c r="M201" s="22">
        <v>0.09</v>
      </c>
      <c r="N201" s="21">
        <f t="shared" si="19"/>
        <v>323.36850000000004</v>
      </c>
      <c r="O201" s="21">
        <v>970.11</v>
      </c>
      <c r="P201" s="19" t="s">
        <v>2</v>
      </c>
      <c r="Q201" s="23">
        <v>6</v>
      </c>
      <c r="R201" s="45">
        <v>1.3</v>
      </c>
    </row>
    <row r="202" spans="2:18" x14ac:dyDescent="0.2">
      <c r="B202" s="25">
        <v>199</v>
      </c>
      <c r="C202" s="18">
        <v>44029</v>
      </c>
      <c r="D202" s="24">
        <f t="shared" si="15"/>
        <v>2020</v>
      </c>
      <c r="E202" s="24" t="str">
        <f t="shared" si="16"/>
        <v>Q3</v>
      </c>
      <c r="F202" s="24" t="str">
        <f t="shared" si="17"/>
        <v>Jul</v>
      </c>
      <c r="G202" s="24">
        <f t="shared" si="18"/>
        <v>7</v>
      </c>
      <c r="H202" s="19">
        <v>1563</v>
      </c>
      <c r="I202" s="19" t="s">
        <v>7</v>
      </c>
      <c r="J202" s="19" t="s">
        <v>8</v>
      </c>
      <c r="K202" s="20">
        <v>3</v>
      </c>
      <c r="L202" s="21">
        <v>320.41000000000003</v>
      </c>
      <c r="M202" s="22">
        <v>0.03</v>
      </c>
      <c r="N202" s="21">
        <f t="shared" si="19"/>
        <v>310.79770000000002</v>
      </c>
      <c r="O202" s="21">
        <v>932.39</v>
      </c>
      <c r="P202" s="19" t="s">
        <v>4</v>
      </c>
      <c r="Q202" s="23">
        <v>1</v>
      </c>
      <c r="R202" s="45">
        <v>3.1</v>
      </c>
    </row>
    <row r="203" spans="2:18" x14ac:dyDescent="0.2">
      <c r="B203" s="25">
        <v>200</v>
      </c>
      <c r="C203" s="18">
        <v>44030</v>
      </c>
      <c r="D203" s="24">
        <f t="shared" si="15"/>
        <v>2020</v>
      </c>
      <c r="E203" s="24" t="str">
        <f t="shared" si="16"/>
        <v>Q3</v>
      </c>
      <c r="F203" s="24" t="str">
        <f t="shared" si="17"/>
        <v>Jul</v>
      </c>
      <c r="G203" s="24">
        <f t="shared" si="18"/>
        <v>7</v>
      </c>
      <c r="H203" s="19">
        <v>1095</v>
      </c>
      <c r="I203" s="19" t="s">
        <v>3</v>
      </c>
      <c r="J203" s="19" t="s">
        <v>9</v>
      </c>
      <c r="K203" s="20">
        <v>7</v>
      </c>
      <c r="L203" s="21">
        <v>208.58</v>
      </c>
      <c r="M203" s="22">
        <v>0.15</v>
      </c>
      <c r="N203" s="21">
        <f t="shared" si="19"/>
        <v>177.29300000000001</v>
      </c>
      <c r="O203" s="21">
        <v>1241.05</v>
      </c>
      <c r="P203" s="19" t="s">
        <v>6</v>
      </c>
      <c r="Q203" s="23">
        <v>11</v>
      </c>
      <c r="R203" s="45">
        <v>3.3</v>
      </c>
    </row>
    <row r="204" spans="2:18" x14ac:dyDescent="0.2">
      <c r="B204" s="25">
        <v>201</v>
      </c>
      <c r="C204" s="18">
        <v>44031</v>
      </c>
      <c r="D204" s="24">
        <f t="shared" si="15"/>
        <v>2020</v>
      </c>
      <c r="E204" s="24" t="str">
        <f t="shared" si="16"/>
        <v>Q3</v>
      </c>
      <c r="F204" s="24" t="str">
        <f t="shared" si="17"/>
        <v>Jul</v>
      </c>
      <c r="G204" s="24">
        <f t="shared" si="18"/>
        <v>7</v>
      </c>
      <c r="H204" s="19">
        <v>1899</v>
      </c>
      <c r="I204" s="19" t="s">
        <v>10</v>
      </c>
      <c r="J204" s="19" t="s">
        <v>5</v>
      </c>
      <c r="K204" s="20">
        <v>4</v>
      </c>
      <c r="L204" s="21">
        <v>332.33</v>
      </c>
      <c r="M204" s="22">
        <v>0.32</v>
      </c>
      <c r="N204" s="21">
        <f t="shared" si="19"/>
        <v>225.98439999999999</v>
      </c>
      <c r="O204" s="21">
        <v>903.94</v>
      </c>
      <c r="P204" s="19" t="s">
        <v>6</v>
      </c>
      <c r="Q204" s="23">
        <v>7</v>
      </c>
      <c r="R204" s="45">
        <v>3</v>
      </c>
    </row>
    <row r="205" spans="2:18" x14ac:dyDescent="0.2">
      <c r="B205" s="25">
        <v>202</v>
      </c>
      <c r="C205" s="18">
        <v>44032</v>
      </c>
      <c r="D205" s="24">
        <f t="shared" si="15"/>
        <v>2020</v>
      </c>
      <c r="E205" s="24" t="str">
        <f t="shared" si="16"/>
        <v>Q3</v>
      </c>
      <c r="F205" s="24" t="str">
        <f t="shared" si="17"/>
        <v>Jul</v>
      </c>
      <c r="G205" s="24">
        <f t="shared" si="18"/>
        <v>7</v>
      </c>
      <c r="H205" s="19">
        <v>1733</v>
      </c>
      <c r="I205" s="19" t="s">
        <v>7</v>
      </c>
      <c r="J205" s="19" t="s">
        <v>9</v>
      </c>
      <c r="K205" s="20">
        <v>7</v>
      </c>
      <c r="L205" s="21">
        <v>575.9</v>
      </c>
      <c r="M205" s="22">
        <v>0.25</v>
      </c>
      <c r="N205" s="21">
        <f t="shared" si="19"/>
        <v>431.92499999999995</v>
      </c>
      <c r="O205" s="21">
        <v>3023.48</v>
      </c>
      <c r="P205" s="19" t="s">
        <v>6</v>
      </c>
      <c r="Q205" s="23">
        <v>8</v>
      </c>
      <c r="R205" s="45">
        <v>2</v>
      </c>
    </row>
    <row r="206" spans="2:18" x14ac:dyDescent="0.2">
      <c r="B206" s="25">
        <v>203</v>
      </c>
      <c r="C206" s="18">
        <v>44033</v>
      </c>
      <c r="D206" s="24">
        <f t="shared" si="15"/>
        <v>2020</v>
      </c>
      <c r="E206" s="24" t="str">
        <f t="shared" si="16"/>
        <v>Q3</v>
      </c>
      <c r="F206" s="24" t="str">
        <f t="shared" si="17"/>
        <v>Jul</v>
      </c>
      <c r="G206" s="24">
        <f t="shared" si="18"/>
        <v>7</v>
      </c>
      <c r="H206" s="19">
        <v>1484</v>
      </c>
      <c r="I206" s="19" t="s">
        <v>7</v>
      </c>
      <c r="J206" s="19" t="s">
        <v>9</v>
      </c>
      <c r="K206" s="20">
        <v>1</v>
      </c>
      <c r="L206" s="21">
        <v>135.52000000000001</v>
      </c>
      <c r="M206" s="22">
        <v>0.28999999999999998</v>
      </c>
      <c r="N206" s="21">
        <f t="shared" si="19"/>
        <v>96.219200000000001</v>
      </c>
      <c r="O206" s="21">
        <v>96.22</v>
      </c>
      <c r="P206" s="19" t="s">
        <v>6</v>
      </c>
      <c r="Q206" s="23">
        <v>7</v>
      </c>
      <c r="R206" s="45">
        <v>1.9</v>
      </c>
    </row>
    <row r="207" spans="2:18" x14ac:dyDescent="0.2">
      <c r="B207" s="25">
        <v>204</v>
      </c>
      <c r="C207" s="18">
        <v>44034</v>
      </c>
      <c r="D207" s="24">
        <f t="shared" si="15"/>
        <v>2020</v>
      </c>
      <c r="E207" s="24" t="str">
        <f t="shared" si="16"/>
        <v>Q3</v>
      </c>
      <c r="F207" s="24" t="str">
        <f t="shared" si="17"/>
        <v>Jul</v>
      </c>
      <c r="G207" s="24">
        <f t="shared" si="18"/>
        <v>7</v>
      </c>
      <c r="H207" s="19">
        <v>1406</v>
      </c>
      <c r="I207" s="19" t="s">
        <v>10</v>
      </c>
      <c r="J207" s="19" t="s">
        <v>8</v>
      </c>
      <c r="K207" s="20">
        <v>1</v>
      </c>
      <c r="L207" s="21">
        <v>398.08</v>
      </c>
      <c r="M207" s="22">
        <v>0.31</v>
      </c>
      <c r="N207" s="21">
        <f t="shared" si="19"/>
        <v>274.67520000000002</v>
      </c>
      <c r="O207" s="21">
        <v>274.68</v>
      </c>
      <c r="P207" s="19" t="s">
        <v>6</v>
      </c>
      <c r="Q207" s="23">
        <v>11</v>
      </c>
      <c r="R207" s="45">
        <v>2.5</v>
      </c>
    </row>
    <row r="208" spans="2:18" x14ac:dyDescent="0.2">
      <c r="B208" s="25">
        <v>205</v>
      </c>
      <c r="C208" s="18">
        <v>44035</v>
      </c>
      <c r="D208" s="24">
        <f t="shared" si="15"/>
        <v>2020</v>
      </c>
      <c r="E208" s="24" t="str">
        <f t="shared" si="16"/>
        <v>Q3</v>
      </c>
      <c r="F208" s="24" t="str">
        <f t="shared" si="17"/>
        <v>Jul</v>
      </c>
      <c r="G208" s="24">
        <f t="shared" si="18"/>
        <v>7</v>
      </c>
      <c r="H208" s="19">
        <v>1230</v>
      </c>
      <c r="I208" s="19" t="s">
        <v>3</v>
      </c>
      <c r="J208" s="19" t="s">
        <v>9</v>
      </c>
      <c r="K208" s="20">
        <v>5</v>
      </c>
      <c r="L208" s="21">
        <v>40.39</v>
      </c>
      <c r="M208" s="22">
        <v>0.34</v>
      </c>
      <c r="N208" s="21">
        <f t="shared" si="19"/>
        <v>26.657399999999999</v>
      </c>
      <c r="O208" s="21">
        <v>133.29</v>
      </c>
      <c r="P208" s="19" t="s">
        <v>4</v>
      </c>
      <c r="Q208" s="23">
        <v>3</v>
      </c>
      <c r="R208" s="45">
        <v>1.7</v>
      </c>
    </row>
    <row r="209" spans="2:18" x14ac:dyDescent="0.2">
      <c r="B209" s="25">
        <v>206</v>
      </c>
      <c r="C209" s="18">
        <v>44036</v>
      </c>
      <c r="D209" s="24">
        <f t="shared" si="15"/>
        <v>2020</v>
      </c>
      <c r="E209" s="24" t="str">
        <f t="shared" si="16"/>
        <v>Q3</v>
      </c>
      <c r="F209" s="24" t="str">
        <f t="shared" si="17"/>
        <v>Jul</v>
      </c>
      <c r="G209" s="24">
        <f t="shared" si="18"/>
        <v>7</v>
      </c>
      <c r="H209" s="19">
        <v>1748</v>
      </c>
      <c r="I209" s="19" t="s">
        <v>3</v>
      </c>
      <c r="J209" s="19" t="s">
        <v>5</v>
      </c>
      <c r="K209" s="20">
        <v>2</v>
      </c>
      <c r="L209" s="21">
        <v>53.85</v>
      </c>
      <c r="M209" s="22">
        <v>0.27</v>
      </c>
      <c r="N209" s="21">
        <f t="shared" si="19"/>
        <v>39.310499999999998</v>
      </c>
      <c r="O209" s="21">
        <v>78.62</v>
      </c>
      <c r="P209" s="19" t="s">
        <v>4</v>
      </c>
      <c r="Q209" s="23">
        <v>6</v>
      </c>
      <c r="R209" s="45">
        <v>3.7</v>
      </c>
    </row>
    <row r="210" spans="2:18" x14ac:dyDescent="0.2">
      <c r="B210" s="25">
        <v>207</v>
      </c>
      <c r="C210" s="18">
        <v>44037</v>
      </c>
      <c r="D210" s="24">
        <f t="shared" si="15"/>
        <v>2020</v>
      </c>
      <c r="E210" s="24" t="str">
        <f t="shared" si="16"/>
        <v>Q3</v>
      </c>
      <c r="F210" s="24" t="str">
        <f t="shared" si="17"/>
        <v>Jul</v>
      </c>
      <c r="G210" s="24">
        <f t="shared" si="18"/>
        <v>7</v>
      </c>
      <c r="H210" s="19">
        <v>1654</v>
      </c>
      <c r="I210" s="19" t="s">
        <v>3</v>
      </c>
      <c r="J210" s="19" t="s">
        <v>1</v>
      </c>
      <c r="K210" s="20">
        <v>5</v>
      </c>
      <c r="L210" s="21">
        <v>337.82</v>
      </c>
      <c r="M210" s="22">
        <v>0.21</v>
      </c>
      <c r="N210" s="21">
        <f t="shared" si="19"/>
        <v>266.87779999999998</v>
      </c>
      <c r="O210" s="21">
        <v>1334.39</v>
      </c>
      <c r="P210" s="19" t="s">
        <v>4</v>
      </c>
      <c r="Q210" s="23">
        <v>4</v>
      </c>
      <c r="R210" s="45">
        <v>3.5</v>
      </c>
    </row>
    <row r="211" spans="2:18" x14ac:dyDescent="0.2">
      <c r="B211" s="25">
        <v>208</v>
      </c>
      <c r="C211" s="18">
        <v>44038</v>
      </c>
      <c r="D211" s="24">
        <f t="shared" si="15"/>
        <v>2020</v>
      </c>
      <c r="E211" s="24" t="str">
        <f t="shared" si="16"/>
        <v>Q3</v>
      </c>
      <c r="F211" s="24" t="str">
        <f t="shared" si="17"/>
        <v>Jul</v>
      </c>
      <c r="G211" s="24">
        <f t="shared" si="18"/>
        <v>7</v>
      </c>
      <c r="H211" s="19">
        <v>1170</v>
      </c>
      <c r="I211" s="19" t="s">
        <v>7</v>
      </c>
      <c r="J211" s="19" t="s">
        <v>8</v>
      </c>
      <c r="K211" s="20">
        <v>1</v>
      </c>
      <c r="L211" s="21">
        <v>76.39</v>
      </c>
      <c r="M211" s="22">
        <v>0.13</v>
      </c>
      <c r="N211" s="21">
        <f t="shared" si="19"/>
        <v>66.459299999999999</v>
      </c>
      <c r="O211" s="21">
        <v>66.459999999999994</v>
      </c>
      <c r="P211" s="19" t="s">
        <v>4</v>
      </c>
      <c r="Q211" s="23">
        <v>5</v>
      </c>
      <c r="R211" s="45">
        <v>3.5</v>
      </c>
    </row>
    <row r="212" spans="2:18" x14ac:dyDescent="0.2">
      <c r="B212" s="25">
        <v>209</v>
      </c>
      <c r="C212" s="18">
        <v>44039</v>
      </c>
      <c r="D212" s="24">
        <f t="shared" si="15"/>
        <v>2020</v>
      </c>
      <c r="E212" s="24" t="str">
        <f t="shared" si="16"/>
        <v>Q3</v>
      </c>
      <c r="F212" s="24" t="str">
        <f t="shared" si="17"/>
        <v>Jul</v>
      </c>
      <c r="G212" s="24">
        <f t="shared" si="18"/>
        <v>7</v>
      </c>
      <c r="H212" s="19">
        <v>1540</v>
      </c>
      <c r="I212" s="19" t="s">
        <v>7</v>
      </c>
      <c r="J212" s="19" t="s">
        <v>5</v>
      </c>
      <c r="K212" s="20">
        <v>4</v>
      </c>
      <c r="L212" s="21">
        <v>28.07</v>
      </c>
      <c r="M212" s="22">
        <v>0.06</v>
      </c>
      <c r="N212" s="21">
        <f t="shared" si="19"/>
        <v>26.3858</v>
      </c>
      <c r="O212" s="21">
        <v>105.54</v>
      </c>
      <c r="P212" s="19" t="s">
        <v>4</v>
      </c>
      <c r="Q212" s="23">
        <v>3</v>
      </c>
      <c r="R212" s="45">
        <v>1.9</v>
      </c>
    </row>
    <row r="213" spans="2:18" x14ac:dyDescent="0.2">
      <c r="B213" s="25">
        <v>210</v>
      </c>
      <c r="C213" s="18">
        <v>44040</v>
      </c>
      <c r="D213" s="24">
        <f t="shared" si="15"/>
        <v>2020</v>
      </c>
      <c r="E213" s="24" t="str">
        <f t="shared" si="16"/>
        <v>Q3</v>
      </c>
      <c r="F213" s="24" t="str">
        <f t="shared" si="17"/>
        <v>Jul</v>
      </c>
      <c r="G213" s="24">
        <f t="shared" si="18"/>
        <v>7</v>
      </c>
      <c r="H213" s="19">
        <v>1035</v>
      </c>
      <c r="I213" s="19" t="s">
        <v>3</v>
      </c>
      <c r="J213" s="19" t="s">
        <v>1</v>
      </c>
      <c r="K213" s="20">
        <v>2</v>
      </c>
      <c r="L213" s="21">
        <v>115.34</v>
      </c>
      <c r="M213" s="22">
        <v>0.24</v>
      </c>
      <c r="N213" s="21">
        <f t="shared" si="19"/>
        <v>87.6584</v>
      </c>
      <c r="O213" s="21">
        <v>175.32</v>
      </c>
      <c r="P213" s="19" t="s">
        <v>4</v>
      </c>
      <c r="Q213" s="23">
        <v>5</v>
      </c>
      <c r="R213" s="45">
        <v>2</v>
      </c>
    </row>
    <row r="214" spans="2:18" x14ac:dyDescent="0.2">
      <c r="B214" s="25">
        <v>211</v>
      </c>
      <c r="C214" s="18">
        <v>44041</v>
      </c>
      <c r="D214" s="24">
        <f t="shared" si="15"/>
        <v>2020</v>
      </c>
      <c r="E214" s="24" t="str">
        <f t="shared" si="16"/>
        <v>Q3</v>
      </c>
      <c r="F214" s="24" t="str">
        <f t="shared" si="17"/>
        <v>Jul</v>
      </c>
      <c r="G214" s="24">
        <f t="shared" si="18"/>
        <v>7</v>
      </c>
      <c r="H214" s="19">
        <v>1524</v>
      </c>
      <c r="I214" s="19" t="s">
        <v>7</v>
      </c>
      <c r="J214" s="19" t="s">
        <v>8</v>
      </c>
      <c r="K214" s="20">
        <v>4</v>
      </c>
      <c r="L214" s="21">
        <v>345.44</v>
      </c>
      <c r="M214" s="22">
        <v>0.35</v>
      </c>
      <c r="N214" s="21">
        <f t="shared" si="19"/>
        <v>224.536</v>
      </c>
      <c r="O214" s="21">
        <v>898.14</v>
      </c>
      <c r="P214" s="19" t="s">
        <v>4</v>
      </c>
      <c r="Q214" s="23">
        <v>6</v>
      </c>
      <c r="R214" s="45">
        <v>4.0999999999999996</v>
      </c>
    </row>
    <row r="215" spans="2:18" x14ac:dyDescent="0.2">
      <c r="B215" s="25">
        <v>212</v>
      </c>
      <c r="C215" s="18">
        <v>44042</v>
      </c>
      <c r="D215" s="24">
        <f t="shared" si="15"/>
        <v>2020</v>
      </c>
      <c r="E215" s="24" t="str">
        <f t="shared" si="16"/>
        <v>Q3</v>
      </c>
      <c r="F215" s="24" t="str">
        <f t="shared" si="17"/>
        <v>Jul</v>
      </c>
      <c r="G215" s="24">
        <f t="shared" si="18"/>
        <v>7</v>
      </c>
      <c r="H215" s="19">
        <v>1159</v>
      </c>
      <c r="I215" s="19" t="s">
        <v>7</v>
      </c>
      <c r="J215" s="19" t="s">
        <v>8</v>
      </c>
      <c r="K215" s="20">
        <v>5</v>
      </c>
      <c r="L215" s="21">
        <v>426.45</v>
      </c>
      <c r="M215" s="22">
        <v>0.16</v>
      </c>
      <c r="N215" s="21">
        <f t="shared" si="19"/>
        <v>358.21799999999996</v>
      </c>
      <c r="O215" s="21">
        <v>1791.09</v>
      </c>
      <c r="P215" s="19" t="s">
        <v>6</v>
      </c>
      <c r="Q215" s="23">
        <v>8</v>
      </c>
      <c r="R215" s="45">
        <v>3.8</v>
      </c>
    </row>
    <row r="216" spans="2:18" x14ac:dyDescent="0.2">
      <c r="B216" s="25">
        <v>213</v>
      </c>
      <c r="C216" s="18">
        <v>44043</v>
      </c>
      <c r="D216" s="24">
        <f t="shared" si="15"/>
        <v>2020</v>
      </c>
      <c r="E216" s="24" t="str">
        <f t="shared" si="16"/>
        <v>Q3</v>
      </c>
      <c r="F216" s="24" t="str">
        <f t="shared" si="17"/>
        <v>Jul</v>
      </c>
      <c r="G216" s="24">
        <f t="shared" si="18"/>
        <v>7</v>
      </c>
      <c r="H216" s="19">
        <v>1838</v>
      </c>
      <c r="I216" s="19" t="s">
        <v>10</v>
      </c>
      <c r="J216" s="19" t="s">
        <v>1</v>
      </c>
      <c r="K216" s="20">
        <v>3</v>
      </c>
      <c r="L216" s="21">
        <v>133.44999999999999</v>
      </c>
      <c r="M216" s="22">
        <v>0.25</v>
      </c>
      <c r="N216" s="21">
        <f t="shared" si="19"/>
        <v>100.08749999999999</v>
      </c>
      <c r="O216" s="21">
        <v>300.26</v>
      </c>
      <c r="P216" s="19" t="s">
        <v>2</v>
      </c>
      <c r="Q216" s="23">
        <v>6</v>
      </c>
      <c r="R216" s="45">
        <v>4.5</v>
      </c>
    </row>
    <row r="217" spans="2:18" x14ac:dyDescent="0.2">
      <c r="B217" s="25">
        <v>214</v>
      </c>
      <c r="C217" s="18">
        <v>44044</v>
      </c>
      <c r="D217" s="24">
        <f t="shared" si="15"/>
        <v>2020</v>
      </c>
      <c r="E217" s="24" t="str">
        <f t="shared" si="16"/>
        <v>Q3</v>
      </c>
      <c r="F217" s="24" t="str">
        <f t="shared" si="17"/>
        <v>Aug</v>
      </c>
      <c r="G217" s="24">
        <f t="shared" si="18"/>
        <v>8</v>
      </c>
      <c r="H217" s="19">
        <v>1698</v>
      </c>
      <c r="I217" s="19" t="s">
        <v>0</v>
      </c>
      <c r="J217" s="19" t="s">
        <v>1</v>
      </c>
      <c r="K217" s="20">
        <v>4</v>
      </c>
      <c r="L217" s="21">
        <v>405.93</v>
      </c>
      <c r="M217" s="22">
        <v>0.17</v>
      </c>
      <c r="N217" s="21">
        <f t="shared" si="19"/>
        <v>336.92189999999999</v>
      </c>
      <c r="O217" s="21">
        <v>1347.69</v>
      </c>
      <c r="P217" s="19" t="s">
        <v>2</v>
      </c>
      <c r="Q217" s="23">
        <v>9</v>
      </c>
      <c r="R217" s="45">
        <v>2.6</v>
      </c>
    </row>
    <row r="218" spans="2:18" x14ac:dyDescent="0.2">
      <c r="B218" s="25">
        <v>215</v>
      </c>
      <c r="C218" s="18">
        <v>44045</v>
      </c>
      <c r="D218" s="24">
        <f t="shared" si="15"/>
        <v>2020</v>
      </c>
      <c r="E218" s="24" t="str">
        <f t="shared" si="16"/>
        <v>Q3</v>
      </c>
      <c r="F218" s="24" t="str">
        <f t="shared" si="17"/>
        <v>Aug</v>
      </c>
      <c r="G218" s="24">
        <f t="shared" si="18"/>
        <v>8</v>
      </c>
      <c r="H218" s="19">
        <v>1242</v>
      </c>
      <c r="I218" s="19" t="s">
        <v>10</v>
      </c>
      <c r="J218" s="19" t="s">
        <v>5</v>
      </c>
      <c r="K218" s="20">
        <v>5</v>
      </c>
      <c r="L218" s="21">
        <v>121.75</v>
      </c>
      <c r="M218" s="22">
        <v>0.15</v>
      </c>
      <c r="N218" s="21">
        <f t="shared" si="19"/>
        <v>103.4875</v>
      </c>
      <c r="O218" s="21">
        <v>517.44000000000005</v>
      </c>
      <c r="P218" s="19" t="s">
        <v>4</v>
      </c>
      <c r="Q218" s="23">
        <v>10</v>
      </c>
      <c r="R218" s="45">
        <v>3.2</v>
      </c>
    </row>
    <row r="219" spans="2:18" x14ac:dyDescent="0.2">
      <c r="B219" s="25">
        <v>216</v>
      </c>
      <c r="C219" s="18">
        <v>44046</v>
      </c>
      <c r="D219" s="24">
        <f t="shared" si="15"/>
        <v>2020</v>
      </c>
      <c r="E219" s="24" t="str">
        <f t="shared" si="16"/>
        <v>Q3</v>
      </c>
      <c r="F219" s="24" t="str">
        <f t="shared" si="17"/>
        <v>Aug</v>
      </c>
      <c r="G219" s="24">
        <f t="shared" si="18"/>
        <v>8</v>
      </c>
      <c r="H219" s="19">
        <v>1085</v>
      </c>
      <c r="I219" s="19" t="s">
        <v>0</v>
      </c>
      <c r="J219" s="19" t="s">
        <v>9</v>
      </c>
      <c r="K219" s="20">
        <v>5</v>
      </c>
      <c r="L219" s="21">
        <v>373.87</v>
      </c>
      <c r="M219" s="22">
        <v>0.14000000000000001</v>
      </c>
      <c r="N219" s="21">
        <f t="shared" si="19"/>
        <v>321.52819999999997</v>
      </c>
      <c r="O219" s="21">
        <v>1607.64</v>
      </c>
      <c r="P219" s="19" t="s">
        <v>4</v>
      </c>
      <c r="Q219" s="23">
        <v>10</v>
      </c>
      <c r="R219" s="45">
        <v>4</v>
      </c>
    </row>
    <row r="220" spans="2:18" x14ac:dyDescent="0.2">
      <c r="B220" s="25">
        <v>217</v>
      </c>
      <c r="C220" s="18">
        <v>44047</v>
      </c>
      <c r="D220" s="24">
        <f t="shared" si="15"/>
        <v>2020</v>
      </c>
      <c r="E220" s="24" t="str">
        <f t="shared" si="16"/>
        <v>Q3</v>
      </c>
      <c r="F220" s="24" t="str">
        <f t="shared" si="17"/>
        <v>Aug</v>
      </c>
      <c r="G220" s="24">
        <f t="shared" si="18"/>
        <v>8</v>
      </c>
      <c r="H220" s="19">
        <v>1795</v>
      </c>
      <c r="I220" s="19" t="s">
        <v>7</v>
      </c>
      <c r="J220" s="19" t="s">
        <v>9</v>
      </c>
      <c r="K220" s="20">
        <v>5</v>
      </c>
      <c r="L220" s="21">
        <v>256</v>
      </c>
      <c r="M220" s="22">
        <v>0.18</v>
      </c>
      <c r="N220" s="21">
        <f t="shared" si="19"/>
        <v>209.92000000000002</v>
      </c>
      <c r="O220" s="21">
        <v>1049.5999999999999</v>
      </c>
      <c r="P220" s="19" t="s">
        <v>4</v>
      </c>
      <c r="Q220" s="23">
        <v>10</v>
      </c>
      <c r="R220" s="45">
        <v>4.9000000000000004</v>
      </c>
    </row>
    <row r="221" spans="2:18" x14ac:dyDescent="0.2">
      <c r="B221" s="25">
        <v>218</v>
      </c>
      <c r="C221" s="18">
        <v>44048</v>
      </c>
      <c r="D221" s="24">
        <f t="shared" si="15"/>
        <v>2020</v>
      </c>
      <c r="E221" s="24" t="str">
        <f t="shared" si="16"/>
        <v>Q3</v>
      </c>
      <c r="F221" s="24" t="str">
        <f t="shared" si="17"/>
        <v>Aug</v>
      </c>
      <c r="G221" s="24">
        <f t="shared" si="18"/>
        <v>8</v>
      </c>
      <c r="H221" s="19">
        <v>1577</v>
      </c>
      <c r="I221" s="19" t="s">
        <v>0</v>
      </c>
      <c r="J221" s="19" t="s">
        <v>9</v>
      </c>
      <c r="K221" s="20">
        <v>3</v>
      </c>
      <c r="L221" s="21">
        <v>397.47</v>
      </c>
      <c r="M221" s="22">
        <v>0.13</v>
      </c>
      <c r="N221" s="21">
        <f t="shared" si="19"/>
        <v>345.7989</v>
      </c>
      <c r="O221" s="21">
        <v>1037.4000000000001</v>
      </c>
      <c r="P221" s="19" t="s">
        <v>2</v>
      </c>
      <c r="Q221" s="23">
        <v>10</v>
      </c>
      <c r="R221" s="45">
        <v>5</v>
      </c>
    </row>
    <row r="222" spans="2:18" x14ac:dyDescent="0.2">
      <c r="B222" s="25">
        <v>219</v>
      </c>
      <c r="C222" s="18">
        <v>44049</v>
      </c>
      <c r="D222" s="24">
        <f t="shared" si="15"/>
        <v>2020</v>
      </c>
      <c r="E222" s="24" t="str">
        <f t="shared" si="16"/>
        <v>Q3</v>
      </c>
      <c r="F222" s="24" t="str">
        <f t="shared" si="17"/>
        <v>Aug</v>
      </c>
      <c r="G222" s="24">
        <f t="shared" si="18"/>
        <v>8</v>
      </c>
      <c r="H222" s="19">
        <v>1681</v>
      </c>
      <c r="I222" s="19" t="s">
        <v>7</v>
      </c>
      <c r="J222" s="19" t="s">
        <v>9</v>
      </c>
      <c r="K222" s="20">
        <v>3</v>
      </c>
      <c r="L222" s="21">
        <v>597.11</v>
      </c>
      <c r="M222" s="22">
        <v>0.26</v>
      </c>
      <c r="N222" s="21">
        <f t="shared" si="19"/>
        <v>441.8614</v>
      </c>
      <c r="O222" s="21">
        <v>1325.58</v>
      </c>
      <c r="P222" s="19" t="s">
        <v>6</v>
      </c>
      <c r="Q222" s="23">
        <v>4</v>
      </c>
      <c r="R222" s="45">
        <v>5</v>
      </c>
    </row>
    <row r="223" spans="2:18" x14ac:dyDescent="0.2">
      <c r="B223" s="25">
        <v>220</v>
      </c>
      <c r="C223" s="18">
        <v>44050</v>
      </c>
      <c r="D223" s="24">
        <f t="shared" si="15"/>
        <v>2020</v>
      </c>
      <c r="E223" s="24" t="str">
        <f t="shared" si="16"/>
        <v>Q3</v>
      </c>
      <c r="F223" s="24" t="str">
        <f t="shared" si="17"/>
        <v>Aug</v>
      </c>
      <c r="G223" s="24">
        <f t="shared" si="18"/>
        <v>8</v>
      </c>
      <c r="H223" s="19">
        <v>1556</v>
      </c>
      <c r="I223" s="19" t="s">
        <v>0</v>
      </c>
      <c r="J223" s="19" t="s">
        <v>9</v>
      </c>
      <c r="K223" s="20">
        <v>7</v>
      </c>
      <c r="L223" s="21">
        <v>563.62</v>
      </c>
      <c r="M223" s="22">
        <v>0.31</v>
      </c>
      <c r="N223" s="21">
        <f t="shared" si="19"/>
        <v>388.89780000000002</v>
      </c>
      <c r="O223" s="21">
        <v>2722.28</v>
      </c>
      <c r="P223" s="19" t="s">
        <v>4</v>
      </c>
      <c r="Q223" s="23">
        <v>2</v>
      </c>
      <c r="R223" s="45">
        <v>4.5999999999999996</v>
      </c>
    </row>
    <row r="224" spans="2:18" x14ac:dyDescent="0.2">
      <c r="B224" s="25">
        <v>221</v>
      </c>
      <c r="C224" s="18">
        <v>44051</v>
      </c>
      <c r="D224" s="24">
        <f t="shared" si="15"/>
        <v>2020</v>
      </c>
      <c r="E224" s="24" t="str">
        <f t="shared" si="16"/>
        <v>Q3</v>
      </c>
      <c r="F224" s="24" t="str">
        <f t="shared" si="17"/>
        <v>Aug</v>
      </c>
      <c r="G224" s="24">
        <f t="shared" si="18"/>
        <v>8</v>
      </c>
      <c r="H224" s="19">
        <v>1573</v>
      </c>
      <c r="I224" s="19" t="s">
        <v>0</v>
      </c>
      <c r="J224" s="19" t="s">
        <v>5</v>
      </c>
      <c r="K224" s="20">
        <v>3</v>
      </c>
      <c r="L224" s="21">
        <v>17.5</v>
      </c>
      <c r="M224" s="22">
        <v>0.31</v>
      </c>
      <c r="N224" s="21">
        <f t="shared" si="19"/>
        <v>12.074999999999999</v>
      </c>
      <c r="O224" s="21">
        <v>36.22</v>
      </c>
      <c r="P224" s="19" t="s">
        <v>2</v>
      </c>
      <c r="Q224" s="23">
        <v>9</v>
      </c>
      <c r="R224" s="45">
        <v>3.6</v>
      </c>
    </row>
    <row r="225" spans="2:18" x14ac:dyDescent="0.2">
      <c r="B225" s="25">
        <v>222</v>
      </c>
      <c r="C225" s="18">
        <v>44052</v>
      </c>
      <c r="D225" s="24">
        <f t="shared" si="15"/>
        <v>2020</v>
      </c>
      <c r="E225" s="24" t="str">
        <f t="shared" si="16"/>
        <v>Q3</v>
      </c>
      <c r="F225" s="24" t="str">
        <f t="shared" si="17"/>
        <v>Aug</v>
      </c>
      <c r="G225" s="24">
        <f t="shared" si="18"/>
        <v>8</v>
      </c>
      <c r="H225" s="19">
        <v>1952</v>
      </c>
      <c r="I225" s="19" t="s">
        <v>10</v>
      </c>
      <c r="J225" s="19" t="s">
        <v>8</v>
      </c>
      <c r="K225" s="20">
        <v>2</v>
      </c>
      <c r="L225" s="21">
        <v>532.98</v>
      </c>
      <c r="M225" s="22">
        <v>0.08</v>
      </c>
      <c r="N225" s="21">
        <f t="shared" si="19"/>
        <v>490.34160000000003</v>
      </c>
      <c r="O225" s="21">
        <v>980.68</v>
      </c>
      <c r="P225" s="19" t="s">
        <v>4</v>
      </c>
      <c r="Q225" s="23">
        <v>11</v>
      </c>
      <c r="R225" s="45">
        <v>1</v>
      </c>
    </row>
    <row r="226" spans="2:18" x14ac:dyDescent="0.2">
      <c r="B226" s="25">
        <v>223</v>
      </c>
      <c r="C226" s="18">
        <v>44053</v>
      </c>
      <c r="D226" s="24">
        <f t="shared" si="15"/>
        <v>2020</v>
      </c>
      <c r="E226" s="24" t="str">
        <f t="shared" si="16"/>
        <v>Q3</v>
      </c>
      <c r="F226" s="24" t="str">
        <f t="shared" si="17"/>
        <v>Aug</v>
      </c>
      <c r="G226" s="24">
        <f t="shared" si="18"/>
        <v>8</v>
      </c>
      <c r="H226" s="19">
        <v>1645</v>
      </c>
      <c r="I226" s="19" t="s">
        <v>0</v>
      </c>
      <c r="J226" s="19" t="s">
        <v>5</v>
      </c>
      <c r="K226" s="20">
        <v>3</v>
      </c>
      <c r="L226" s="21">
        <v>53.9</v>
      </c>
      <c r="M226" s="22">
        <v>0.31</v>
      </c>
      <c r="N226" s="21">
        <f t="shared" si="19"/>
        <v>37.191000000000003</v>
      </c>
      <c r="O226" s="21">
        <v>111.57</v>
      </c>
      <c r="P226" s="19" t="s">
        <v>2</v>
      </c>
      <c r="Q226" s="23">
        <v>3</v>
      </c>
      <c r="R226" s="45">
        <v>3.8</v>
      </c>
    </row>
    <row r="227" spans="2:18" x14ac:dyDescent="0.2">
      <c r="B227" s="25">
        <v>224</v>
      </c>
      <c r="C227" s="18">
        <v>44054</v>
      </c>
      <c r="D227" s="24">
        <f t="shared" si="15"/>
        <v>2020</v>
      </c>
      <c r="E227" s="24" t="str">
        <f t="shared" si="16"/>
        <v>Q3</v>
      </c>
      <c r="F227" s="24" t="str">
        <f t="shared" si="17"/>
        <v>Aug</v>
      </c>
      <c r="G227" s="24">
        <f t="shared" si="18"/>
        <v>8</v>
      </c>
      <c r="H227" s="19">
        <v>1795</v>
      </c>
      <c r="I227" s="19" t="s">
        <v>3</v>
      </c>
      <c r="J227" s="19" t="s">
        <v>5</v>
      </c>
      <c r="K227" s="20">
        <v>3</v>
      </c>
      <c r="L227" s="21">
        <v>572.53</v>
      </c>
      <c r="M227" s="22">
        <v>0.12</v>
      </c>
      <c r="N227" s="21">
        <f t="shared" si="19"/>
        <v>503.82639999999998</v>
      </c>
      <c r="O227" s="21">
        <v>1511.48</v>
      </c>
      <c r="P227" s="19" t="s">
        <v>4</v>
      </c>
      <c r="Q227" s="23">
        <v>11</v>
      </c>
      <c r="R227" s="45">
        <v>2</v>
      </c>
    </row>
    <row r="228" spans="2:18" x14ac:dyDescent="0.2">
      <c r="B228" s="25">
        <v>225</v>
      </c>
      <c r="C228" s="18">
        <v>44055</v>
      </c>
      <c r="D228" s="24">
        <f t="shared" si="15"/>
        <v>2020</v>
      </c>
      <c r="E228" s="24" t="str">
        <f t="shared" si="16"/>
        <v>Q3</v>
      </c>
      <c r="F228" s="24" t="str">
        <f t="shared" si="17"/>
        <v>Aug</v>
      </c>
      <c r="G228" s="24">
        <f t="shared" si="18"/>
        <v>8</v>
      </c>
      <c r="H228" s="19">
        <v>1027</v>
      </c>
      <c r="I228" s="19" t="s">
        <v>7</v>
      </c>
      <c r="J228" s="19" t="s">
        <v>5</v>
      </c>
      <c r="K228" s="20">
        <v>3</v>
      </c>
      <c r="L228" s="21">
        <v>179.87</v>
      </c>
      <c r="M228" s="22">
        <v>0.11</v>
      </c>
      <c r="N228" s="21">
        <f t="shared" si="19"/>
        <v>160.08430000000001</v>
      </c>
      <c r="O228" s="21">
        <v>480.25</v>
      </c>
      <c r="P228" s="19" t="s">
        <v>4</v>
      </c>
      <c r="Q228" s="23">
        <v>7</v>
      </c>
      <c r="R228" s="45">
        <v>1.2</v>
      </c>
    </row>
    <row r="229" spans="2:18" x14ac:dyDescent="0.2">
      <c r="B229" s="25">
        <v>226</v>
      </c>
      <c r="C229" s="18">
        <v>44056</v>
      </c>
      <c r="D229" s="24">
        <f t="shared" si="15"/>
        <v>2020</v>
      </c>
      <c r="E229" s="24" t="str">
        <f t="shared" si="16"/>
        <v>Q3</v>
      </c>
      <c r="F229" s="24" t="str">
        <f t="shared" si="17"/>
        <v>Aug</v>
      </c>
      <c r="G229" s="24">
        <f t="shared" si="18"/>
        <v>8</v>
      </c>
      <c r="H229" s="19">
        <v>1619</v>
      </c>
      <c r="I229" s="19" t="s">
        <v>3</v>
      </c>
      <c r="J229" s="19" t="s">
        <v>8</v>
      </c>
      <c r="K229" s="20">
        <v>4</v>
      </c>
      <c r="L229" s="21">
        <v>238.49</v>
      </c>
      <c r="M229" s="22">
        <v>0.25</v>
      </c>
      <c r="N229" s="21">
        <f t="shared" si="19"/>
        <v>178.86750000000001</v>
      </c>
      <c r="O229" s="21">
        <v>715.47</v>
      </c>
      <c r="P229" s="19" t="s">
        <v>6</v>
      </c>
      <c r="Q229" s="23">
        <v>4</v>
      </c>
      <c r="R229" s="45">
        <v>3.8</v>
      </c>
    </row>
    <row r="230" spans="2:18" x14ac:dyDescent="0.2">
      <c r="B230" s="25">
        <v>227</v>
      </c>
      <c r="C230" s="18">
        <v>44057</v>
      </c>
      <c r="D230" s="24">
        <f t="shared" si="15"/>
        <v>2020</v>
      </c>
      <c r="E230" s="24" t="str">
        <f t="shared" si="16"/>
        <v>Q3</v>
      </c>
      <c r="F230" s="24" t="str">
        <f t="shared" si="17"/>
        <v>Aug</v>
      </c>
      <c r="G230" s="24">
        <f t="shared" si="18"/>
        <v>8</v>
      </c>
      <c r="H230" s="19">
        <v>1555</v>
      </c>
      <c r="I230" s="19" t="s">
        <v>3</v>
      </c>
      <c r="J230" s="19" t="s">
        <v>5</v>
      </c>
      <c r="K230" s="20">
        <v>3</v>
      </c>
      <c r="L230" s="21">
        <v>68.61</v>
      </c>
      <c r="M230" s="22">
        <v>0.11</v>
      </c>
      <c r="N230" s="21">
        <f t="shared" si="19"/>
        <v>61.062899999999999</v>
      </c>
      <c r="O230" s="21">
        <v>183.19</v>
      </c>
      <c r="P230" s="19" t="s">
        <v>2</v>
      </c>
      <c r="Q230" s="23">
        <v>1</v>
      </c>
      <c r="R230" s="45">
        <v>4</v>
      </c>
    </row>
    <row r="231" spans="2:18" x14ac:dyDescent="0.2">
      <c r="B231" s="25">
        <v>228</v>
      </c>
      <c r="C231" s="18">
        <v>44058</v>
      </c>
      <c r="D231" s="24">
        <f t="shared" si="15"/>
        <v>2020</v>
      </c>
      <c r="E231" s="24" t="str">
        <f t="shared" si="16"/>
        <v>Q3</v>
      </c>
      <c r="F231" s="24" t="str">
        <f t="shared" si="17"/>
        <v>Aug</v>
      </c>
      <c r="G231" s="24">
        <f t="shared" si="18"/>
        <v>8</v>
      </c>
      <c r="H231" s="19">
        <v>1339</v>
      </c>
      <c r="I231" s="19" t="s">
        <v>7</v>
      </c>
      <c r="J231" s="19" t="s">
        <v>5</v>
      </c>
      <c r="K231" s="20">
        <v>2</v>
      </c>
      <c r="L231" s="21">
        <v>80.680000000000007</v>
      </c>
      <c r="M231" s="22">
        <v>0.02</v>
      </c>
      <c r="N231" s="21">
        <f t="shared" si="19"/>
        <v>79.066400000000002</v>
      </c>
      <c r="O231" s="21">
        <v>158.13</v>
      </c>
      <c r="P231" s="19" t="s">
        <v>2</v>
      </c>
      <c r="Q231" s="23">
        <v>8</v>
      </c>
      <c r="R231" s="45">
        <v>3.6</v>
      </c>
    </row>
    <row r="232" spans="2:18" x14ac:dyDescent="0.2">
      <c r="B232" s="25">
        <v>229</v>
      </c>
      <c r="C232" s="18">
        <v>44059</v>
      </c>
      <c r="D232" s="24">
        <f t="shared" si="15"/>
        <v>2020</v>
      </c>
      <c r="E232" s="24" t="str">
        <f t="shared" si="16"/>
        <v>Q3</v>
      </c>
      <c r="F232" s="24" t="str">
        <f t="shared" si="17"/>
        <v>Aug</v>
      </c>
      <c r="G232" s="24">
        <f t="shared" si="18"/>
        <v>8</v>
      </c>
      <c r="H232" s="19">
        <v>1797</v>
      </c>
      <c r="I232" s="19" t="s">
        <v>3</v>
      </c>
      <c r="J232" s="19" t="s">
        <v>8</v>
      </c>
      <c r="K232" s="20">
        <v>5</v>
      </c>
      <c r="L232" s="21">
        <v>440.14</v>
      </c>
      <c r="M232" s="22">
        <v>0.13</v>
      </c>
      <c r="N232" s="21">
        <f t="shared" si="19"/>
        <v>382.92179999999996</v>
      </c>
      <c r="O232" s="21">
        <v>1914.61</v>
      </c>
      <c r="P232" s="19" t="s">
        <v>6</v>
      </c>
      <c r="Q232" s="23">
        <v>4</v>
      </c>
      <c r="R232" s="45">
        <v>2.5</v>
      </c>
    </row>
    <row r="233" spans="2:18" x14ac:dyDescent="0.2">
      <c r="B233" s="25">
        <v>230</v>
      </c>
      <c r="C233" s="18">
        <v>44060</v>
      </c>
      <c r="D233" s="24">
        <f t="shared" si="15"/>
        <v>2020</v>
      </c>
      <c r="E233" s="24" t="str">
        <f t="shared" si="16"/>
        <v>Q3</v>
      </c>
      <c r="F233" s="24" t="str">
        <f t="shared" si="17"/>
        <v>Aug</v>
      </c>
      <c r="G233" s="24">
        <f t="shared" si="18"/>
        <v>8</v>
      </c>
      <c r="H233" s="19">
        <v>1957</v>
      </c>
      <c r="I233" s="19" t="s">
        <v>0</v>
      </c>
      <c r="J233" s="19" t="s">
        <v>5</v>
      </c>
      <c r="K233" s="20">
        <v>4</v>
      </c>
      <c r="L233" s="21">
        <v>567.42999999999995</v>
      </c>
      <c r="M233" s="22">
        <v>0.25</v>
      </c>
      <c r="N233" s="21">
        <f t="shared" si="19"/>
        <v>425.57249999999999</v>
      </c>
      <c r="O233" s="21">
        <v>1702.29</v>
      </c>
      <c r="P233" s="19" t="s">
        <v>4</v>
      </c>
      <c r="Q233" s="23">
        <v>11</v>
      </c>
      <c r="R233" s="45">
        <v>3</v>
      </c>
    </row>
    <row r="234" spans="2:18" x14ac:dyDescent="0.2">
      <c r="B234" s="25">
        <v>231</v>
      </c>
      <c r="C234" s="18">
        <v>44061</v>
      </c>
      <c r="D234" s="24">
        <f t="shared" si="15"/>
        <v>2020</v>
      </c>
      <c r="E234" s="24" t="str">
        <f t="shared" si="16"/>
        <v>Q3</v>
      </c>
      <c r="F234" s="24" t="str">
        <f t="shared" si="17"/>
        <v>Aug</v>
      </c>
      <c r="G234" s="24">
        <f t="shared" si="18"/>
        <v>8</v>
      </c>
      <c r="H234" s="19">
        <v>1330</v>
      </c>
      <c r="I234" s="19" t="s">
        <v>7</v>
      </c>
      <c r="J234" s="19" t="s">
        <v>9</v>
      </c>
      <c r="K234" s="20">
        <v>1</v>
      </c>
      <c r="L234" s="21">
        <v>372.29</v>
      </c>
      <c r="M234" s="22">
        <v>0.11</v>
      </c>
      <c r="N234" s="21">
        <f t="shared" si="19"/>
        <v>331.3381</v>
      </c>
      <c r="O234" s="21">
        <v>331.34</v>
      </c>
      <c r="P234" s="19" t="s">
        <v>4</v>
      </c>
      <c r="Q234" s="23">
        <v>6</v>
      </c>
      <c r="R234" s="45">
        <v>4.7</v>
      </c>
    </row>
    <row r="235" spans="2:18" x14ac:dyDescent="0.2">
      <c r="B235" s="25">
        <v>232</v>
      </c>
      <c r="C235" s="18">
        <v>44062</v>
      </c>
      <c r="D235" s="24">
        <f t="shared" si="15"/>
        <v>2020</v>
      </c>
      <c r="E235" s="24" t="str">
        <f t="shared" si="16"/>
        <v>Q3</v>
      </c>
      <c r="F235" s="24" t="str">
        <f t="shared" si="17"/>
        <v>Aug</v>
      </c>
      <c r="G235" s="24">
        <f t="shared" si="18"/>
        <v>8</v>
      </c>
      <c r="H235" s="19">
        <v>1639</v>
      </c>
      <c r="I235" s="19" t="s">
        <v>10</v>
      </c>
      <c r="J235" s="19" t="s">
        <v>1</v>
      </c>
      <c r="K235" s="20">
        <v>3</v>
      </c>
      <c r="L235" s="21">
        <v>433.77</v>
      </c>
      <c r="M235" s="22">
        <v>0.22</v>
      </c>
      <c r="N235" s="21">
        <f t="shared" si="19"/>
        <v>338.34059999999999</v>
      </c>
      <c r="O235" s="21">
        <v>1015.02</v>
      </c>
      <c r="P235" s="19" t="s">
        <v>2</v>
      </c>
      <c r="Q235" s="23">
        <v>7</v>
      </c>
      <c r="R235" s="45">
        <v>3.9</v>
      </c>
    </row>
    <row r="236" spans="2:18" x14ac:dyDescent="0.2">
      <c r="B236" s="25">
        <v>233</v>
      </c>
      <c r="C236" s="18">
        <v>44063</v>
      </c>
      <c r="D236" s="24">
        <f t="shared" si="15"/>
        <v>2020</v>
      </c>
      <c r="E236" s="24" t="str">
        <f t="shared" si="16"/>
        <v>Q3</v>
      </c>
      <c r="F236" s="24" t="str">
        <f t="shared" si="17"/>
        <v>Aug</v>
      </c>
      <c r="G236" s="24">
        <f t="shared" si="18"/>
        <v>8</v>
      </c>
      <c r="H236" s="19">
        <v>1505</v>
      </c>
      <c r="I236" s="19" t="s">
        <v>0</v>
      </c>
      <c r="J236" s="19" t="s">
        <v>5</v>
      </c>
      <c r="K236" s="20">
        <v>7</v>
      </c>
      <c r="L236" s="21">
        <v>460.75</v>
      </c>
      <c r="M236" s="22">
        <v>0.23</v>
      </c>
      <c r="N236" s="21">
        <f t="shared" si="19"/>
        <v>354.77749999999997</v>
      </c>
      <c r="O236" s="21">
        <v>2483.44</v>
      </c>
      <c r="P236" s="19" t="s">
        <v>6</v>
      </c>
      <c r="Q236" s="23">
        <v>8</v>
      </c>
      <c r="R236" s="45">
        <v>3</v>
      </c>
    </row>
    <row r="237" spans="2:18" x14ac:dyDescent="0.2">
      <c r="B237" s="25">
        <v>234</v>
      </c>
      <c r="C237" s="18">
        <v>44064</v>
      </c>
      <c r="D237" s="24">
        <f t="shared" si="15"/>
        <v>2020</v>
      </c>
      <c r="E237" s="24" t="str">
        <f t="shared" si="16"/>
        <v>Q3</v>
      </c>
      <c r="F237" s="24" t="str">
        <f t="shared" si="17"/>
        <v>Aug</v>
      </c>
      <c r="G237" s="24">
        <f t="shared" si="18"/>
        <v>8</v>
      </c>
      <c r="H237" s="19">
        <v>1347</v>
      </c>
      <c r="I237" s="19" t="s">
        <v>0</v>
      </c>
      <c r="J237" s="19" t="s">
        <v>1</v>
      </c>
      <c r="K237" s="20">
        <v>7</v>
      </c>
      <c r="L237" s="21">
        <v>168.75</v>
      </c>
      <c r="M237" s="22">
        <v>0.26</v>
      </c>
      <c r="N237" s="21">
        <f t="shared" si="19"/>
        <v>124.875</v>
      </c>
      <c r="O237" s="21">
        <v>874.12</v>
      </c>
      <c r="P237" s="19" t="s">
        <v>6</v>
      </c>
      <c r="Q237" s="23">
        <v>10</v>
      </c>
      <c r="R237" s="45">
        <v>3.4</v>
      </c>
    </row>
    <row r="238" spans="2:18" x14ac:dyDescent="0.2">
      <c r="B238" s="25">
        <v>235</v>
      </c>
      <c r="C238" s="18">
        <v>44065</v>
      </c>
      <c r="D238" s="24">
        <f t="shared" si="15"/>
        <v>2020</v>
      </c>
      <c r="E238" s="24" t="str">
        <f t="shared" si="16"/>
        <v>Q3</v>
      </c>
      <c r="F238" s="24" t="str">
        <f t="shared" si="17"/>
        <v>Aug</v>
      </c>
      <c r="G238" s="24">
        <f t="shared" si="18"/>
        <v>8</v>
      </c>
      <c r="H238" s="19">
        <v>1472</v>
      </c>
      <c r="I238" s="19" t="s">
        <v>0</v>
      </c>
      <c r="J238" s="19" t="s">
        <v>5</v>
      </c>
      <c r="K238" s="20">
        <v>5</v>
      </c>
      <c r="L238" s="21">
        <v>41.46</v>
      </c>
      <c r="M238" s="22">
        <v>0.31</v>
      </c>
      <c r="N238" s="21">
        <f t="shared" si="19"/>
        <v>28.607399999999998</v>
      </c>
      <c r="O238" s="21">
        <v>143.04</v>
      </c>
      <c r="P238" s="19" t="s">
        <v>4</v>
      </c>
      <c r="Q238" s="23">
        <v>2</v>
      </c>
      <c r="R238" s="45">
        <v>4.7</v>
      </c>
    </row>
    <row r="239" spans="2:18" x14ac:dyDescent="0.2">
      <c r="B239" s="25">
        <v>236</v>
      </c>
      <c r="C239" s="18">
        <v>44066</v>
      </c>
      <c r="D239" s="24">
        <f t="shared" si="15"/>
        <v>2020</v>
      </c>
      <c r="E239" s="24" t="str">
        <f t="shared" si="16"/>
        <v>Q3</v>
      </c>
      <c r="F239" s="24" t="str">
        <f t="shared" si="17"/>
        <v>Aug</v>
      </c>
      <c r="G239" s="24">
        <f t="shared" si="18"/>
        <v>8</v>
      </c>
      <c r="H239" s="19">
        <v>1230</v>
      </c>
      <c r="I239" s="19" t="s">
        <v>3</v>
      </c>
      <c r="J239" s="19" t="s">
        <v>5</v>
      </c>
      <c r="K239" s="20">
        <v>5</v>
      </c>
      <c r="L239" s="21">
        <v>16.100000000000001</v>
      </c>
      <c r="M239" s="22">
        <v>0.15</v>
      </c>
      <c r="N239" s="21">
        <f t="shared" si="19"/>
        <v>13.685000000000002</v>
      </c>
      <c r="O239" s="21">
        <v>68.42</v>
      </c>
      <c r="P239" s="19" t="s">
        <v>6</v>
      </c>
      <c r="Q239" s="23">
        <v>9</v>
      </c>
      <c r="R239" s="45">
        <v>2.6</v>
      </c>
    </row>
    <row r="240" spans="2:18" x14ac:dyDescent="0.2">
      <c r="B240" s="25">
        <v>237</v>
      </c>
      <c r="C240" s="18">
        <v>44067</v>
      </c>
      <c r="D240" s="24">
        <f t="shared" si="15"/>
        <v>2020</v>
      </c>
      <c r="E240" s="24" t="str">
        <f t="shared" si="16"/>
        <v>Q3</v>
      </c>
      <c r="F240" s="24" t="str">
        <f t="shared" si="17"/>
        <v>Aug</v>
      </c>
      <c r="G240" s="24">
        <f t="shared" si="18"/>
        <v>8</v>
      </c>
      <c r="H240" s="19">
        <v>1189</v>
      </c>
      <c r="I240" s="19" t="s">
        <v>0</v>
      </c>
      <c r="J240" s="19" t="s">
        <v>9</v>
      </c>
      <c r="K240" s="20">
        <v>4</v>
      </c>
      <c r="L240" s="21">
        <v>220.13</v>
      </c>
      <c r="M240" s="22">
        <v>0.06</v>
      </c>
      <c r="N240" s="21">
        <f t="shared" si="19"/>
        <v>206.9222</v>
      </c>
      <c r="O240" s="21">
        <v>827.69</v>
      </c>
      <c r="P240" s="19" t="s">
        <v>4</v>
      </c>
      <c r="Q240" s="23">
        <v>10</v>
      </c>
      <c r="R240" s="45">
        <v>1.4</v>
      </c>
    </row>
    <row r="241" spans="2:18" x14ac:dyDescent="0.2">
      <c r="B241" s="25">
        <v>238</v>
      </c>
      <c r="C241" s="18">
        <v>44068</v>
      </c>
      <c r="D241" s="24">
        <f t="shared" si="15"/>
        <v>2020</v>
      </c>
      <c r="E241" s="24" t="str">
        <f t="shared" si="16"/>
        <v>Q3</v>
      </c>
      <c r="F241" s="24" t="str">
        <f t="shared" si="17"/>
        <v>Aug</v>
      </c>
      <c r="G241" s="24">
        <f t="shared" si="18"/>
        <v>8</v>
      </c>
      <c r="H241" s="19">
        <v>1224</v>
      </c>
      <c r="I241" s="19" t="s">
        <v>10</v>
      </c>
      <c r="J241" s="19" t="s">
        <v>8</v>
      </c>
      <c r="K241" s="20">
        <v>7</v>
      </c>
      <c r="L241" s="21">
        <v>156.26</v>
      </c>
      <c r="M241" s="22">
        <v>0.11</v>
      </c>
      <c r="N241" s="21">
        <f t="shared" si="19"/>
        <v>139.07139999999998</v>
      </c>
      <c r="O241" s="21">
        <v>973.5</v>
      </c>
      <c r="P241" s="19" t="s">
        <v>6</v>
      </c>
      <c r="Q241" s="23">
        <v>3</v>
      </c>
      <c r="R241" s="45">
        <v>2.2999999999999998</v>
      </c>
    </row>
    <row r="242" spans="2:18" x14ac:dyDescent="0.2">
      <c r="B242" s="25">
        <v>239</v>
      </c>
      <c r="C242" s="18">
        <v>44069</v>
      </c>
      <c r="D242" s="24">
        <f t="shared" si="15"/>
        <v>2020</v>
      </c>
      <c r="E242" s="24" t="str">
        <f t="shared" si="16"/>
        <v>Q3</v>
      </c>
      <c r="F242" s="24" t="str">
        <f t="shared" si="17"/>
        <v>Aug</v>
      </c>
      <c r="G242" s="24">
        <f t="shared" si="18"/>
        <v>8</v>
      </c>
      <c r="H242" s="19">
        <v>1384</v>
      </c>
      <c r="I242" s="19" t="s">
        <v>7</v>
      </c>
      <c r="J242" s="19" t="s">
        <v>1</v>
      </c>
      <c r="K242" s="20">
        <v>1</v>
      </c>
      <c r="L242" s="21">
        <v>51.46</v>
      </c>
      <c r="M242" s="22">
        <v>0.15</v>
      </c>
      <c r="N242" s="21">
        <f t="shared" si="19"/>
        <v>43.741</v>
      </c>
      <c r="O242" s="21">
        <v>43.74</v>
      </c>
      <c r="P242" s="19" t="s">
        <v>2</v>
      </c>
      <c r="Q242" s="23">
        <v>1</v>
      </c>
      <c r="R242" s="45">
        <v>2.7</v>
      </c>
    </row>
    <row r="243" spans="2:18" x14ac:dyDescent="0.2">
      <c r="B243" s="25">
        <v>240</v>
      </c>
      <c r="C243" s="18">
        <v>44070</v>
      </c>
      <c r="D243" s="24">
        <f t="shared" si="15"/>
        <v>2020</v>
      </c>
      <c r="E243" s="24" t="str">
        <f t="shared" si="16"/>
        <v>Q3</v>
      </c>
      <c r="F243" s="24" t="str">
        <f t="shared" si="17"/>
        <v>Aug</v>
      </c>
      <c r="G243" s="24">
        <f t="shared" si="18"/>
        <v>8</v>
      </c>
      <c r="H243" s="19">
        <v>1376</v>
      </c>
      <c r="I243" s="19" t="s">
        <v>3</v>
      </c>
      <c r="J243" s="19" t="s">
        <v>8</v>
      </c>
      <c r="K243" s="20">
        <v>6</v>
      </c>
      <c r="L243" s="21">
        <v>120.02</v>
      </c>
      <c r="M243" s="22">
        <v>0.25</v>
      </c>
      <c r="N243" s="21">
        <f t="shared" si="19"/>
        <v>90.015000000000001</v>
      </c>
      <c r="O243" s="21">
        <v>540.09</v>
      </c>
      <c r="P243" s="19" t="s">
        <v>6</v>
      </c>
      <c r="Q243" s="23">
        <v>2</v>
      </c>
      <c r="R243" s="45">
        <v>2.1</v>
      </c>
    </row>
    <row r="244" spans="2:18" x14ac:dyDescent="0.2">
      <c r="B244" s="25">
        <v>241</v>
      </c>
      <c r="C244" s="18">
        <v>44071</v>
      </c>
      <c r="D244" s="24">
        <f t="shared" si="15"/>
        <v>2020</v>
      </c>
      <c r="E244" s="24" t="str">
        <f t="shared" si="16"/>
        <v>Q3</v>
      </c>
      <c r="F244" s="24" t="str">
        <f t="shared" si="17"/>
        <v>Aug</v>
      </c>
      <c r="G244" s="24">
        <f t="shared" si="18"/>
        <v>8</v>
      </c>
      <c r="H244" s="19">
        <v>1282</v>
      </c>
      <c r="I244" s="19" t="s">
        <v>10</v>
      </c>
      <c r="J244" s="19" t="s">
        <v>9</v>
      </c>
      <c r="K244" s="20">
        <v>7</v>
      </c>
      <c r="L244" s="21">
        <v>87.83</v>
      </c>
      <c r="M244" s="22">
        <v>0</v>
      </c>
      <c r="N244" s="21">
        <f t="shared" si="19"/>
        <v>87.83</v>
      </c>
      <c r="O244" s="21">
        <v>614.80999999999995</v>
      </c>
      <c r="P244" s="19" t="s">
        <v>6</v>
      </c>
      <c r="Q244" s="23">
        <v>8</v>
      </c>
      <c r="R244" s="45">
        <v>3.1</v>
      </c>
    </row>
    <row r="245" spans="2:18" x14ac:dyDescent="0.2">
      <c r="B245" s="25">
        <v>242</v>
      </c>
      <c r="C245" s="18">
        <v>44072</v>
      </c>
      <c r="D245" s="24">
        <f t="shared" si="15"/>
        <v>2020</v>
      </c>
      <c r="E245" s="24" t="str">
        <f t="shared" si="16"/>
        <v>Q3</v>
      </c>
      <c r="F245" s="24" t="str">
        <f t="shared" si="17"/>
        <v>Aug</v>
      </c>
      <c r="G245" s="24">
        <f t="shared" si="18"/>
        <v>8</v>
      </c>
      <c r="H245" s="19">
        <v>1957</v>
      </c>
      <c r="I245" s="19" t="s">
        <v>7</v>
      </c>
      <c r="J245" s="19" t="s">
        <v>9</v>
      </c>
      <c r="K245" s="20">
        <v>7</v>
      </c>
      <c r="L245" s="21">
        <v>550.20000000000005</v>
      </c>
      <c r="M245" s="22">
        <v>0.11</v>
      </c>
      <c r="N245" s="21">
        <f t="shared" si="19"/>
        <v>489.67800000000005</v>
      </c>
      <c r="O245" s="21">
        <v>3427.75</v>
      </c>
      <c r="P245" s="19" t="s">
        <v>4</v>
      </c>
      <c r="Q245" s="23">
        <v>10</v>
      </c>
      <c r="R245" s="45">
        <v>2.2000000000000002</v>
      </c>
    </row>
    <row r="246" spans="2:18" x14ac:dyDescent="0.2">
      <c r="B246" s="25">
        <v>243</v>
      </c>
      <c r="C246" s="18">
        <v>44073</v>
      </c>
      <c r="D246" s="24">
        <f t="shared" si="15"/>
        <v>2020</v>
      </c>
      <c r="E246" s="24" t="str">
        <f t="shared" si="16"/>
        <v>Q3</v>
      </c>
      <c r="F246" s="24" t="str">
        <f t="shared" si="17"/>
        <v>Aug</v>
      </c>
      <c r="G246" s="24">
        <f t="shared" si="18"/>
        <v>8</v>
      </c>
      <c r="H246" s="19">
        <v>1632</v>
      </c>
      <c r="I246" s="19" t="s">
        <v>3</v>
      </c>
      <c r="J246" s="19" t="s">
        <v>1</v>
      </c>
      <c r="K246" s="20">
        <v>2</v>
      </c>
      <c r="L246" s="21">
        <v>97.06</v>
      </c>
      <c r="M246" s="22">
        <v>0.27</v>
      </c>
      <c r="N246" s="21">
        <f t="shared" si="19"/>
        <v>70.853800000000007</v>
      </c>
      <c r="O246" s="21">
        <v>141.71</v>
      </c>
      <c r="P246" s="19" t="s">
        <v>4</v>
      </c>
      <c r="Q246" s="23">
        <v>6</v>
      </c>
      <c r="R246" s="45">
        <v>1.4</v>
      </c>
    </row>
    <row r="247" spans="2:18" x14ac:dyDescent="0.2">
      <c r="B247" s="25">
        <v>244</v>
      </c>
      <c r="C247" s="18">
        <v>44074</v>
      </c>
      <c r="D247" s="24">
        <f t="shared" si="15"/>
        <v>2020</v>
      </c>
      <c r="E247" s="24" t="str">
        <f t="shared" si="16"/>
        <v>Q3</v>
      </c>
      <c r="F247" s="24" t="str">
        <f t="shared" si="17"/>
        <v>Aug</v>
      </c>
      <c r="G247" s="24">
        <f t="shared" si="18"/>
        <v>8</v>
      </c>
      <c r="H247" s="19">
        <v>1627</v>
      </c>
      <c r="I247" s="19" t="s">
        <v>10</v>
      </c>
      <c r="J247" s="19" t="s">
        <v>8</v>
      </c>
      <c r="K247" s="20">
        <v>6</v>
      </c>
      <c r="L247" s="21">
        <v>329.52</v>
      </c>
      <c r="M247" s="22">
        <v>0.23</v>
      </c>
      <c r="N247" s="21">
        <f t="shared" si="19"/>
        <v>253.73039999999997</v>
      </c>
      <c r="O247" s="21">
        <v>1522.38</v>
      </c>
      <c r="P247" s="19" t="s">
        <v>2</v>
      </c>
      <c r="Q247" s="23">
        <v>11</v>
      </c>
      <c r="R247" s="45">
        <v>1.8</v>
      </c>
    </row>
    <row r="248" spans="2:18" x14ac:dyDescent="0.2">
      <c r="B248" s="25">
        <v>245</v>
      </c>
      <c r="C248" s="18">
        <v>44075</v>
      </c>
      <c r="D248" s="24">
        <f t="shared" si="15"/>
        <v>2020</v>
      </c>
      <c r="E248" s="24" t="str">
        <f t="shared" si="16"/>
        <v>Q3</v>
      </c>
      <c r="F248" s="24" t="str">
        <f t="shared" si="17"/>
        <v>Sep</v>
      </c>
      <c r="G248" s="24">
        <f t="shared" si="18"/>
        <v>9</v>
      </c>
      <c r="H248" s="19">
        <v>1972</v>
      </c>
      <c r="I248" s="19" t="s">
        <v>7</v>
      </c>
      <c r="J248" s="19" t="s">
        <v>9</v>
      </c>
      <c r="K248" s="20">
        <v>5</v>
      </c>
      <c r="L248" s="21">
        <v>361.97</v>
      </c>
      <c r="M248" s="22">
        <v>0.26</v>
      </c>
      <c r="N248" s="21">
        <f t="shared" si="19"/>
        <v>267.8578</v>
      </c>
      <c r="O248" s="21">
        <v>1339.29</v>
      </c>
      <c r="P248" s="19" t="s">
        <v>4</v>
      </c>
      <c r="Q248" s="23">
        <v>1</v>
      </c>
      <c r="R248" s="45">
        <v>4.7</v>
      </c>
    </row>
    <row r="249" spans="2:18" x14ac:dyDescent="0.2">
      <c r="B249" s="25">
        <v>246</v>
      </c>
      <c r="C249" s="18">
        <v>44076</v>
      </c>
      <c r="D249" s="24">
        <f t="shared" si="15"/>
        <v>2020</v>
      </c>
      <c r="E249" s="24" t="str">
        <f t="shared" si="16"/>
        <v>Q3</v>
      </c>
      <c r="F249" s="24" t="str">
        <f t="shared" si="17"/>
        <v>Sep</v>
      </c>
      <c r="G249" s="24">
        <f t="shared" si="18"/>
        <v>9</v>
      </c>
      <c r="H249" s="19">
        <v>1744</v>
      </c>
      <c r="I249" s="19" t="s">
        <v>3</v>
      </c>
      <c r="J249" s="19" t="s">
        <v>5</v>
      </c>
      <c r="K249" s="20">
        <v>6</v>
      </c>
      <c r="L249" s="21">
        <v>332.94</v>
      </c>
      <c r="M249" s="22">
        <v>0.28000000000000003</v>
      </c>
      <c r="N249" s="21">
        <f t="shared" si="19"/>
        <v>239.71679999999998</v>
      </c>
      <c r="O249" s="21">
        <v>1438.3</v>
      </c>
      <c r="P249" s="19" t="s">
        <v>2</v>
      </c>
      <c r="Q249" s="23">
        <v>11</v>
      </c>
      <c r="R249" s="45">
        <v>3.5</v>
      </c>
    </row>
    <row r="250" spans="2:18" x14ac:dyDescent="0.2">
      <c r="B250" s="25">
        <v>247</v>
      </c>
      <c r="C250" s="18">
        <v>44077</v>
      </c>
      <c r="D250" s="24">
        <f t="shared" si="15"/>
        <v>2020</v>
      </c>
      <c r="E250" s="24" t="str">
        <f t="shared" si="16"/>
        <v>Q3</v>
      </c>
      <c r="F250" s="24" t="str">
        <f t="shared" si="17"/>
        <v>Sep</v>
      </c>
      <c r="G250" s="24">
        <f t="shared" si="18"/>
        <v>9</v>
      </c>
      <c r="H250" s="19">
        <v>1258</v>
      </c>
      <c r="I250" s="19" t="s">
        <v>10</v>
      </c>
      <c r="J250" s="19" t="s">
        <v>5</v>
      </c>
      <c r="K250" s="20">
        <v>7</v>
      </c>
      <c r="L250" s="21">
        <v>72.95</v>
      </c>
      <c r="M250" s="22">
        <v>0.27</v>
      </c>
      <c r="N250" s="21">
        <f t="shared" si="19"/>
        <v>53.253500000000003</v>
      </c>
      <c r="O250" s="21">
        <v>372.77</v>
      </c>
      <c r="P250" s="19" t="s">
        <v>6</v>
      </c>
      <c r="Q250" s="23">
        <v>9</v>
      </c>
      <c r="R250" s="45">
        <v>2.2999999999999998</v>
      </c>
    </row>
    <row r="251" spans="2:18" x14ac:dyDescent="0.2">
      <c r="B251" s="25">
        <v>248</v>
      </c>
      <c r="C251" s="18">
        <v>44078</v>
      </c>
      <c r="D251" s="24">
        <f t="shared" si="15"/>
        <v>2020</v>
      </c>
      <c r="E251" s="24" t="str">
        <f t="shared" si="16"/>
        <v>Q3</v>
      </c>
      <c r="F251" s="24" t="str">
        <f t="shared" si="17"/>
        <v>Sep</v>
      </c>
      <c r="G251" s="24">
        <f t="shared" si="18"/>
        <v>9</v>
      </c>
      <c r="H251" s="19">
        <v>1358</v>
      </c>
      <c r="I251" s="19" t="s">
        <v>3</v>
      </c>
      <c r="J251" s="19" t="s">
        <v>5</v>
      </c>
      <c r="K251" s="20">
        <v>5</v>
      </c>
      <c r="L251" s="21">
        <v>201.5</v>
      </c>
      <c r="M251" s="22">
        <v>0.24</v>
      </c>
      <c r="N251" s="21">
        <f t="shared" si="19"/>
        <v>153.13999999999999</v>
      </c>
      <c r="O251" s="21">
        <v>765.7</v>
      </c>
      <c r="P251" s="19" t="s">
        <v>6</v>
      </c>
      <c r="Q251" s="23">
        <v>7</v>
      </c>
      <c r="R251" s="45">
        <v>2.5</v>
      </c>
    </row>
    <row r="252" spans="2:18" x14ac:dyDescent="0.2">
      <c r="B252" s="25">
        <v>249</v>
      </c>
      <c r="C252" s="18">
        <v>44079</v>
      </c>
      <c r="D252" s="24">
        <f t="shared" si="15"/>
        <v>2020</v>
      </c>
      <c r="E252" s="24" t="str">
        <f t="shared" si="16"/>
        <v>Q3</v>
      </c>
      <c r="F252" s="24" t="str">
        <f t="shared" si="17"/>
        <v>Sep</v>
      </c>
      <c r="G252" s="24">
        <f t="shared" si="18"/>
        <v>9</v>
      </c>
      <c r="H252" s="19">
        <v>1709</v>
      </c>
      <c r="I252" s="19" t="s">
        <v>7</v>
      </c>
      <c r="J252" s="19" t="s">
        <v>8</v>
      </c>
      <c r="K252" s="20">
        <v>6</v>
      </c>
      <c r="L252" s="21">
        <v>44.99</v>
      </c>
      <c r="M252" s="22">
        <v>0.15</v>
      </c>
      <c r="N252" s="21">
        <f t="shared" si="19"/>
        <v>38.241500000000002</v>
      </c>
      <c r="O252" s="21">
        <v>229.45</v>
      </c>
      <c r="P252" s="19" t="s">
        <v>2</v>
      </c>
      <c r="Q252" s="23">
        <v>10</v>
      </c>
      <c r="R252" s="45">
        <v>3</v>
      </c>
    </row>
    <row r="253" spans="2:18" x14ac:dyDescent="0.2">
      <c r="B253" s="25">
        <v>250</v>
      </c>
      <c r="C253" s="18">
        <v>44080</v>
      </c>
      <c r="D253" s="24">
        <f t="shared" si="15"/>
        <v>2020</v>
      </c>
      <c r="E253" s="24" t="str">
        <f t="shared" si="16"/>
        <v>Q3</v>
      </c>
      <c r="F253" s="24" t="str">
        <f t="shared" si="17"/>
        <v>Sep</v>
      </c>
      <c r="G253" s="24">
        <f t="shared" si="18"/>
        <v>9</v>
      </c>
      <c r="H253" s="19">
        <v>1455</v>
      </c>
      <c r="I253" s="19" t="s">
        <v>7</v>
      </c>
      <c r="J253" s="19" t="s">
        <v>5</v>
      </c>
      <c r="K253" s="20">
        <v>5</v>
      </c>
      <c r="L253" s="21">
        <v>246.47</v>
      </c>
      <c r="M253" s="22">
        <v>0.34</v>
      </c>
      <c r="N253" s="21">
        <f t="shared" si="19"/>
        <v>162.67019999999999</v>
      </c>
      <c r="O253" s="21">
        <v>813.35</v>
      </c>
      <c r="P253" s="19" t="s">
        <v>6</v>
      </c>
      <c r="Q253" s="23">
        <v>11</v>
      </c>
      <c r="R253" s="45">
        <v>3.7</v>
      </c>
    </row>
    <row r="254" spans="2:18" x14ac:dyDescent="0.2">
      <c r="B254" s="25">
        <v>251</v>
      </c>
      <c r="C254" s="18">
        <v>44081</v>
      </c>
      <c r="D254" s="24">
        <f t="shared" si="15"/>
        <v>2020</v>
      </c>
      <c r="E254" s="24" t="str">
        <f t="shared" si="16"/>
        <v>Q3</v>
      </c>
      <c r="F254" s="24" t="str">
        <f t="shared" si="17"/>
        <v>Sep</v>
      </c>
      <c r="G254" s="24">
        <f t="shared" si="18"/>
        <v>9</v>
      </c>
      <c r="H254" s="19">
        <v>1410</v>
      </c>
      <c r="I254" s="19" t="s">
        <v>3</v>
      </c>
      <c r="J254" s="19" t="s">
        <v>5</v>
      </c>
      <c r="K254" s="20">
        <v>5</v>
      </c>
      <c r="L254" s="21">
        <v>125.33</v>
      </c>
      <c r="M254" s="22">
        <v>0.2</v>
      </c>
      <c r="N254" s="21">
        <f t="shared" si="19"/>
        <v>100.264</v>
      </c>
      <c r="O254" s="21">
        <v>501.32</v>
      </c>
      <c r="P254" s="19" t="s">
        <v>2</v>
      </c>
      <c r="Q254" s="23">
        <v>3</v>
      </c>
      <c r="R254" s="45">
        <v>3.3</v>
      </c>
    </row>
    <row r="255" spans="2:18" x14ac:dyDescent="0.2">
      <c r="B255" s="25">
        <v>252</v>
      </c>
      <c r="C255" s="18">
        <v>44082</v>
      </c>
      <c r="D255" s="24">
        <f t="shared" si="15"/>
        <v>2020</v>
      </c>
      <c r="E255" s="24" t="str">
        <f t="shared" si="16"/>
        <v>Q3</v>
      </c>
      <c r="F255" s="24" t="str">
        <f t="shared" si="17"/>
        <v>Sep</v>
      </c>
      <c r="G255" s="24">
        <f t="shared" si="18"/>
        <v>9</v>
      </c>
      <c r="H255" s="19">
        <v>1648</v>
      </c>
      <c r="I255" s="19" t="s">
        <v>0</v>
      </c>
      <c r="J255" s="19" t="s">
        <v>9</v>
      </c>
      <c r="K255" s="20">
        <v>4</v>
      </c>
      <c r="L255" s="21">
        <v>343.56</v>
      </c>
      <c r="M255" s="22">
        <v>7.0000000000000007E-2</v>
      </c>
      <c r="N255" s="21">
        <f t="shared" si="19"/>
        <v>319.51080000000002</v>
      </c>
      <c r="O255" s="21">
        <v>1278.04</v>
      </c>
      <c r="P255" s="19" t="s">
        <v>4</v>
      </c>
      <c r="Q255" s="23">
        <v>7</v>
      </c>
      <c r="R255" s="45">
        <v>4.7</v>
      </c>
    </row>
    <row r="256" spans="2:18" x14ac:dyDescent="0.2">
      <c r="B256" s="25">
        <v>253</v>
      </c>
      <c r="C256" s="18">
        <v>44083</v>
      </c>
      <c r="D256" s="24">
        <f t="shared" si="15"/>
        <v>2020</v>
      </c>
      <c r="E256" s="24" t="str">
        <f t="shared" si="16"/>
        <v>Q3</v>
      </c>
      <c r="F256" s="24" t="str">
        <f t="shared" si="17"/>
        <v>Sep</v>
      </c>
      <c r="G256" s="24">
        <f t="shared" si="18"/>
        <v>9</v>
      </c>
      <c r="H256" s="19">
        <v>1317</v>
      </c>
      <c r="I256" s="19" t="s">
        <v>7</v>
      </c>
      <c r="J256" s="19" t="s">
        <v>9</v>
      </c>
      <c r="K256" s="20">
        <v>1</v>
      </c>
      <c r="L256" s="21">
        <v>420.29</v>
      </c>
      <c r="M256" s="22">
        <v>0.1</v>
      </c>
      <c r="N256" s="21">
        <f t="shared" si="19"/>
        <v>378.26100000000002</v>
      </c>
      <c r="O256" s="21">
        <v>378.26</v>
      </c>
      <c r="P256" s="19" t="s">
        <v>6</v>
      </c>
      <c r="Q256" s="23">
        <v>6</v>
      </c>
      <c r="R256" s="45">
        <v>3.5</v>
      </c>
    </row>
    <row r="257" spans="2:18" x14ac:dyDescent="0.2">
      <c r="B257" s="25">
        <v>254</v>
      </c>
      <c r="C257" s="18">
        <v>44084</v>
      </c>
      <c r="D257" s="24">
        <f t="shared" si="15"/>
        <v>2020</v>
      </c>
      <c r="E257" s="24" t="str">
        <f t="shared" si="16"/>
        <v>Q3</v>
      </c>
      <c r="F257" s="24" t="str">
        <f t="shared" si="17"/>
        <v>Sep</v>
      </c>
      <c r="G257" s="24">
        <f t="shared" si="18"/>
        <v>9</v>
      </c>
      <c r="H257" s="19">
        <v>1676</v>
      </c>
      <c r="I257" s="19" t="s">
        <v>3</v>
      </c>
      <c r="J257" s="19" t="s">
        <v>5</v>
      </c>
      <c r="K257" s="20">
        <v>5</v>
      </c>
      <c r="L257" s="21">
        <v>326.29000000000002</v>
      </c>
      <c r="M257" s="22">
        <v>0.24</v>
      </c>
      <c r="N257" s="21">
        <f t="shared" si="19"/>
        <v>247.98040000000003</v>
      </c>
      <c r="O257" s="21">
        <v>1239.9000000000001</v>
      </c>
      <c r="P257" s="19" t="s">
        <v>6</v>
      </c>
      <c r="Q257" s="23">
        <v>3</v>
      </c>
      <c r="R257" s="45">
        <v>4.5999999999999996</v>
      </c>
    </row>
    <row r="258" spans="2:18" x14ac:dyDescent="0.2">
      <c r="B258" s="25">
        <v>255</v>
      </c>
      <c r="C258" s="18">
        <v>44085</v>
      </c>
      <c r="D258" s="24">
        <f t="shared" si="15"/>
        <v>2020</v>
      </c>
      <c r="E258" s="24" t="str">
        <f t="shared" si="16"/>
        <v>Q3</v>
      </c>
      <c r="F258" s="24" t="str">
        <f t="shared" si="17"/>
        <v>Sep</v>
      </c>
      <c r="G258" s="24">
        <f t="shared" si="18"/>
        <v>9</v>
      </c>
      <c r="H258" s="19">
        <v>1224</v>
      </c>
      <c r="I258" s="19" t="s">
        <v>7</v>
      </c>
      <c r="J258" s="19" t="s">
        <v>5</v>
      </c>
      <c r="K258" s="20">
        <v>2</v>
      </c>
      <c r="L258" s="21">
        <v>269.02999999999997</v>
      </c>
      <c r="M258" s="22">
        <v>0.32</v>
      </c>
      <c r="N258" s="21">
        <f t="shared" si="19"/>
        <v>182.94039999999998</v>
      </c>
      <c r="O258" s="21">
        <v>365.88</v>
      </c>
      <c r="P258" s="19" t="s">
        <v>4</v>
      </c>
      <c r="Q258" s="23">
        <v>8</v>
      </c>
      <c r="R258" s="45">
        <v>1</v>
      </c>
    </row>
    <row r="259" spans="2:18" x14ac:dyDescent="0.2">
      <c r="B259" s="25">
        <v>256</v>
      </c>
      <c r="C259" s="18">
        <v>44086</v>
      </c>
      <c r="D259" s="24">
        <f t="shared" si="15"/>
        <v>2020</v>
      </c>
      <c r="E259" s="24" t="str">
        <f t="shared" si="16"/>
        <v>Q3</v>
      </c>
      <c r="F259" s="24" t="str">
        <f t="shared" si="17"/>
        <v>Sep</v>
      </c>
      <c r="G259" s="24">
        <f t="shared" si="18"/>
        <v>9</v>
      </c>
      <c r="H259" s="19">
        <v>1818</v>
      </c>
      <c r="I259" s="19" t="s">
        <v>7</v>
      </c>
      <c r="J259" s="19" t="s">
        <v>9</v>
      </c>
      <c r="K259" s="20">
        <v>7</v>
      </c>
      <c r="L259" s="21">
        <v>241.59</v>
      </c>
      <c r="M259" s="22">
        <v>0.06</v>
      </c>
      <c r="N259" s="21">
        <f t="shared" si="19"/>
        <v>227.09460000000001</v>
      </c>
      <c r="O259" s="21">
        <v>1589.66</v>
      </c>
      <c r="P259" s="19" t="s">
        <v>6</v>
      </c>
      <c r="Q259" s="23">
        <v>1</v>
      </c>
      <c r="R259" s="45">
        <v>4.5999999999999996</v>
      </c>
    </row>
    <row r="260" spans="2:18" x14ac:dyDescent="0.2">
      <c r="B260" s="25">
        <v>257</v>
      </c>
      <c r="C260" s="18">
        <v>44087</v>
      </c>
      <c r="D260" s="24">
        <f t="shared" ref="D260:D323" si="20">YEAR(C260)</f>
        <v>2020</v>
      </c>
      <c r="E260" s="24" t="str">
        <f t="shared" ref="E260:E323" si="21">"Q"&amp;ROUNDUP(MONTH(C260)/3,0)</f>
        <v>Q3</v>
      </c>
      <c r="F260" s="24" t="str">
        <f t="shared" ref="F260:F323" si="22">TEXT(C260,"mmm")</f>
        <v>Sep</v>
      </c>
      <c r="G260" s="24">
        <f t="shared" ref="G260:G323" si="23">MONTH(C260)</f>
        <v>9</v>
      </c>
      <c r="H260" s="19">
        <v>1233</v>
      </c>
      <c r="I260" s="19" t="s">
        <v>10</v>
      </c>
      <c r="J260" s="19" t="s">
        <v>1</v>
      </c>
      <c r="K260" s="20">
        <v>7</v>
      </c>
      <c r="L260" s="21">
        <v>507.39</v>
      </c>
      <c r="M260" s="22">
        <v>0.03</v>
      </c>
      <c r="N260" s="21">
        <f t="shared" si="19"/>
        <v>492.16829999999999</v>
      </c>
      <c r="O260" s="21">
        <v>3445.18</v>
      </c>
      <c r="P260" s="19" t="s">
        <v>6</v>
      </c>
      <c r="Q260" s="23">
        <v>5</v>
      </c>
      <c r="R260" s="45">
        <v>3.9</v>
      </c>
    </row>
    <row r="261" spans="2:18" x14ac:dyDescent="0.2">
      <c r="B261" s="25">
        <v>258</v>
      </c>
      <c r="C261" s="18">
        <v>44088</v>
      </c>
      <c r="D261" s="24">
        <f t="shared" si="20"/>
        <v>2020</v>
      </c>
      <c r="E261" s="24" t="str">
        <f t="shared" si="21"/>
        <v>Q3</v>
      </c>
      <c r="F261" s="24" t="str">
        <f t="shared" si="22"/>
        <v>Sep</v>
      </c>
      <c r="G261" s="24">
        <f t="shared" si="23"/>
        <v>9</v>
      </c>
      <c r="H261" s="19">
        <v>1683</v>
      </c>
      <c r="I261" s="19" t="s">
        <v>10</v>
      </c>
      <c r="J261" s="19" t="s">
        <v>8</v>
      </c>
      <c r="K261" s="20">
        <v>2</v>
      </c>
      <c r="L261" s="21">
        <v>143.33000000000001</v>
      </c>
      <c r="M261" s="22">
        <v>0.31</v>
      </c>
      <c r="N261" s="21">
        <f t="shared" ref="N261:N324" si="24">L261-(L261*M261)</f>
        <v>98.897700000000015</v>
      </c>
      <c r="O261" s="21">
        <v>197.8</v>
      </c>
      <c r="P261" s="19" t="s">
        <v>2</v>
      </c>
      <c r="Q261" s="23">
        <v>8</v>
      </c>
      <c r="R261" s="45">
        <v>1.7</v>
      </c>
    </row>
    <row r="262" spans="2:18" x14ac:dyDescent="0.2">
      <c r="B262" s="25">
        <v>259</v>
      </c>
      <c r="C262" s="18">
        <v>44089</v>
      </c>
      <c r="D262" s="24">
        <f t="shared" si="20"/>
        <v>2020</v>
      </c>
      <c r="E262" s="24" t="str">
        <f t="shared" si="21"/>
        <v>Q3</v>
      </c>
      <c r="F262" s="24" t="str">
        <f t="shared" si="22"/>
        <v>Sep</v>
      </c>
      <c r="G262" s="24">
        <f t="shared" si="23"/>
        <v>9</v>
      </c>
      <c r="H262" s="19">
        <v>1663</v>
      </c>
      <c r="I262" s="19" t="s">
        <v>7</v>
      </c>
      <c r="J262" s="19" t="s">
        <v>8</v>
      </c>
      <c r="K262" s="20">
        <v>3</v>
      </c>
      <c r="L262" s="21">
        <v>444.52</v>
      </c>
      <c r="M262" s="22">
        <v>0.32</v>
      </c>
      <c r="N262" s="21">
        <f t="shared" si="24"/>
        <v>302.27359999999999</v>
      </c>
      <c r="O262" s="21">
        <v>906.82</v>
      </c>
      <c r="P262" s="19" t="s">
        <v>4</v>
      </c>
      <c r="Q262" s="23">
        <v>3</v>
      </c>
      <c r="R262" s="45">
        <v>2.1</v>
      </c>
    </row>
    <row r="263" spans="2:18" x14ac:dyDescent="0.2">
      <c r="B263" s="25">
        <v>260</v>
      </c>
      <c r="C263" s="18">
        <v>44090</v>
      </c>
      <c r="D263" s="24">
        <f t="shared" si="20"/>
        <v>2020</v>
      </c>
      <c r="E263" s="24" t="str">
        <f t="shared" si="21"/>
        <v>Q3</v>
      </c>
      <c r="F263" s="24" t="str">
        <f t="shared" si="22"/>
        <v>Sep</v>
      </c>
      <c r="G263" s="24">
        <f t="shared" si="23"/>
        <v>9</v>
      </c>
      <c r="H263" s="19">
        <v>1974</v>
      </c>
      <c r="I263" s="19" t="s">
        <v>3</v>
      </c>
      <c r="J263" s="19" t="s">
        <v>9</v>
      </c>
      <c r="K263" s="20">
        <v>5</v>
      </c>
      <c r="L263" s="21">
        <v>458.13</v>
      </c>
      <c r="M263" s="22">
        <v>0.1</v>
      </c>
      <c r="N263" s="21">
        <f t="shared" si="24"/>
        <v>412.31700000000001</v>
      </c>
      <c r="O263" s="21">
        <v>2061.58</v>
      </c>
      <c r="P263" s="19" t="s">
        <v>6</v>
      </c>
      <c r="Q263" s="23">
        <v>11</v>
      </c>
      <c r="R263" s="45">
        <v>3.2</v>
      </c>
    </row>
    <row r="264" spans="2:18" x14ac:dyDescent="0.2">
      <c r="B264" s="25">
        <v>261</v>
      </c>
      <c r="C264" s="18">
        <v>44091</v>
      </c>
      <c r="D264" s="24">
        <f t="shared" si="20"/>
        <v>2020</v>
      </c>
      <c r="E264" s="24" t="str">
        <f t="shared" si="21"/>
        <v>Q3</v>
      </c>
      <c r="F264" s="24" t="str">
        <f t="shared" si="22"/>
        <v>Sep</v>
      </c>
      <c r="G264" s="24">
        <f t="shared" si="23"/>
        <v>9</v>
      </c>
      <c r="H264" s="19">
        <v>1826</v>
      </c>
      <c r="I264" s="19" t="s">
        <v>7</v>
      </c>
      <c r="J264" s="19" t="s">
        <v>8</v>
      </c>
      <c r="K264" s="20">
        <v>5</v>
      </c>
      <c r="L264" s="21">
        <v>260.23</v>
      </c>
      <c r="M264" s="22">
        <v>0.13</v>
      </c>
      <c r="N264" s="21">
        <f t="shared" si="24"/>
        <v>226.40010000000001</v>
      </c>
      <c r="O264" s="21">
        <v>1132</v>
      </c>
      <c r="P264" s="19" t="s">
        <v>4</v>
      </c>
      <c r="Q264" s="23">
        <v>10</v>
      </c>
      <c r="R264" s="45">
        <v>1.5</v>
      </c>
    </row>
    <row r="265" spans="2:18" x14ac:dyDescent="0.2">
      <c r="B265" s="25">
        <v>262</v>
      </c>
      <c r="C265" s="18">
        <v>44092</v>
      </c>
      <c r="D265" s="24">
        <f t="shared" si="20"/>
        <v>2020</v>
      </c>
      <c r="E265" s="24" t="str">
        <f t="shared" si="21"/>
        <v>Q3</v>
      </c>
      <c r="F265" s="24" t="str">
        <f t="shared" si="22"/>
        <v>Sep</v>
      </c>
      <c r="G265" s="24">
        <f t="shared" si="23"/>
        <v>9</v>
      </c>
      <c r="H265" s="19">
        <v>1373</v>
      </c>
      <c r="I265" s="19" t="s">
        <v>3</v>
      </c>
      <c r="J265" s="19" t="s">
        <v>9</v>
      </c>
      <c r="K265" s="20">
        <v>5</v>
      </c>
      <c r="L265" s="21">
        <v>188.92</v>
      </c>
      <c r="M265" s="22">
        <v>0.23</v>
      </c>
      <c r="N265" s="21">
        <f t="shared" si="24"/>
        <v>145.46839999999997</v>
      </c>
      <c r="O265" s="21">
        <v>727.34</v>
      </c>
      <c r="P265" s="19" t="s">
        <v>6</v>
      </c>
      <c r="Q265" s="23">
        <v>11</v>
      </c>
      <c r="R265" s="45">
        <v>4.0999999999999996</v>
      </c>
    </row>
    <row r="266" spans="2:18" x14ac:dyDescent="0.2">
      <c r="B266" s="25">
        <v>263</v>
      </c>
      <c r="C266" s="18">
        <v>44093</v>
      </c>
      <c r="D266" s="24">
        <f t="shared" si="20"/>
        <v>2020</v>
      </c>
      <c r="E266" s="24" t="str">
        <f t="shared" si="21"/>
        <v>Q3</v>
      </c>
      <c r="F266" s="24" t="str">
        <f t="shared" si="22"/>
        <v>Sep</v>
      </c>
      <c r="G266" s="24">
        <f t="shared" si="23"/>
        <v>9</v>
      </c>
      <c r="H266" s="19">
        <v>1671</v>
      </c>
      <c r="I266" s="19" t="s">
        <v>10</v>
      </c>
      <c r="J266" s="19" t="s">
        <v>9</v>
      </c>
      <c r="K266" s="20">
        <v>6</v>
      </c>
      <c r="L266" s="21">
        <v>290.27</v>
      </c>
      <c r="M266" s="22">
        <v>0.12</v>
      </c>
      <c r="N266" s="21">
        <f t="shared" si="24"/>
        <v>255.43759999999997</v>
      </c>
      <c r="O266" s="21">
        <v>1532.63</v>
      </c>
      <c r="P266" s="19" t="s">
        <v>6</v>
      </c>
      <c r="Q266" s="23">
        <v>6</v>
      </c>
      <c r="R266" s="45">
        <v>4.2</v>
      </c>
    </row>
    <row r="267" spans="2:18" x14ac:dyDescent="0.2">
      <c r="B267" s="25">
        <v>264</v>
      </c>
      <c r="C267" s="18">
        <v>44094</v>
      </c>
      <c r="D267" s="24">
        <f t="shared" si="20"/>
        <v>2020</v>
      </c>
      <c r="E267" s="24" t="str">
        <f t="shared" si="21"/>
        <v>Q3</v>
      </c>
      <c r="F267" s="24" t="str">
        <f t="shared" si="22"/>
        <v>Sep</v>
      </c>
      <c r="G267" s="24">
        <f t="shared" si="23"/>
        <v>9</v>
      </c>
      <c r="H267" s="19">
        <v>1607</v>
      </c>
      <c r="I267" s="19" t="s">
        <v>7</v>
      </c>
      <c r="J267" s="19" t="s">
        <v>9</v>
      </c>
      <c r="K267" s="20">
        <v>5</v>
      </c>
      <c r="L267" s="21">
        <v>69.53</v>
      </c>
      <c r="M267" s="22">
        <v>0.31</v>
      </c>
      <c r="N267" s="21">
        <f t="shared" si="24"/>
        <v>47.975700000000003</v>
      </c>
      <c r="O267" s="21">
        <v>239.88</v>
      </c>
      <c r="P267" s="19" t="s">
        <v>6</v>
      </c>
      <c r="Q267" s="23">
        <v>10</v>
      </c>
      <c r="R267" s="45">
        <v>2.2000000000000002</v>
      </c>
    </row>
    <row r="268" spans="2:18" x14ac:dyDescent="0.2">
      <c r="B268" s="25">
        <v>265</v>
      </c>
      <c r="C268" s="18">
        <v>44095</v>
      </c>
      <c r="D268" s="24">
        <f t="shared" si="20"/>
        <v>2020</v>
      </c>
      <c r="E268" s="24" t="str">
        <f t="shared" si="21"/>
        <v>Q3</v>
      </c>
      <c r="F268" s="24" t="str">
        <f t="shared" si="22"/>
        <v>Sep</v>
      </c>
      <c r="G268" s="24">
        <f t="shared" si="23"/>
        <v>9</v>
      </c>
      <c r="H268" s="19">
        <v>1471</v>
      </c>
      <c r="I268" s="19" t="s">
        <v>7</v>
      </c>
      <c r="J268" s="19" t="s">
        <v>9</v>
      </c>
      <c r="K268" s="20">
        <v>5</v>
      </c>
      <c r="L268" s="21">
        <v>41.87</v>
      </c>
      <c r="M268" s="22">
        <v>0.04</v>
      </c>
      <c r="N268" s="21">
        <f t="shared" si="24"/>
        <v>40.1952</v>
      </c>
      <c r="O268" s="21">
        <v>200.98</v>
      </c>
      <c r="P268" s="19" t="s">
        <v>4</v>
      </c>
      <c r="Q268" s="23">
        <v>11</v>
      </c>
      <c r="R268" s="45">
        <v>1.3</v>
      </c>
    </row>
    <row r="269" spans="2:18" x14ac:dyDescent="0.2">
      <c r="B269" s="25">
        <v>266</v>
      </c>
      <c r="C269" s="18">
        <v>44096</v>
      </c>
      <c r="D269" s="24">
        <f t="shared" si="20"/>
        <v>2020</v>
      </c>
      <c r="E269" s="24" t="str">
        <f t="shared" si="21"/>
        <v>Q3</v>
      </c>
      <c r="F269" s="24" t="str">
        <f t="shared" si="22"/>
        <v>Sep</v>
      </c>
      <c r="G269" s="24">
        <f t="shared" si="23"/>
        <v>9</v>
      </c>
      <c r="H269" s="19">
        <v>1232</v>
      </c>
      <c r="I269" s="19" t="s">
        <v>3</v>
      </c>
      <c r="J269" s="19" t="s">
        <v>1</v>
      </c>
      <c r="K269" s="20">
        <v>2</v>
      </c>
      <c r="L269" s="21">
        <v>80.290000000000006</v>
      </c>
      <c r="M269" s="22">
        <v>0.01</v>
      </c>
      <c r="N269" s="21">
        <f t="shared" si="24"/>
        <v>79.487100000000012</v>
      </c>
      <c r="O269" s="21">
        <v>158.97</v>
      </c>
      <c r="P269" s="19" t="s">
        <v>4</v>
      </c>
      <c r="Q269" s="23">
        <v>2</v>
      </c>
      <c r="R269" s="45">
        <v>5</v>
      </c>
    </row>
    <row r="270" spans="2:18" x14ac:dyDescent="0.2">
      <c r="B270" s="25">
        <v>267</v>
      </c>
      <c r="C270" s="18">
        <v>44097</v>
      </c>
      <c r="D270" s="24">
        <f t="shared" si="20"/>
        <v>2020</v>
      </c>
      <c r="E270" s="24" t="str">
        <f t="shared" si="21"/>
        <v>Q3</v>
      </c>
      <c r="F270" s="24" t="str">
        <f t="shared" si="22"/>
        <v>Sep</v>
      </c>
      <c r="G270" s="24">
        <f t="shared" si="23"/>
        <v>9</v>
      </c>
      <c r="H270" s="19">
        <v>1691</v>
      </c>
      <c r="I270" s="19" t="s">
        <v>0</v>
      </c>
      <c r="J270" s="19" t="s">
        <v>5</v>
      </c>
      <c r="K270" s="20">
        <v>1</v>
      </c>
      <c r="L270" s="21">
        <v>124.48</v>
      </c>
      <c r="M270" s="22">
        <v>7.0000000000000007E-2</v>
      </c>
      <c r="N270" s="21">
        <f t="shared" si="24"/>
        <v>115.7664</v>
      </c>
      <c r="O270" s="21">
        <v>115.77</v>
      </c>
      <c r="P270" s="19" t="s">
        <v>4</v>
      </c>
      <c r="Q270" s="23">
        <v>9</v>
      </c>
      <c r="R270" s="45">
        <v>2</v>
      </c>
    </row>
    <row r="271" spans="2:18" x14ac:dyDescent="0.2">
      <c r="B271" s="25">
        <v>268</v>
      </c>
      <c r="C271" s="18">
        <v>44098</v>
      </c>
      <c r="D271" s="24">
        <f t="shared" si="20"/>
        <v>2020</v>
      </c>
      <c r="E271" s="24" t="str">
        <f t="shared" si="21"/>
        <v>Q3</v>
      </c>
      <c r="F271" s="24" t="str">
        <f t="shared" si="22"/>
        <v>Sep</v>
      </c>
      <c r="G271" s="24">
        <f t="shared" si="23"/>
        <v>9</v>
      </c>
      <c r="H271" s="19">
        <v>1112</v>
      </c>
      <c r="I271" s="19" t="s">
        <v>0</v>
      </c>
      <c r="J271" s="19" t="s">
        <v>5</v>
      </c>
      <c r="K271" s="20">
        <v>1</v>
      </c>
      <c r="L271" s="21">
        <v>309.94</v>
      </c>
      <c r="M271" s="22">
        <v>0.1</v>
      </c>
      <c r="N271" s="21">
        <f t="shared" si="24"/>
        <v>278.94600000000003</v>
      </c>
      <c r="O271" s="21">
        <v>278.95</v>
      </c>
      <c r="P271" s="19" t="s">
        <v>4</v>
      </c>
      <c r="Q271" s="23">
        <v>2</v>
      </c>
      <c r="R271" s="45">
        <v>1.3</v>
      </c>
    </row>
    <row r="272" spans="2:18" x14ac:dyDescent="0.2">
      <c r="B272" s="25">
        <v>269</v>
      </c>
      <c r="C272" s="18">
        <v>44099</v>
      </c>
      <c r="D272" s="24">
        <f t="shared" si="20"/>
        <v>2020</v>
      </c>
      <c r="E272" s="24" t="str">
        <f t="shared" si="21"/>
        <v>Q3</v>
      </c>
      <c r="F272" s="24" t="str">
        <f t="shared" si="22"/>
        <v>Sep</v>
      </c>
      <c r="G272" s="24">
        <f t="shared" si="23"/>
        <v>9</v>
      </c>
      <c r="H272" s="19">
        <v>1829</v>
      </c>
      <c r="I272" s="19" t="s">
        <v>7</v>
      </c>
      <c r="J272" s="19" t="s">
        <v>1</v>
      </c>
      <c r="K272" s="20">
        <v>3</v>
      </c>
      <c r="L272" s="21">
        <v>511.74</v>
      </c>
      <c r="M272" s="22">
        <v>0.04</v>
      </c>
      <c r="N272" s="21">
        <f t="shared" si="24"/>
        <v>491.2704</v>
      </c>
      <c r="O272" s="21">
        <v>1473.81</v>
      </c>
      <c r="P272" s="19" t="s">
        <v>6</v>
      </c>
      <c r="Q272" s="23">
        <v>5</v>
      </c>
      <c r="R272" s="45">
        <v>2.2999999999999998</v>
      </c>
    </row>
    <row r="273" spans="2:18" x14ac:dyDescent="0.2">
      <c r="B273" s="25">
        <v>270</v>
      </c>
      <c r="C273" s="18">
        <v>44100</v>
      </c>
      <c r="D273" s="24">
        <f t="shared" si="20"/>
        <v>2020</v>
      </c>
      <c r="E273" s="24" t="str">
        <f t="shared" si="21"/>
        <v>Q3</v>
      </c>
      <c r="F273" s="24" t="str">
        <f t="shared" si="22"/>
        <v>Sep</v>
      </c>
      <c r="G273" s="24">
        <f t="shared" si="23"/>
        <v>9</v>
      </c>
      <c r="H273" s="19">
        <v>1496</v>
      </c>
      <c r="I273" s="19" t="s">
        <v>10</v>
      </c>
      <c r="J273" s="19" t="s">
        <v>8</v>
      </c>
      <c r="K273" s="20">
        <v>2</v>
      </c>
      <c r="L273" s="21">
        <v>152.85</v>
      </c>
      <c r="M273" s="22">
        <v>0.02</v>
      </c>
      <c r="N273" s="21">
        <f t="shared" si="24"/>
        <v>149.79300000000001</v>
      </c>
      <c r="O273" s="21">
        <v>299.58999999999997</v>
      </c>
      <c r="P273" s="19" t="s">
        <v>2</v>
      </c>
      <c r="Q273" s="23">
        <v>3</v>
      </c>
      <c r="R273" s="45">
        <v>4.9000000000000004</v>
      </c>
    </row>
    <row r="274" spans="2:18" x14ac:dyDescent="0.2">
      <c r="B274" s="25">
        <v>271</v>
      </c>
      <c r="C274" s="18">
        <v>44101</v>
      </c>
      <c r="D274" s="24">
        <f t="shared" si="20"/>
        <v>2020</v>
      </c>
      <c r="E274" s="24" t="str">
        <f t="shared" si="21"/>
        <v>Q3</v>
      </c>
      <c r="F274" s="24" t="str">
        <f t="shared" si="22"/>
        <v>Sep</v>
      </c>
      <c r="G274" s="24">
        <f t="shared" si="23"/>
        <v>9</v>
      </c>
      <c r="H274" s="19">
        <v>1441</v>
      </c>
      <c r="I274" s="19" t="s">
        <v>3</v>
      </c>
      <c r="J274" s="19" t="s">
        <v>8</v>
      </c>
      <c r="K274" s="20">
        <v>5</v>
      </c>
      <c r="L274" s="21">
        <v>562.07000000000005</v>
      </c>
      <c r="M274" s="22">
        <v>0.26</v>
      </c>
      <c r="N274" s="21">
        <f t="shared" si="24"/>
        <v>415.93180000000007</v>
      </c>
      <c r="O274" s="21">
        <v>2079.66</v>
      </c>
      <c r="P274" s="19" t="s">
        <v>4</v>
      </c>
      <c r="Q274" s="23">
        <v>10</v>
      </c>
      <c r="R274" s="45">
        <v>4.2</v>
      </c>
    </row>
    <row r="275" spans="2:18" x14ac:dyDescent="0.2">
      <c r="B275" s="25">
        <v>272</v>
      </c>
      <c r="C275" s="18">
        <v>44102</v>
      </c>
      <c r="D275" s="24">
        <f t="shared" si="20"/>
        <v>2020</v>
      </c>
      <c r="E275" s="24" t="str">
        <f t="shared" si="21"/>
        <v>Q3</v>
      </c>
      <c r="F275" s="24" t="str">
        <f t="shared" si="22"/>
        <v>Sep</v>
      </c>
      <c r="G275" s="24">
        <f t="shared" si="23"/>
        <v>9</v>
      </c>
      <c r="H275" s="19">
        <v>1563</v>
      </c>
      <c r="I275" s="19" t="s">
        <v>3</v>
      </c>
      <c r="J275" s="19" t="s">
        <v>5</v>
      </c>
      <c r="K275" s="20">
        <v>1</v>
      </c>
      <c r="L275" s="21">
        <v>573.62</v>
      </c>
      <c r="M275" s="22">
        <v>0.06</v>
      </c>
      <c r="N275" s="21">
        <f t="shared" si="24"/>
        <v>539.20280000000002</v>
      </c>
      <c r="O275" s="21">
        <v>539.20000000000005</v>
      </c>
      <c r="P275" s="19" t="s">
        <v>4</v>
      </c>
      <c r="Q275" s="23">
        <v>9</v>
      </c>
      <c r="R275" s="45">
        <v>2.9</v>
      </c>
    </row>
    <row r="276" spans="2:18" x14ac:dyDescent="0.2">
      <c r="B276" s="25">
        <v>273</v>
      </c>
      <c r="C276" s="18">
        <v>44103</v>
      </c>
      <c r="D276" s="24">
        <f t="shared" si="20"/>
        <v>2020</v>
      </c>
      <c r="E276" s="24" t="str">
        <f t="shared" si="21"/>
        <v>Q3</v>
      </c>
      <c r="F276" s="24" t="str">
        <f t="shared" si="22"/>
        <v>Sep</v>
      </c>
      <c r="G276" s="24">
        <f t="shared" si="23"/>
        <v>9</v>
      </c>
      <c r="H276" s="19">
        <v>1267</v>
      </c>
      <c r="I276" s="19" t="s">
        <v>10</v>
      </c>
      <c r="J276" s="19" t="s">
        <v>8</v>
      </c>
      <c r="K276" s="20">
        <v>4</v>
      </c>
      <c r="L276" s="21">
        <v>575.96</v>
      </c>
      <c r="M276" s="22">
        <v>0.32</v>
      </c>
      <c r="N276" s="21">
        <f t="shared" si="24"/>
        <v>391.65280000000001</v>
      </c>
      <c r="O276" s="21">
        <v>1566.61</v>
      </c>
      <c r="P276" s="19" t="s">
        <v>6</v>
      </c>
      <c r="Q276" s="23">
        <v>9</v>
      </c>
      <c r="R276" s="45">
        <v>2.2000000000000002</v>
      </c>
    </row>
    <row r="277" spans="2:18" x14ac:dyDescent="0.2">
      <c r="B277" s="25">
        <v>274</v>
      </c>
      <c r="C277" s="18">
        <v>44104</v>
      </c>
      <c r="D277" s="24">
        <f t="shared" si="20"/>
        <v>2020</v>
      </c>
      <c r="E277" s="24" t="str">
        <f t="shared" si="21"/>
        <v>Q3</v>
      </c>
      <c r="F277" s="24" t="str">
        <f t="shared" si="22"/>
        <v>Sep</v>
      </c>
      <c r="G277" s="24">
        <f t="shared" si="23"/>
        <v>9</v>
      </c>
      <c r="H277" s="19">
        <v>1509</v>
      </c>
      <c r="I277" s="19" t="s">
        <v>0</v>
      </c>
      <c r="J277" s="19" t="s">
        <v>5</v>
      </c>
      <c r="K277" s="20">
        <v>4</v>
      </c>
      <c r="L277" s="21">
        <v>504.97</v>
      </c>
      <c r="M277" s="22">
        <v>0.13</v>
      </c>
      <c r="N277" s="21">
        <f t="shared" si="24"/>
        <v>439.32390000000004</v>
      </c>
      <c r="O277" s="21">
        <v>1757.3</v>
      </c>
      <c r="P277" s="19" t="s">
        <v>6</v>
      </c>
      <c r="Q277" s="23">
        <v>7</v>
      </c>
      <c r="R277" s="45">
        <v>2.7</v>
      </c>
    </row>
    <row r="278" spans="2:18" x14ac:dyDescent="0.2">
      <c r="B278" s="25">
        <v>275</v>
      </c>
      <c r="C278" s="18">
        <v>44105</v>
      </c>
      <c r="D278" s="24">
        <f t="shared" si="20"/>
        <v>2020</v>
      </c>
      <c r="E278" s="24" t="str">
        <f t="shared" si="21"/>
        <v>Q4</v>
      </c>
      <c r="F278" s="24" t="str">
        <f t="shared" si="22"/>
        <v>Oct</v>
      </c>
      <c r="G278" s="24">
        <f t="shared" si="23"/>
        <v>10</v>
      </c>
      <c r="H278" s="19">
        <v>1806</v>
      </c>
      <c r="I278" s="19" t="s">
        <v>0</v>
      </c>
      <c r="J278" s="19" t="s">
        <v>5</v>
      </c>
      <c r="K278" s="20">
        <v>4</v>
      </c>
      <c r="L278" s="21">
        <v>227.84</v>
      </c>
      <c r="M278" s="22">
        <v>0.23</v>
      </c>
      <c r="N278" s="21">
        <f t="shared" si="24"/>
        <v>175.43680000000001</v>
      </c>
      <c r="O278" s="21">
        <v>701.75</v>
      </c>
      <c r="P278" s="19" t="s">
        <v>4</v>
      </c>
      <c r="Q278" s="23">
        <v>10</v>
      </c>
      <c r="R278" s="45">
        <v>1.1000000000000001</v>
      </c>
    </row>
    <row r="279" spans="2:18" x14ac:dyDescent="0.2">
      <c r="B279" s="25">
        <v>276</v>
      </c>
      <c r="C279" s="18">
        <v>44106</v>
      </c>
      <c r="D279" s="24">
        <f t="shared" si="20"/>
        <v>2020</v>
      </c>
      <c r="E279" s="24" t="str">
        <f t="shared" si="21"/>
        <v>Q4</v>
      </c>
      <c r="F279" s="24" t="str">
        <f t="shared" si="22"/>
        <v>Oct</v>
      </c>
      <c r="G279" s="24">
        <f t="shared" si="23"/>
        <v>10</v>
      </c>
      <c r="H279" s="19">
        <v>1385</v>
      </c>
      <c r="I279" s="19" t="s">
        <v>3</v>
      </c>
      <c r="J279" s="19" t="s">
        <v>1</v>
      </c>
      <c r="K279" s="20">
        <v>5</v>
      </c>
      <c r="L279" s="21">
        <v>57.52</v>
      </c>
      <c r="M279" s="22">
        <v>0.08</v>
      </c>
      <c r="N279" s="21">
        <f t="shared" si="24"/>
        <v>52.918400000000005</v>
      </c>
      <c r="O279" s="21">
        <v>264.58999999999997</v>
      </c>
      <c r="P279" s="19" t="s">
        <v>4</v>
      </c>
      <c r="Q279" s="23">
        <v>5</v>
      </c>
      <c r="R279" s="45">
        <v>3.9</v>
      </c>
    </row>
    <row r="280" spans="2:18" x14ac:dyDescent="0.2">
      <c r="B280" s="25">
        <v>277</v>
      </c>
      <c r="C280" s="18">
        <v>44107</v>
      </c>
      <c r="D280" s="24">
        <f t="shared" si="20"/>
        <v>2020</v>
      </c>
      <c r="E280" s="24" t="str">
        <f t="shared" si="21"/>
        <v>Q4</v>
      </c>
      <c r="F280" s="24" t="str">
        <f t="shared" si="22"/>
        <v>Oct</v>
      </c>
      <c r="G280" s="24">
        <f t="shared" si="23"/>
        <v>10</v>
      </c>
      <c r="H280" s="19">
        <v>1386</v>
      </c>
      <c r="I280" s="19" t="s">
        <v>3</v>
      </c>
      <c r="J280" s="19" t="s">
        <v>8</v>
      </c>
      <c r="K280" s="20">
        <v>5</v>
      </c>
      <c r="L280" s="21">
        <v>347.76</v>
      </c>
      <c r="M280" s="22">
        <v>0.08</v>
      </c>
      <c r="N280" s="21">
        <f t="shared" si="24"/>
        <v>319.93919999999997</v>
      </c>
      <c r="O280" s="21">
        <v>1599.7</v>
      </c>
      <c r="P280" s="19" t="s">
        <v>4</v>
      </c>
      <c r="Q280" s="23">
        <v>9</v>
      </c>
      <c r="R280" s="45">
        <v>1.4</v>
      </c>
    </row>
    <row r="281" spans="2:18" x14ac:dyDescent="0.2">
      <c r="B281" s="25">
        <v>278</v>
      </c>
      <c r="C281" s="18">
        <v>44108</v>
      </c>
      <c r="D281" s="24">
        <f t="shared" si="20"/>
        <v>2020</v>
      </c>
      <c r="E281" s="24" t="str">
        <f t="shared" si="21"/>
        <v>Q4</v>
      </c>
      <c r="F281" s="24" t="str">
        <f t="shared" si="22"/>
        <v>Oct</v>
      </c>
      <c r="G281" s="24">
        <f t="shared" si="23"/>
        <v>10</v>
      </c>
      <c r="H281" s="19">
        <v>1112</v>
      </c>
      <c r="I281" s="19" t="s">
        <v>10</v>
      </c>
      <c r="J281" s="19" t="s">
        <v>1</v>
      </c>
      <c r="K281" s="20">
        <v>3</v>
      </c>
      <c r="L281" s="21">
        <v>341.83</v>
      </c>
      <c r="M281" s="22">
        <v>0.2</v>
      </c>
      <c r="N281" s="21">
        <f t="shared" si="24"/>
        <v>273.464</v>
      </c>
      <c r="O281" s="21">
        <v>820.39</v>
      </c>
      <c r="P281" s="19" t="s">
        <v>4</v>
      </c>
      <c r="Q281" s="23">
        <v>7</v>
      </c>
      <c r="R281" s="45">
        <v>3.1</v>
      </c>
    </row>
    <row r="282" spans="2:18" x14ac:dyDescent="0.2">
      <c r="B282" s="25">
        <v>279</v>
      </c>
      <c r="C282" s="18">
        <v>44109</v>
      </c>
      <c r="D282" s="24">
        <f t="shared" si="20"/>
        <v>2020</v>
      </c>
      <c r="E282" s="24" t="str">
        <f t="shared" si="21"/>
        <v>Q4</v>
      </c>
      <c r="F282" s="24" t="str">
        <f t="shared" si="22"/>
        <v>Oct</v>
      </c>
      <c r="G282" s="24">
        <f t="shared" si="23"/>
        <v>10</v>
      </c>
      <c r="H282" s="19">
        <v>1612</v>
      </c>
      <c r="I282" s="19" t="s">
        <v>7</v>
      </c>
      <c r="J282" s="19" t="s">
        <v>5</v>
      </c>
      <c r="K282" s="20">
        <v>7</v>
      </c>
      <c r="L282" s="21">
        <v>512.24</v>
      </c>
      <c r="M282" s="22">
        <v>0.2</v>
      </c>
      <c r="N282" s="21">
        <f t="shared" si="24"/>
        <v>409.79200000000003</v>
      </c>
      <c r="O282" s="21">
        <v>2868.54</v>
      </c>
      <c r="P282" s="19" t="s">
        <v>4</v>
      </c>
      <c r="Q282" s="23">
        <v>2</v>
      </c>
      <c r="R282" s="45">
        <v>3.3</v>
      </c>
    </row>
    <row r="283" spans="2:18" x14ac:dyDescent="0.2">
      <c r="B283" s="25">
        <v>280</v>
      </c>
      <c r="C283" s="18">
        <v>44110</v>
      </c>
      <c r="D283" s="24">
        <f t="shared" si="20"/>
        <v>2020</v>
      </c>
      <c r="E283" s="24" t="str">
        <f t="shared" si="21"/>
        <v>Q4</v>
      </c>
      <c r="F283" s="24" t="str">
        <f t="shared" si="22"/>
        <v>Oct</v>
      </c>
      <c r="G283" s="24">
        <f t="shared" si="23"/>
        <v>10</v>
      </c>
      <c r="H283" s="19">
        <v>1624</v>
      </c>
      <c r="I283" s="19" t="s">
        <v>3</v>
      </c>
      <c r="J283" s="19" t="s">
        <v>5</v>
      </c>
      <c r="K283" s="20">
        <v>3</v>
      </c>
      <c r="L283" s="21">
        <v>597.65</v>
      </c>
      <c r="M283" s="22">
        <v>0.27</v>
      </c>
      <c r="N283" s="21">
        <f t="shared" si="24"/>
        <v>436.28449999999998</v>
      </c>
      <c r="O283" s="21">
        <v>1308.8499999999999</v>
      </c>
      <c r="P283" s="19" t="s">
        <v>4</v>
      </c>
      <c r="Q283" s="23">
        <v>10</v>
      </c>
      <c r="R283" s="45">
        <v>1</v>
      </c>
    </row>
    <row r="284" spans="2:18" x14ac:dyDescent="0.2">
      <c r="B284" s="25">
        <v>281</v>
      </c>
      <c r="C284" s="18">
        <v>44111</v>
      </c>
      <c r="D284" s="24">
        <f t="shared" si="20"/>
        <v>2020</v>
      </c>
      <c r="E284" s="24" t="str">
        <f t="shared" si="21"/>
        <v>Q4</v>
      </c>
      <c r="F284" s="24" t="str">
        <f t="shared" si="22"/>
        <v>Oct</v>
      </c>
      <c r="G284" s="24">
        <f t="shared" si="23"/>
        <v>10</v>
      </c>
      <c r="H284" s="19">
        <v>1951</v>
      </c>
      <c r="I284" s="19" t="s">
        <v>3</v>
      </c>
      <c r="J284" s="19" t="s">
        <v>5</v>
      </c>
      <c r="K284" s="20">
        <v>3</v>
      </c>
      <c r="L284" s="21">
        <v>312.27</v>
      </c>
      <c r="M284" s="22">
        <v>0.27</v>
      </c>
      <c r="N284" s="21">
        <f t="shared" si="24"/>
        <v>227.95709999999997</v>
      </c>
      <c r="O284" s="21">
        <v>683.87</v>
      </c>
      <c r="P284" s="19" t="s">
        <v>6</v>
      </c>
      <c r="Q284" s="23">
        <v>1</v>
      </c>
      <c r="R284" s="45">
        <v>4.9000000000000004</v>
      </c>
    </row>
    <row r="285" spans="2:18" x14ac:dyDescent="0.2">
      <c r="B285" s="25">
        <v>282</v>
      </c>
      <c r="C285" s="18">
        <v>44112</v>
      </c>
      <c r="D285" s="24">
        <f t="shared" si="20"/>
        <v>2020</v>
      </c>
      <c r="E285" s="24" t="str">
        <f t="shared" si="21"/>
        <v>Q4</v>
      </c>
      <c r="F285" s="24" t="str">
        <f t="shared" si="22"/>
        <v>Oct</v>
      </c>
      <c r="G285" s="24">
        <f t="shared" si="23"/>
        <v>10</v>
      </c>
      <c r="H285" s="19">
        <v>1080</v>
      </c>
      <c r="I285" s="19" t="s">
        <v>10</v>
      </c>
      <c r="J285" s="19" t="s">
        <v>9</v>
      </c>
      <c r="K285" s="20">
        <v>6</v>
      </c>
      <c r="L285" s="21">
        <v>216.94</v>
      </c>
      <c r="M285" s="22">
        <v>0.23</v>
      </c>
      <c r="N285" s="21">
        <f t="shared" si="24"/>
        <v>167.0438</v>
      </c>
      <c r="O285" s="21">
        <v>1002.26</v>
      </c>
      <c r="P285" s="19" t="s">
        <v>6</v>
      </c>
      <c r="Q285" s="23">
        <v>10</v>
      </c>
      <c r="R285" s="45">
        <v>2.2000000000000002</v>
      </c>
    </row>
    <row r="286" spans="2:18" x14ac:dyDescent="0.2">
      <c r="B286" s="25">
        <v>283</v>
      </c>
      <c r="C286" s="18">
        <v>44113</v>
      </c>
      <c r="D286" s="24">
        <f t="shared" si="20"/>
        <v>2020</v>
      </c>
      <c r="E286" s="24" t="str">
        <f t="shared" si="21"/>
        <v>Q4</v>
      </c>
      <c r="F286" s="24" t="str">
        <f t="shared" si="22"/>
        <v>Oct</v>
      </c>
      <c r="G286" s="24">
        <f t="shared" si="23"/>
        <v>10</v>
      </c>
      <c r="H286" s="19">
        <v>1698</v>
      </c>
      <c r="I286" s="19" t="s">
        <v>7</v>
      </c>
      <c r="J286" s="19" t="s">
        <v>9</v>
      </c>
      <c r="K286" s="20">
        <v>4</v>
      </c>
      <c r="L286" s="21">
        <v>123.75</v>
      </c>
      <c r="M286" s="22">
        <v>0.16</v>
      </c>
      <c r="N286" s="21">
        <f t="shared" si="24"/>
        <v>103.95</v>
      </c>
      <c r="O286" s="21">
        <v>415.8</v>
      </c>
      <c r="P286" s="19" t="s">
        <v>4</v>
      </c>
      <c r="Q286" s="23">
        <v>10</v>
      </c>
      <c r="R286" s="45">
        <v>1.3</v>
      </c>
    </row>
    <row r="287" spans="2:18" x14ac:dyDescent="0.2">
      <c r="B287" s="25">
        <v>284</v>
      </c>
      <c r="C287" s="18">
        <v>44114</v>
      </c>
      <c r="D287" s="24">
        <f t="shared" si="20"/>
        <v>2020</v>
      </c>
      <c r="E287" s="24" t="str">
        <f t="shared" si="21"/>
        <v>Q4</v>
      </c>
      <c r="F287" s="24" t="str">
        <f t="shared" si="22"/>
        <v>Oct</v>
      </c>
      <c r="G287" s="24">
        <f t="shared" si="23"/>
        <v>10</v>
      </c>
      <c r="H287" s="19">
        <v>1112</v>
      </c>
      <c r="I287" s="19" t="s">
        <v>7</v>
      </c>
      <c r="J287" s="19" t="s">
        <v>9</v>
      </c>
      <c r="K287" s="20">
        <v>5</v>
      </c>
      <c r="L287" s="21">
        <v>17.809999999999999</v>
      </c>
      <c r="M287" s="22">
        <v>0.31</v>
      </c>
      <c r="N287" s="21">
        <f t="shared" si="24"/>
        <v>12.288899999999998</v>
      </c>
      <c r="O287" s="21">
        <v>61.44</v>
      </c>
      <c r="P287" s="19" t="s">
        <v>6</v>
      </c>
      <c r="Q287" s="23">
        <v>4</v>
      </c>
      <c r="R287" s="45">
        <v>4.4000000000000004</v>
      </c>
    </row>
    <row r="288" spans="2:18" x14ac:dyDescent="0.2">
      <c r="B288" s="25">
        <v>285</v>
      </c>
      <c r="C288" s="18">
        <v>44115</v>
      </c>
      <c r="D288" s="24">
        <f t="shared" si="20"/>
        <v>2020</v>
      </c>
      <c r="E288" s="24" t="str">
        <f t="shared" si="21"/>
        <v>Q4</v>
      </c>
      <c r="F288" s="24" t="str">
        <f t="shared" si="22"/>
        <v>Oct</v>
      </c>
      <c r="G288" s="24">
        <f t="shared" si="23"/>
        <v>10</v>
      </c>
      <c r="H288" s="19">
        <v>1001</v>
      </c>
      <c r="I288" s="19" t="s">
        <v>0</v>
      </c>
      <c r="J288" s="19" t="s">
        <v>1</v>
      </c>
      <c r="K288" s="20">
        <v>4</v>
      </c>
      <c r="L288" s="21">
        <v>312.83</v>
      </c>
      <c r="M288" s="22">
        <v>0.22</v>
      </c>
      <c r="N288" s="21">
        <f t="shared" si="24"/>
        <v>244.00739999999999</v>
      </c>
      <c r="O288" s="21">
        <v>976.03</v>
      </c>
      <c r="P288" s="19" t="s">
        <v>6</v>
      </c>
      <c r="Q288" s="23">
        <v>10</v>
      </c>
      <c r="R288" s="45">
        <v>1.6</v>
      </c>
    </row>
    <row r="289" spans="2:18" x14ac:dyDescent="0.2">
      <c r="B289" s="25">
        <v>286</v>
      </c>
      <c r="C289" s="18">
        <v>44116</v>
      </c>
      <c r="D289" s="24">
        <f t="shared" si="20"/>
        <v>2020</v>
      </c>
      <c r="E289" s="24" t="str">
        <f t="shared" si="21"/>
        <v>Q4</v>
      </c>
      <c r="F289" s="24" t="str">
        <f t="shared" si="22"/>
        <v>Oct</v>
      </c>
      <c r="G289" s="24">
        <f t="shared" si="23"/>
        <v>10</v>
      </c>
      <c r="H289" s="19">
        <v>1641</v>
      </c>
      <c r="I289" s="19" t="s">
        <v>7</v>
      </c>
      <c r="J289" s="19" t="s">
        <v>5</v>
      </c>
      <c r="K289" s="20">
        <v>3</v>
      </c>
      <c r="L289" s="21">
        <v>339.98</v>
      </c>
      <c r="M289" s="22">
        <v>0.35</v>
      </c>
      <c r="N289" s="21">
        <f t="shared" si="24"/>
        <v>220.98700000000002</v>
      </c>
      <c r="O289" s="21">
        <v>662.96</v>
      </c>
      <c r="P289" s="19" t="s">
        <v>2</v>
      </c>
      <c r="Q289" s="23">
        <v>8</v>
      </c>
      <c r="R289" s="45">
        <v>1.1000000000000001</v>
      </c>
    </row>
    <row r="290" spans="2:18" x14ac:dyDescent="0.2">
      <c r="B290" s="25">
        <v>287</v>
      </c>
      <c r="C290" s="18">
        <v>44117</v>
      </c>
      <c r="D290" s="24">
        <f t="shared" si="20"/>
        <v>2020</v>
      </c>
      <c r="E290" s="24" t="str">
        <f t="shared" si="21"/>
        <v>Q4</v>
      </c>
      <c r="F290" s="24" t="str">
        <f t="shared" si="22"/>
        <v>Oct</v>
      </c>
      <c r="G290" s="24">
        <f t="shared" si="23"/>
        <v>10</v>
      </c>
      <c r="H290" s="19">
        <v>1219</v>
      </c>
      <c r="I290" s="19" t="s">
        <v>3</v>
      </c>
      <c r="J290" s="19" t="s">
        <v>8</v>
      </c>
      <c r="K290" s="20">
        <v>5</v>
      </c>
      <c r="L290" s="21">
        <v>497.59</v>
      </c>
      <c r="M290" s="22">
        <v>0.28999999999999998</v>
      </c>
      <c r="N290" s="21">
        <f t="shared" si="24"/>
        <v>353.28890000000001</v>
      </c>
      <c r="O290" s="21">
        <v>1766.44</v>
      </c>
      <c r="P290" s="19" t="s">
        <v>4</v>
      </c>
      <c r="Q290" s="23">
        <v>6</v>
      </c>
      <c r="R290" s="45">
        <v>3</v>
      </c>
    </row>
    <row r="291" spans="2:18" x14ac:dyDescent="0.2">
      <c r="B291" s="25">
        <v>288</v>
      </c>
      <c r="C291" s="18">
        <v>44118</v>
      </c>
      <c r="D291" s="24">
        <f t="shared" si="20"/>
        <v>2020</v>
      </c>
      <c r="E291" s="24" t="str">
        <f t="shared" si="21"/>
        <v>Q4</v>
      </c>
      <c r="F291" s="24" t="str">
        <f t="shared" si="22"/>
        <v>Oct</v>
      </c>
      <c r="G291" s="24">
        <f t="shared" si="23"/>
        <v>10</v>
      </c>
      <c r="H291" s="19">
        <v>1565</v>
      </c>
      <c r="I291" s="19" t="s">
        <v>7</v>
      </c>
      <c r="J291" s="19" t="s">
        <v>1</v>
      </c>
      <c r="K291" s="20">
        <v>2</v>
      </c>
      <c r="L291" s="21">
        <v>310.18</v>
      </c>
      <c r="M291" s="22">
        <v>0.02</v>
      </c>
      <c r="N291" s="21">
        <f t="shared" si="24"/>
        <v>303.97640000000001</v>
      </c>
      <c r="O291" s="21">
        <v>607.95000000000005</v>
      </c>
      <c r="P291" s="19" t="s">
        <v>6</v>
      </c>
      <c r="Q291" s="23">
        <v>2</v>
      </c>
      <c r="R291" s="45">
        <v>1.5</v>
      </c>
    </row>
    <row r="292" spans="2:18" x14ac:dyDescent="0.2">
      <c r="B292" s="25">
        <v>289</v>
      </c>
      <c r="C292" s="18">
        <v>44119</v>
      </c>
      <c r="D292" s="24">
        <f t="shared" si="20"/>
        <v>2020</v>
      </c>
      <c r="E292" s="24" t="str">
        <f t="shared" si="21"/>
        <v>Q4</v>
      </c>
      <c r="F292" s="24" t="str">
        <f t="shared" si="22"/>
        <v>Oct</v>
      </c>
      <c r="G292" s="24">
        <f t="shared" si="23"/>
        <v>10</v>
      </c>
      <c r="H292" s="19">
        <v>1854</v>
      </c>
      <c r="I292" s="19" t="s">
        <v>7</v>
      </c>
      <c r="J292" s="19" t="s">
        <v>1</v>
      </c>
      <c r="K292" s="20">
        <v>1</v>
      </c>
      <c r="L292" s="21">
        <v>551.13</v>
      </c>
      <c r="M292" s="22">
        <v>0.11</v>
      </c>
      <c r="N292" s="21">
        <f t="shared" si="24"/>
        <v>490.50569999999999</v>
      </c>
      <c r="O292" s="21">
        <v>490.51</v>
      </c>
      <c r="P292" s="19" t="s">
        <v>6</v>
      </c>
      <c r="Q292" s="23">
        <v>5</v>
      </c>
      <c r="R292" s="45">
        <v>4.9000000000000004</v>
      </c>
    </row>
    <row r="293" spans="2:18" x14ac:dyDescent="0.2">
      <c r="B293" s="25">
        <v>290</v>
      </c>
      <c r="C293" s="18">
        <v>44120</v>
      </c>
      <c r="D293" s="24">
        <f t="shared" si="20"/>
        <v>2020</v>
      </c>
      <c r="E293" s="24" t="str">
        <f t="shared" si="21"/>
        <v>Q4</v>
      </c>
      <c r="F293" s="24" t="str">
        <f t="shared" si="22"/>
        <v>Oct</v>
      </c>
      <c r="G293" s="24">
        <f t="shared" si="23"/>
        <v>10</v>
      </c>
      <c r="H293" s="19">
        <v>1996</v>
      </c>
      <c r="I293" s="19" t="s">
        <v>7</v>
      </c>
      <c r="J293" s="19" t="s">
        <v>1</v>
      </c>
      <c r="K293" s="20">
        <v>1</v>
      </c>
      <c r="L293" s="21">
        <v>382.43</v>
      </c>
      <c r="M293" s="22">
        <v>0.2</v>
      </c>
      <c r="N293" s="21">
        <f t="shared" si="24"/>
        <v>305.94400000000002</v>
      </c>
      <c r="O293" s="21">
        <v>305.94</v>
      </c>
      <c r="P293" s="19" t="s">
        <v>4</v>
      </c>
      <c r="Q293" s="23">
        <v>9</v>
      </c>
      <c r="R293" s="45">
        <v>1</v>
      </c>
    </row>
    <row r="294" spans="2:18" x14ac:dyDescent="0.2">
      <c r="B294" s="25">
        <v>291</v>
      </c>
      <c r="C294" s="18">
        <v>44121</v>
      </c>
      <c r="D294" s="24">
        <f t="shared" si="20"/>
        <v>2020</v>
      </c>
      <c r="E294" s="24" t="str">
        <f t="shared" si="21"/>
        <v>Q4</v>
      </c>
      <c r="F294" s="24" t="str">
        <f t="shared" si="22"/>
        <v>Oct</v>
      </c>
      <c r="G294" s="24">
        <f t="shared" si="23"/>
        <v>10</v>
      </c>
      <c r="H294" s="19">
        <v>1735</v>
      </c>
      <c r="I294" s="19" t="s">
        <v>7</v>
      </c>
      <c r="J294" s="19" t="s">
        <v>8</v>
      </c>
      <c r="K294" s="20">
        <v>3</v>
      </c>
      <c r="L294" s="21">
        <v>506.6</v>
      </c>
      <c r="M294" s="22">
        <v>0.25</v>
      </c>
      <c r="N294" s="21">
        <f t="shared" si="24"/>
        <v>379.95000000000005</v>
      </c>
      <c r="O294" s="21">
        <v>1139.8499999999999</v>
      </c>
      <c r="P294" s="19" t="s">
        <v>2</v>
      </c>
      <c r="Q294" s="23">
        <v>6</v>
      </c>
      <c r="R294" s="45">
        <v>1.2</v>
      </c>
    </row>
    <row r="295" spans="2:18" x14ac:dyDescent="0.2">
      <c r="B295" s="25">
        <v>292</v>
      </c>
      <c r="C295" s="18">
        <v>44122</v>
      </c>
      <c r="D295" s="24">
        <f t="shared" si="20"/>
        <v>2020</v>
      </c>
      <c r="E295" s="24" t="str">
        <f t="shared" si="21"/>
        <v>Q4</v>
      </c>
      <c r="F295" s="24" t="str">
        <f t="shared" si="22"/>
        <v>Oct</v>
      </c>
      <c r="G295" s="24">
        <f t="shared" si="23"/>
        <v>10</v>
      </c>
      <c r="H295" s="19">
        <v>1224</v>
      </c>
      <c r="I295" s="19" t="s">
        <v>0</v>
      </c>
      <c r="J295" s="19" t="s">
        <v>5</v>
      </c>
      <c r="K295" s="20">
        <v>7</v>
      </c>
      <c r="L295" s="21">
        <v>101.76</v>
      </c>
      <c r="M295" s="22">
        <v>0.19</v>
      </c>
      <c r="N295" s="21">
        <f t="shared" si="24"/>
        <v>82.425600000000003</v>
      </c>
      <c r="O295" s="21">
        <v>576.98</v>
      </c>
      <c r="P295" s="19" t="s">
        <v>6</v>
      </c>
      <c r="Q295" s="23">
        <v>6</v>
      </c>
      <c r="R295" s="45">
        <v>4.3</v>
      </c>
    </row>
    <row r="296" spans="2:18" x14ac:dyDescent="0.2">
      <c r="B296" s="25">
        <v>293</v>
      </c>
      <c r="C296" s="18">
        <v>44123</v>
      </c>
      <c r="D296" s="24">
        <f t="shared" si="20"/>
        <v>2020</v>
      </c>
      <c r="E296" s="24" t="str">
        <f t="shared" si="21"/>
        <v>Q4</v>
      </c>
      <c r="F296" s="24" t="str">
        <f t="shared" si="22"/>
        <v>Oct</v>
      </c>
      <c r="G296" s="24">
        <f t="shared" si="23"/>
        <v>10</v>
      </c>
      <c r="H296" s="19">
        <v>1384</v>
      </c>
      <c r="I296" s="19" t="s">
        <v>7</v>
      </c>
      <c r="J296" s="19" t="s">
        <v>9</v>
      </c>
      <c r="K296" s="20">
        <v>4</v>
      </c>
      <c r="L296" s="21">
        <v>515.37</v>
      </c>
      <c r="M296" s="22">
        <v>0.28000000000000003</v>
      </c>
      <c r="N296" s="21">
        <f t="shared" si="24"/>
        <v>371.06639999999999</v>
      </c>
      <c r="O296" s="21">
        <v>1484.27</v>
      </c>
      <c r="P296" s="19" t="s">
        <v>6</v>
      </c>
      <c r="Q296" s="23">
        <v>7</v>
      </c>
      <c r="R296" s="45">
        <v>2</v>
      </c>
    </row>
    <row r="297" spans="2:18" x14ac:dyDescent="0.2">
      <c r="B297" s="25">
        <v>294</v>
      </c>
      <c r="C297" s="18">
        <v>44124</v>
      </c>
      <c r="D297" s="24">
        <f t="shared" si="20"/>
        <v>2020</v>
      </c>
      <c r="E297" s="24" t="str">
        <f t="shared" si="21"/>
        <v>Q4</v>
      </c>
      <c r="F297" s="24" t="str">
        <f t="shared" si="22"/>
        <v>Oct</v>
      </c>
      <c r="G297" s="24">
        <f t="shared" si="23"/>
        <v>10</v>
      </c>
      <c r="H297" s="19">
        <v>1402</v>
      </c>
      <c r="I297" s="19" t="s">
        <v>0</v>
      </c>
      <c r="J297" s="19" t="s">
        <v>5</v>
      </c>
      <c r="K297" s="20">
        <v>2</v>
      </c>
      <c r="L297" s="21">
        <v>409.96</v>
      </c>
      <c r="M297" s="22">
        <v>0.1</v>
      </c>
      <c r="N297" s="21">
        <f t="shared" si="24"/>
        <v>368.964</v>
      </c>
      <c r="O297" s="21">
        <v>737.93</v>
      </c>
      <c r="P297" s="19" t="s">
        <v>4</v>
      </c>
      <c r="Q297" s="23">
        <v>11</v>
      </c>
      <c r="R297" s="45">
        <v>4.5999999999999996</v>
      </c>
    </row>
    <row r="298" spans="2:18" x14ac:dyDescent="0.2">
      <c r="B298" s="25">
        <v>295</v>
      </c>
      <c r="C298" s="18">
        <v>44125</v>
      </c>
      <c r="D298" s="24">
        <f t="shared" si="20"/>
        <v>2020</v>
      </c>
      <c r="E298" s="24" t="str">
        <f t="shared" si="21"/>
        <v>Q4</v>
      </c>
      <c r="F298" s="24" t="str">
        <f t="shared" si="22"/>
        <v>Oct</v>
      </c>
      <c r="G298" s="24">
        <f t="shared" si="23"/>
        <v>10</v>
      </c>
      <c r="H298" s="19">
        <v>1637</v>
      </c>
      <c r="I298" s="19" t="s">
        <v>3</v>
      </c>
      <c r="J298" s="19" t="s">
        <v>5</v>
      </c>
      <c r="K298" s="20">
        <v>5</v>
      </c>
      <c r="L298" s="21">
        <v>114.59</v>
      </c>
      <c r="M298" s="22">
        <v>0.06</v>
      </c>
      <c r="N298" s="21">
        <f t="shared" si="24"/>
        <v>107.7146</v>
      </c>
      <c r="O298" s="21">
        <v>538.57000000000005</v>
      </c>
      <c r="P298" s="19" t="s">
        <v>4</v>
      </c>
      <c r="Q298" s="23">
        <v>5</v>
      </c>
      <c r="R298" s="45">
        <v>2.2000000000000002</v>
      </c>
    </row>
    <row r="299" spans="2:18" x14ac:dyDescent="0.2">
      <c r="B299" s="25">
        <v>296</v>
      </c>
      <c r="C299" s="18">
        <v>44126</v>
      </c>
      <c r="D299" s="24">
        <f t="shared" si="20"/>
        <v>2020</v>
      </c>
      <c r="E299" s="24" t="str">
        <f t="shared" si="21"/>
        <v>Q4</v>
      </c>
      <c r="F299" s="24" t="str">
        <f t="shared" si="22"/>
        <v>Oct</v>
      </c>
      <c r="G299" s="24">
        <f t="shared" si="23"/>
        <v>10</v>
      </c>
      <c r="H299" s="19">
        <v>1129</v>
      </c>
      <c r="I299" s="19" t="s">
        <v>3</v>
      </c>
      <c r="J299" s="19" t="s">
        <v>1</v>
      </c>
      <c r="K299" s="20">
        <v>7</v>
      </c>
      <c r="L299" s="21">
        <v>126.01</v>
      </c>
      <c r="M299" s="22">
        <v>0.02</v>
      </c>
      <c r="N299" s="21">
        <f t="shared" si="24"/>
        <v>123.4898</v>
      </c>
      <c r="O299" s="21">
        <v>864.43</v>
      </c>
      <c r="P299" s="19" t="s">
        <v>6</v>
      </c>
      <c r="Q299" s="23">
        <v>3</v>
      </c>
      <c r="R299" s="45">
        <v>1.3</v>
      </c>
    </row>
    <row r="300" spans="2:18" x14ac:dyDescent="0.2">
      <c r="B300" s="25">
        <v>297</v>
      </c>
      <c r="C300" s="18">
        <v>44127</v>
      </c>
      <c r="D300" s="24">
        <f t="shared" si="20"/>
        <v>2020</v>
      </c>
      <c r="E300" s="24" t="str">
        <f t="shared" si="21"/>
        <v>Q4</v>
      </c>
      <c r="F300" s="24" t="str">
        <f t="shared" si="22"/>
        <v>Oct</v>
      </c>
      <c r="G300" s="24">
        <f t="shared" si="23"/>
        <v>10</v>
      </c>
      <c r="H300" s="19">
        <v>1052</v>
      </c>
      <c r="I300" s="19" t="s">
        <v>3</v>
      </c>
      <c r="J300" s="19" t="s">
        <v>1</v>
      </c>
      <c r="K300" s="20">
        <v>4</v>
      </c>
      <c r="L300" s="21">
        <v>557</v>
      </c>
      <c r="M300" s="22">
        <v>0.2</v>
      </c>
      <c r="N300" s="21">
        <f t="shared" si="24"/>
        <v>445.6</v>
      </c>
      <c r="O300" s="21">
        <v>1782.4</v>
      </c>
      <c r="P300" s="19" t="s">
        <v>4</v>
      </c>
      <c r="Q300" s="23">
        <v>3</v>
      </c>
      <c r="R300" s="45">
        <v>1</v>
      </c>
    </row>
    <row r="301" spans="2:18" x14ac:dyDescent="0.2">
      <c r="B301" s="25">
        <v>298</v>
      </c>
      <c r="C301" s="18">
        <v>44128</v>
      </c>
      <c r="D301" s="24">
        <f t="shared" si="20"/>
        <v>2020</v>
      </c>
      <c r="E301" s="24" t="str">
        <f t="shared" si="21"/>
        <v>Q4</v>
      </c>
      <c r="F301" s="24" t="str">
        <f t="shared" si="22"/>
        <v>Oct</v>
      </c>
      <c r="G301" s="24">
        <f t="shared" si="23"/>
        <v>10</v>
      </c>
      <c r="H301" s="19">
        <v>1683</v>
      </c>
      <c r="I301" s="19" t="s">
        <v>3</v>
      </c>
      <c r="J301" s="19" t="s">
        <v>1</v>
      </c>
      <c r="K301" s="20">
        <v>3</v>
      </c>
      <c r="L301" s="21">
        <v>33.85</v>
      </c>
      <c r="M301" s="22">
        <v>0.24</v>
      </c>
      <c r="N301" s="21">
        <f t="shared" si="24"/>
        <v>25.725999999999999</v>
      </c>
      <c r="O301" s="21">
        <v>77.180000000000007</v>
      </c>
      <c r="P301" s="19" t="s">
        <v>6</v>
      </c>
      <c r="Q301" s="23">
        <v>5</v>
      </c>
      <c r="R301" s="45">
        <v>2.1</v>
      </c>
    </row>
    <row r="302" spans="2:18" x14ac:dyDescent="0.2">
      <c r="B302" s="25">
        <v>299</v>
      </c>
      <c r="C302" s="18">
        <v>44129</v>
      </c>
      <c r="D302" s="24">
        <f t="shared" si="20"/>
        <v>2020</v>
      </c>
      <c r="E302" s="24" t="str">
        <f t="shared" si="21"/>
        <v>Q4</v>
      </c>
      <c r="F302" s="24" t="str">
        <f t="shared" si="22"/>
        <v>Oct</v>
      </c>
      <c r="G302" s="24">
        <f t="shared" si="23"/>
        <v>10</v>
      </c>
      <c r="H302" s="19">
        <v>1729</v>
      </c>
      <c r="I302" s="19" t="s">
        <v>10</v>
      </c>
      <c r="J302" s="19" t="s">
        <v>9</v>
      </c>
      <c r="K302" s="20">
        <v>4</v>
      </c>
      <c r="L302" s="21">
        <v>285.58</v>
      </c>
      <c r="M302" s="22">
        <v>0.11</v>
      </c>
      <c r="N302" s="21">
        <f t="shared" si="24"/>
        <v>254.16619999999998</v>
      </c>
      <c r="O302" s="21">
        <v>1016.66</v>
      </c>
      <c r="P302" s="19" t="s">
        <v>4</v>
      </c>
      <c r="Q302" s="23">
        <v>4</v>
      </c>
      <c r="R302" s="45">
        <v>2.9</v>
      </c>
    </row>
    <row r="303" spans="2:18" x14ac:dyDescent="0.2">
      <c r="B303" s="25">
        <v>300</v>
      </c>
      <c r="C303" s="18">
        <v>44130</v>
      </c>
      <c r="D303" s="24">
        <f t="shared" si="20"/>
        <v>2020</v>
      </c>
      <c r="E303" s="24" t="str">
        <f t="shared" si="21"/>
        <v>Q4</v>
      </c>
      <c r="F303" s="24" t="str">
        <f t="shared" si="22"/>
        <v>Oct</v>
      </c>
      <c r="G303" s="24">
        <f t="shared" si="23"/>
        <v>10</v>
      </c>
      <c r="H303" s="19">
        <v>1671</v>
      </c>
      <c r="I303" s="19" t="s">
        <v>7</v>
      </c>
      <c r="J303" s="19" t="s">
        <v>9</v>
      </c>
      <c r="K303" s="20">
        <v>3</v>
      </c>
      <c r="L303" s="21">
        <v>198.38</v>
      </c>
      <c r="M303" s="22">
        <v>0.21</v>
      </c>
      <c r="N303" s="21">
        <f t="shared" si="24"/>
        <v>156.72020000000001</v>
      </c>
      <c r="O303" s="21">
        <v>470.16</v>
      </c>
      <c r="P303" s="19" t="s">
        <v>6</v>
      </c>
      <c r="Q303" s="23">
        <v>5</v>
      </c>
      <c r="R303" s="45">
        <v>1</v>
      </c>
    </row>
    <row r="304" spans="2:18" x14ac:dyDescent="0.2">
      <c r="B304" s="25">
        <v>301</v>
      </c>
      <c r="C304" s="18">
        <v>44131</v>
      </c>
      <c r="D304" s="24">
        <f t="shared" si="20"/>
        <v>2020</v>
      </c>
      <c r="E304" s="24" t="str">
        <f t="shared" si="21"/>
        <v>Q4</v>
      </c>
      <c r="F304" s="24" t="str">
        <f t="shared" si="22"/>
        <v>Oct</v>
      </c>
      <c r="G304" s="24">
        <f t="shared" si="23"/>
        <v>10</v>
      </c>
      <c r="H304" s="19">
        <v>1709</v>
      </c>
      <c r="I304" s="19" t="s">
        <v>3</v>
      </c>
      <c r="J304" s="19" t="s">
        <v>9</v>
      </c>
      <c r="K304" s="20">
        <v>6</v>
      </c>
      <c r="L304" s="21">
        <v>404.07</v>
      </c>
      <c r="M304" s="22">
        <v>0.02</v>
      </c>
      <c r="N304" s="21">
        <f t="shared" si="24"/>
        <v>395.98860000000002</v>
      </c>
      <c r="O304" s="21">
        <v>2375.9299999999998</v>
      </c>
      <c r="P304" s="19" t="s">
        <v>6</v>
      </c>
      <c r="Q304" s="23">
        <v>9</v>
      </c>
      <c r="R304" s="45">
        <v>3.3</v>
      </c>
    </row>
    <row r="305" spans="2:18" x14ac:dyDescent="0.2">
      <c r="B305" s="25">
        <v>302</v>
      </c>
      <c r="C305" s="18">
        <v>44132</v>
      </c>
      <c r="D305" s="24">
        <f t="shared" si="20"/>
        <v>2020</v>
      </c>
      <c r="E305" s="24" t="str">
        <f t="shared" si="21"/>
        <v>Q4</v>
      </c>
      <c r="F305" s="24" t="str">
        <f t="shared" si="22"/>
        <v>Oct</v>
      </c>
      <c r="G305" s="24">
        <f t="shared" si="23"/>
        <v>10</v>
      </c>
      <c r="H305" s="19">
        <v>1415</v>
      </c>
      <c r="I305" s="19" t="s">
        <v>0</v>
      </c>
      <c r="J305" s="19" t="s">
        <v>5</v>
      </c>
      <c r="K305" s="20">
        <v>1</v>
      </c>
      <c r="L305" s="21">
        <v>506.18</v>
      </c>
      <c r="M305" s="22">
        <v>0.03</v>
      </c>
      <c r="N305" s="21">
        <f t="shared" si="24"/>
        <v>490.99459999999999</v>
      </c>
      <c r="O305" s="21">
        <v>490.99</v>
      </c>
      <c r="P305" s="19" t="s">
        <v>4</v>
      </c>
      <c r="Q305" s="23">
        <v>5</v>
      </c>
      <c r="R305" s="45">
        <v>2.2999999999999998</v>
      </c>
    </row>
    <row r="306" spans="2:18" x14ac:dyDescent="0.2">
      <c r="B306" s="25">
        <v>303</v>
      </c>
      <c r="C306" s="18">
        <v>44133</v>
      </c>
      <c r="D306" s="24">
        <f t="shared" si="20"/>
        <v>2020</v>
      </c>
      <c r="E306" s="24" t="str">
        <f t="shared" si="21"/>
        <v>Q4</v>
      </c>
      <c r="F306" s="24" t="str">
        <f t="shared" si="22"/>
        <v>Oct</v>
      </c>
      <c r="G306" s="24">
        <f t="shared" si="23"/>
        <v>10</v>
      </c>
      <c r="H306" s="19">
        <v>1246</v>
      </c>
      <c r="I306" s="19" t="s">
        <v>0</v>
      </c>
      <c r="J306" s="19" t="s">
        <v>1</v>
      </c>
      <c r="K306" s="20">
        <v>7</v>
      </c>
      <c r="L306" s="21">
        <v>225.82</v>
      </c>
      <c r="M306" s="22">
        <v>0.25</v>
      </c>
      <c r="N306" s="21">
        <f t="shared" si="24"/>
        <v>169.36500000000001</v>
      </c>
      <c r="O306" s="21">
        <v>1185.56</v>
      </c>
      <c r="P306" s="19" t="s">
        <v>6</v>
      </c>
      <c r="Q306" s="23">
        <v>4</v>
      </c>
      <c r="R306" s="45">
        <v>2.6</v>
      </c>
    </row>
    <row r="307" spans="2:18" x14ac:dyDescent="0.2">
      <c r="B307" s="25">
        <v>304</v>
      </c>
      <c r="C307" s="18">
        <v>44134</v>
      </c>
      <c r="D307" s="24">
        <f t="shared" si="20"/>
        <v>2020</v>
      </c>
      <c r="E307" s="24" t="str">
        <f t="shared" si="21"/>
        <v>Q4</v>
      </c>
      <c r="F307" s="24" t="str">
        <f t="shared" si="22"/>
        <v>Oct</v>
      </c>
      <c r="G307" s="24">
        <f t="shared" si="23"/>
        <v>10</v>
      </c>
      <c r="H307" s="19">
        <v>1835</v>
      </c>
      <c r="I307" s="19" t="s">
        <v>0</v>
      </c>
      <c r="J307" s="19" t="s">
        <v>8</v>
      </c>
      <c r="K307" s="20">
        <v>1</v>
      </c>
      <c r="L307" s="21">
        <v>264.74</v>
      </c>
      <c r="M307" s="22">
        <v>0.13</v>
      </c>
      <c r="N307" s="21">
        <f t="shared" si="24"/>
        <v>230.32380000000001</v>
      </c>
      <c r="O307" s="21">
        <v>230.32</v>
      </c>
      <c r="P307" s="19" t="s">
        <v>4</v>
      </c>
      <c r="Q307" s="23">
        <v>4</v>
      </c>
      <c r="R307" s="45">
        <v>2</v>
      </c>
    </row>
    <row r="308" spans="2:18" x14ac:dyDescent="0.2">
      <c r="B308" s="25">
        <v>305</v>
      </c>
      <c r="C308" s="18">
        <v>44135</v>
      </c>
      <c r="D308" s="24">
        <f t="shared" si="20"/>
        <v>2020</v>
      </c>
      <c r="E308" s="24" t="str">
        <f t="shared" si="21"/>
        <v>Q4</v>
      </c>
      <c r="F308" s="24" t="str">
        <f t="shared" si="22"/>
        <v>Oct</v>
      </c>
      <c r="G308" s="24">
        <f t="shared" si="23"/>
        <v>10</v>
      </c>
      <c r="H308" s="19">
        <v>1438</v>
      </c>
      <c r="I308" s="19" t="s">
        <v>3</v>
      </c>
      <c r="J308" s="19" t="s">
        <v>5</v>
      </c>
      <c r="K308" s="20">
        <v>4</v>
      </c>
      <c r="L308" s="21">
        <v>589.41999999999996</v>
      </c>
      <c r="M308" s="22">
        <v>0.23</v>
      </c>
      <c r="N308" s="21">
        <f t="shared" si="24"/>
        <v>453.85339999999997</v>
      </c>
      <c r="O308" s="21">
        <v>1815.41</v>
      </c>
      <c r="P308" s="19" t="s">
        <v>4</v>
      </c>
      <c r="Q308" s="23">
        <v>1</v>
      </c>
      <c r="R308" s="45">
        <v>3.1</v>
      </c>
    </row>
    <row r="309" spans="2:18" x14ac:dyDescent="0.2">
      <c r="B309" s="25">
        <v>306</v>
      </c>
      <c r="C309" s="18">
        <v>44136</v>
      </c>
      <c r="D309" s="24">
        <f t="shared" si="20"/>
        <v>2020</v>
      </c>
      <c r="E309" s="24" t="str">
        <f t="shared" si="21"/>
        <v>Q4</v>
      </c>
      <c r="F309" s="24" t="str">
        <f t="shared" si="22"/>
        <v>Nov</v>
      </c>
      <c r="G309" s="24">
        <f t="shared" si="23"/>
        <v>11</v>
      </c>
      <c r="H309" s="19">
        <v>1202</v>
      </c>
      <c r="I309" s="19" t="s">
        <v>10</v>
      </c>
      <c r="J309" s="19" t="s">
        <v>9</v>
      </c>
      <c r="K309" s="20">
        <v>2</v>
      </c>
      <c r="L309" s="21">
        <v>473.59</v>
      </c>
      <c r="M309" s="22">
        <v>0.28999999999999998</v>
      </c>
      <c r="N309" s="21">
        <f t="shared" si="24"/>
        <v>336.24889999999999</v>
      </c>
      <c r="O309" s="21">
        <v>672.5</v>
      </c>
      <c r="P309" s="19" t="s">
        <v>4</v>
      </c>
      <c r="Q309" s="23">
        <v>10</v>
      </c>
      <c r="R309" s="45">
        <v>1.9</v>
      </c>
    </row>
    <row r="310" spans="2:18" x14ac:dyDescent="0.2">
      <c r="B310" s="25">
        <v>307</v>
      </c>
      <c r="C310" s="18">
        <v>44137</v>
      </c>
      <c r="D310" s="24">
        <f t="shared" si="20"/>
        <v>2020</v>
      </c>
      <c r="E310" s="24" t="str">
        <f t="shared" si="21"/>
        <v>Q4</v>
      </c>
      <c r="F310" s="24" t="str">
        <f t="shared" si="22"/>
        <v>Nov</v>
      </c>
      <c r="G310" s="24">
        <f t="shared" si="23"/>
        <v>11</v>
      </c>
      <c r="H310" s="19">
        <v>1183</v>
      </c>
      <c r="I310" s="19" t="s">
        <v>3</v>
      </c>
      <c r="J310" s="19" t="s">
        <v>8</v>
      </c>
      <c r="K310" s="20">
        <v>5</v>
      </c>
      <c r="L310" s="21">
        <v>539.86</v>
      </c>
      <c r="M310" s="22">
        <v>0.3</v>
      </c>
      <c r="N310" s="21">
        <f t="shared" si="24"/>
        <v>377.90200000000004</v>
      </c>
      <c r="O310" s="21">
        <v>1889.51</v>
      </c>
      <c r="P310" s="19" t="s">
        <v>4</v>
      </c>
      <c r="Q310" s="23">
        <v>4</v>
      </c>
      <c r="R310" s="45">
        <v>1.5</v>
      </c>
    </row>
    <row r="311" spans="2:18" x14ac:dyDescent="0.2">
      <c r="B311" s="25">
        <v>308</v>
      </c>
      <c r="C311" s="18">
        <v>44138</v>
      </c>
      <c r="D311" s="24">
        <f t="shared" si="20"/>
        <v>2020</v>
      </c>
      <c r="E311" s="24" t="str">
        <f t="shared" si="21"/>
        <v>Q4</v>
      </c>
      <c r="F311" s="24" t="str">
        <f t="shared" si="22"/>
        <v>Nov</v>
      </c>
      <c r="G311" s="24">
        <f t="shared" si="23"/>
        <v>11</v>
      </c>
      <c r="H311" s="19">
        <v>1122</v>
      </c>
      <c r="I311" s="19" t="s">
        <v>3</v>
      </c>
      <c r="J311" s="19" t="s">
        <v>8</v>
      </c>
      <c r="K311" s="20">
        <v>3</v>
      </c>
      <c r="L311" s="21">
        <v>271.68</v>
      </c>
      <c r="M311" s="22">
        <v>0.06</v>
      </c>
      <c r="N311" s="21">
        <f t="shared" si="24"/>
        <v>255.3792</v>
      </c>
      <c r="O311" s="21">
        <v>766.14</v>
      </c>
      <c r="P311" s="19" t="s">
        <v>4</v>
      </c>
      <c r="Q311" s="23">
        <v>4</v>
      </c>
      <c r="R311" s="45">
        <v>4.5999999999999996</v>
      </c>
    </row>
    <row r="312" spans="2:18" x14ac:dyDescent="0.2">
      <c r="B312" s="25">
        <v>309</v>
      </c>
      <c r="C312" s="18">
        <v>44139</v>
      </c>
      <c r="D312" s="24">
        <f t="shared" si="20"/>
        <v>2020</v>
      </c>
      <c r="E312" s="24" t="str">
        <f t="shared" si="21"/>
        <v>Q4</v>
      </c>
      <c r="F312" s="24" t="str">
        <f t="shared" si="22"/>
        <v>Nov</v>
      </c>
      <c r="G312" s="24">
        <f t="shared" si="23"/>
        <v>11</v>
      </c>
      <c r="H312" s="19">
        <v>1400</v>
      </c>
      <c r="I312" s="19" t="s">
        <v>7</v>
      </c>
      <c r="J312" s="19" t="s">
        <v>1</v>
      </c>
      <c r="K312" s="20">
        <v>5</v>
      </c>
      <c r="L312" s="21">
        <v>151.93</v>
      </c>
      <c r="M312" s="22">
        <v>0.17</v>
      </c>
      <c r="N312" s="21">
        <f t="shared" si="24"/>
        <v>126.1019</v>
      </c>
      <c r="O312" s="21">
        <v>630.51</v>
      </c>
      <c r="P312" s="19" t="s">
        <v>2</v>
      </c>
      <c r="Q312" s="23">
        <v>9</v>
      </c>
      <c r="R312" s="45">
        <v>2.6</v>
      </c>
    </row>
    <row r="313" spans="2:18" x14ac:dyDescent="0.2">
      <c r="B313" s="25">
        <v>310</v>
      </c>
      <c r="C313" s="18">
        <v>44140</v>
      </c>
      <c r="D313" s="24">
        <f t="shared" si="20"/>
        <v>2020</v>
      </c>
      <c r="E313" s="24" t="str">
        <f t="shared" si="21"/>
        <v>Q4</v>
      </c>
      <c r="F313" s="24" t="str">
        <f t="shared" si="22"/>
        <v>Nov</v>
      </c>
      <c r="G313" s="24">
        <f t="shared" si="23"/>
        <v>11</v>
      </c>
      <c r="H313" s="19">
        <v>1766</v>
      </c>
      <c r="I313" s="19" t="s">
        <v>3</v>
      </c>
      <c r="J313" s="19" t="s">
        <v>8</v>
      </c>
      <c r="K313" s="20">
        <v>1</v>
      </c>
      <c r="L313" s="21">
        <v>255.94</v>
      </c>
      <c r="M313" s="22">
        <v>0.26</v>
      </c>
      <c r="N313" s="21">
        <f t="shared" si="24"/>
        <v>189.3956</v>
      </c>
      <c r="O313" s="21">
        <v>189.4</v>
      </c>
      <c r="P313" s="19" t="s">
        <v>4</v>
      </c>
      <c r="Q313" s="23">
        <v>11</v>
      </c>
      <c r="R313" s="45">
        <v>1.3</v>
      </c>
    </row>
    <row r="314" spans="2:18" x14ac:dyDescent="0.2">
      <c r="B314" s="25">
        <v>311</v>
      </c>
      <c r="C314" s="18">
        <v>44141</v>
      </c>
      <c r="D314" s="24">
        <f t="shared" si="20"/>
        <v>2020</v>
      </c>
      <c r="E314" s="24" t="str">
        <f t="shared" si="21"/>
        <v>Q4</v>
      </c>
      <c r="F314" s="24" t="str">
        <f t="shared" si="22"/>
        <v>Nov</v>
      </c>
      <c r="G314" s="24">
        <f t="shared" si="23"/>
        <v>11</v>
      </c>
      <c r="H314" s="19">
        <v>1293</v>
      </c>
      <c r="I314" s="19" t="s">
        <v>7</v>
      </c>
      <c r="J314" s="19" t="s">
        <v>9</v>
      </c>
      <c r="K314" s="20">
        <v>2</v>
      </c>
      <c r="L314" s="21">
        <v>433.91</v>
      </c>
      <c r="M314" s="22">
        <v>0.27</v>
      </c>
      <c r="N314" s="21">
        <f t="shared" si="24"/>
        <v>316.7543</v>
      </c>
      <c r="O314" s="21">
        <v>633.51</v>
      </c>
      <c r="P314" s="19" t="s">
        <v>4</v>
      </c>
      <c r="Q314" s="23">
        <v>4</v>
      </c>
      <c r="R314" s="45">
        <v>1.9</v>
      </c>
    </row>
    <row r="315" spans="2:18" x14ac:dyDescent="0.2">
      <c r="B315" s="25">
        <v>312</v>
      </c>
      <c r="C315" s="18">
        <v>44142</v>
      </c>
      <c r="D315" s="24">
        <f t="shared" si="20"/>
        <v>2020</v>
      </c>
      <c r="E315" s="24" t="str">
        <f t="shared" si="21"/>
        <v>Q4</v>
      </c>
      <c r="F315" s="24" t="str">
        <f t="shared" si="22"/>
        <v>Nov</v>
      </c>
      <c r="G315" s="24">
        <f t="shared" si="23"/>
        <v>11</v>
      </c>
      <c r="H315" s="19">
        <v>1279</v>
      </c>
      <c r="I315" s="19" t="s">
        <v>7</v>
      </c>
      <c r="J315" s="19" t="s">
        <v>1</v>
      </c>
      <c r="K315" s="20">
        <v>2</v>
      </c>
      <c r="L315" s="21">
        <v>79.02</v>
      </c>
      <c r="M315" s="22">
        <v>0.27</v>
      </c>
      <c r="N315" s="21">
        <f t="shared" si="24"/>
        <v>57.684599999999996</v>
      </c>
      <c r="O315" s="21">
        <v>115.37</v>
      </c>
      <c r="P315" s="19" t="s">
        <v>4</v>
      </c>
      <c r="Q315" s="23">
        <v>7</v>
      </c>
      <c r="R315" s="45">
        <v>2.2000000000000002</v>
      </c>
    </row>
    <row r="316" spans="2:18" x14ac:dyDescent="0.2">
      <c r="B316" s="25">
        <v>313</v>
      </c>
      <c r="C316" s="18">
        <v>44143</v>
      </c>
      <c r="D316" s="24">
        <f t="shared" si="20"/>
        <v>2020</v>
      </c>
      <c r="E316" s="24" t="str">
        <f t="shared" si="21"/>
        <v>Q4</v>
      </c>
      <c r="F316" s="24" t="str">
        <f t="shared" si="22"/>
        <v>Nov</v>
      </c>
      <c r="G316" s="24">
        <f t="shared" si="23"/>
        <v>11</v>
      </c>
      <c r="H316" s="19">
        <v>1836</v>
      </c>
      <c r="I316" s="19" t="s">
        <v>0</v>
      </c>
      <c r="J316" s="19" t="s">
        <v>8</v>
      </c>
      <c r="K316" s="20">
        <v>5</v>
      </c>
      <c r="L316" s="21">
        <v>173.22</v>
      </c>
      <c r="M316" s="22">
        <v>0.08</v>
      </c>
      <c r="N316" s="21">
        <f t="shared" si="24"/>
        <v>159.36240000000001</v>
      </c>
      <c r="O316" s="21">
        <v>796.81</v>
      </c>
      <c r="P316" s="19" t="s">
        <v>4</v>
      </c>
      <c r="Q316" s="23">
        <v>1</v>
      </c>
      <c r="R316" s="45">
        <v>4.0999999999999996</v>
      </c>
    </row>
    <row r="317" spans="2:18" x14ac:dyDescent="0.2">
      <c r="B317" s="25">
        <v>314</v>
      </c>
      <c r="C317" s="18">
        <v>44144</v>
      </c>
      <c r="D317" s="24">
        <f t="shared" si="20"/>
        <v>2020</v>
      </c>
      <c r="E317" s="24" t="str">
        <f t="shared" si="21"/>
        <v>Q4</v>
      </c>
      <c r="F317" s="24" t="str">
        <f t="shared" si="22"/>
        <v>Nov</v>
      </c>
      <c r="G317" s="24">
        <f t="shared" si="23"/>
        <v>11</v>
      </c>
      <c r="H317" s="19">
        <v>1883</v>
      </c>
      <c r="I317" s="19" t="s">
        <v>7</v>
      </c>
      <c r="J317" s="19" t="s">
        <v>1</v>
      </c>
      <c r="K317" s="20">
        <v>1</v>
      </c>
      <c r="L317" s="21">
        <v>42.28</v>
      </c>
      <c r="M317" s="22">
        <v>7.0000000000000007E-2</v>
      </c>
      <c r="N317" s="21">
        <f t="shared" si="24"/>
        <v>39.320399999999999</v>
      </c>
      <c r="O317" s="21">
        <v>39.32</v>
      </c>
      <c r="P317" s="19" t="s">
        <v>6</v>
      </c>
      <c r="Q317" s="23">
        <v>7</v>
      </c>
      <c r="R317" s="45">
        <v>1.1000000000000001</v>
      </c>
    </row>
    <row r="318" spans="2:18" x14ac:dyDescent="0.2">
      <c r="B318" s="25">
        <v>315</v>
      </c>
      <c r="C318" s="18">
        <v>44145</v>
      </c>
      <c r="D318" s="24">
        <f t="shared" si="20"/>
        <v>2020</v>
      </c>
      <c r="E318" s="24" t="str">
        <f t="shared" si="21"/>
        <v>Q4</v>
      </c>
      <c r="F318" s="24" t="str">
        <f t="shared" si="22"/>
        <v>Nov</v>
      </c>
      <c r="G318" s="24">
        <f t="shared" si="23"/>
        <v>11</v>
      </c>
      <c r="H318" s="19">
        <v>1609</v>
      </c>
      <c r="I318" s="19" t="s">
        <v>7</v>
      </c>
      <c r="J318" s="19" t="s">
        <v>8</v>
      </c>
      <c r="K318" s="20">
        <v>5</v>
      </c>
      <c r="L318" s="21">
        <v>267.92</v>
      </c>
      <c r="M318" s="22">
        <v>0.21</v>
      </c>
      <c r="N318" s="21">
        <f t="shared" si="24"/>
        <v>211.6568</v>
      </c>
      <c r="O318" s="21">
        <v>1058.28</v>
      </c>
      <c r="P318" s="19" t="s">
        <v>4</v>
      </c>
      <c r="Q318" s="23">
        <v>2</v>
      </c>
      <c r="R318" s="45">
        <v>2.9</v>
      </c>
    </row>
    <row r="319" spans="2:18" x14ac:dyDescent="0.2">
      <c r="B319" s="25">
        <v>316</v>
      </c>
      <c r="C319" s="18">
        <v>44146</v>
      </c>
      <c r="D319" s="24">
        <f t="shared" si="20"/>
        <v>2020</v>
      </c>
      <c r="E319" s="24" t="str">
        <f t="shared" si="21"/>
        <v>Q4</v>
      </c>
      <c r="F319" s="24" t="str">
        <f t="shared" si="22"/>
        <v>Nov</v>
      </c>
      <c r="G319" s="24">
        <f t="shared" si="23"/>
        <v>11</v>
      </c>
      <c r="H319" s="19">
        <v>1197</v>
      </c>
      <c r="I319" s="19" t="s">
        <v>7</v>
      </c>
      <c r="J319" s="19" t="s">
        <v>5</v>
      </c>
      <c r="K319" s="20">
        <v>4</v>
      </c>
      <c r="L319" s="21">
        <v>499.06</v>
      </c>
      <c r="M319" s="22">
        <v>0.26</v>
      </c>
      <c r="N319" s="21">
        <f t="shared" si="24"/>
        <v>369.30439999999999</v>
      </c>
      <c r="O319" s="21">
        <v>1477.22</v>
      </c>
      <c r="P319" s="19" t="s">
        <v>6</v>
      </c>
      <c r="Q319" s="23">
        <v>11</v>
      </c>
      <c r="R319" s="45">
        <v>2.6</v>
      </c>
    </row>
    <row r="320" spans="2:18" x14ac:dyDescent="0.2">
      <c r="B320" s="25">
        <v>317</v>
      </c>
      <c r="C320" s="18">
        <v>44147</v>
      </c>
      <c r="D320" s="24">
        <f t="shared" si="20"/>
        <v>2020</v>
      </c>
      <c r="E320" s="24" t="str">
        <f t="shared" si="21"/>
        <v>Q4</v>
      </c>
      <c r="F320" s="24" t="str">
        <f t="shared" si="22"/>
        <v>Nov</v>
      </c>
      <c r="G320" s="24">
        <f t="shared" si="23"/>
        <v>11</v>
      </c>
      <c r="H320" s="19">
        <v>1981</v>
      </c>
      <c r="I320" s="19" t="s">
        <v>0</v>
      </c>
      <c r="J320" s="19" t="s">
        <v>5</v>
      </c>
      <c r="K320" s="20">
        <v>2</v>
      </c>
      <c r="L320" s="21">
        <v>29.43</v>
      </c>
      <c r="M320" s="22">
        <v>0.11</v>
      </c>
      <c r="N320" s="21">
        <f t="shared" si="24"/>
        <v>26.192699999999999</v>
      </c>
      <c r="O320" s="21">
        <v>52.39</v>
      </c>
      <c r="P320" s="19" t="s">
        <v>4</v>
      </c>
      <c r="Q320" s="23">
        <v>8</v>
      </c>
      <c r="R320" s="45">
        <v>4.9000000000000004</v>
      </c>
    </row>
    <row r="321" spans="2:18" x14ac:dyDescent="0.2">
      <c r="B321" s="25">
        <v>318</v>
      </c>
      <c r="C321" s="18">
        <v>44148</v>
      </c>
      <c r="D321" s="24">
        <f t="shared" si="20"/>
        <v>2020</v>
      </c>
      <c r="E321" s="24" t="str">
        <f t="shared" si="21"/>
        <v>Q4</v>
      </c>
      <c r="F321" s="24" t="str">
        <f t="shared" si="22"/>
        <v>Nov</v>
      </c>
      <c r="G321" s="24">
        <f t="shared" si="23"/>
        <v>11</v>
      </c>
      <c r="H321" s="19">
        <v>1906</v>
      </c>
      <c r="I321" s="19" t="s">
        <v>3</v>
      </c>
      <c r="J321" s="19" t="s">
        <v>9</v>
      </c>
      <c r="K321" s="20">
        <v>2</v>
      </c>
      <c r="L321" s="21">
        <v>410.06</v>
      </c>
      <c r="M321" s="22">
        <v>0.04</v>
      </c>
      <c r="N321" s="21">
        <f t="shared" si="24"/>
        <v>393.6576</v>
      </c>
      <c r="O321" s="21">
        <v>787.32</v>
      </c>
      <c r="P321" s="19" t="s">
        <v>2</v>
      </c>
      <c r="Q321" s="23">
        <v>1</v>
      </c>
      <c r="R321" s="45">
        <v>1.7</v>
      </c>
    </row>
    <row r="322" spans="2:18" x14ac:dyDescent="0.2">
      <c r="B322" s="25">
        <v>319</v>
      </c>
      <c r="C322" s="18">
        <v>44149</v>
      </c>
      <c r="D322" s="24">
        <f t="shared" si="20"/>
        <v>2020</v>
      </c>
      <c r="E322" s="24" t="str">
        <f t="shared" si="21"/>
        <v>Q4</v>
      </c>
      <c r="F322" s="24" t="str">
        <f t="shared" si="22"/>
        <v>Nov</v>
      </c>
      <c r="G322" s="24">
        <f t="shared" si="23"/>
        <v>11</v>
      </c>
      <c r="H322" s="19">
        <v>1510</v>
      </c>
      <c r="I322" s="19" t="s">
        <v>3</v>
      </c>
      <c r="J322" s="19" t="s">
        <v>5</v>
      </c>
      <c r="K322" s="20">
        <v>4</v>
      </c>
      <c r="L322" s="21">
        <v>560.51</v>
      </c>
      <c r="M322" s="22">
        <v>0.25</v>
      </c>
      <c r="N322" s="21">
        <f t="shared" si="24"/>
        <v>420.38249999999999</v>
      </c>
      <c r="O322" s="21">
        <v>1681.53</v>
      </c>
      <c r="P322" s="19" t="s">
        <v>4</v>
      </c>
      <c r="Q322" s="23">
        <v>10</v>
      </c>
      <c r="R322" s="45">
        <v>3.5</v>
      </c>
    </row>
    <row r="323" spans="2:18" x14ac:dyDescent="0.2">
      <c r="B323" s="25">
        <v>320</v>
      </c>
      <c r="C323" s="18">
        <v>44150</v>
      </c>
      <c r="D323" s="24">
        <f t="shared" si="20"/>
        <v>2020</v>
      </c>
      <c r="E323" s="24" t="str">
        <f t="shared" si="21"/>
        <v>Q4</v>
      </c>
      <c r="F323" s="24" t="str">
        <f t="shared" si="22"/>
        <v>Nov</v>
      </c>
      <c r="G323" s="24">
        <f t="shared" si="23"/>
        <v>11</v>
      </c>
      <c r="H323" s="19">
        <v>1751</v>
      </c>
      <c r="I323" s="19" t="s">
        <v>10</v>
      </c>
      <c r="J323" s="19" t="s">
        <v>5</v>
      </c>
      <c r="K323" s="20">
        <v>1</v>
      </c>
      <c r="L323" s="21">
        <v>153.6</v>
      </c>
      <c r="M323" s="22">
        <v>0.1</v>
      </c>
      <c r="N323" s="21">
        <f t="shared" si="24"/>
        <v>138.24</v>
      </c>
      <c r="O323" s="21">
        <v>138.24</v>
      </c>
      <c r="P323" s="19" t="s">
        <v>6</v>
      </c>
      <c r="Q323" s="23">
        <v>3</v>
      </c>
      <c r="R323" s="45">
        <v>1.8</v>
      </c>
    </row>
    <row r="324" spans="2:18" x14ac:dyDescent="0.2">
      <c r="B324" s="25">
        <v>321</v>
      </c>
      <c r="C324" s="18">
        <v>44151</v>
      </c>
      <c r="D324" s="24">
        <f t="shared" ref="D324:D387" si="25">YEAR(C324)</f>
        <v>2020</v>
      </c>
      <c r="E324" s="24" t="str">
        <f t="shared" ref="E324:E387" si="26">"Q"&amp;ROUNDUP(MONTH(C324)/3,0)</f>
        <v>Q4</v>
      </c>
      <c r="F324" s="24" t="str">
        <f t="shared" ref="F324:F387" si="27">TEXT(C324,"mmm")</f>
        <v>Nov</v>
      </c>
      <c r="G324" s="24">
        <f t="shared" ref="G324:G387" si="28">MONTH(C324)</f>
        <v>11</v>
      </c>
      <c r="H324" s="19">
        <v>1143</v>
      </c>
      <c r="I324" s="19" t="s">
        <v>10</v>
      </c>
      <c r="J324" s="19" t="s">
        <v>5</v>
      </c>
      <c r="K324" s="20">
        <v>2</v>
      </c>
      <c r="L324" s="21">
        <v>420.78</v>
      </c>
      <c r="M324" s="22">
        <v>0.06</v>
      </c>
      <c r="N324" s="21">
        <f t="shared" si="24"/>
        <v>395.53319999999997</v>
      </c>
      <c r="O324" s="21">
        <v>791.07</v>
      </c>
      <c r="P324" s="19" t="s">
        <v>6</v>
      </c>
      <c r="Q324" s="23">
        <v>8</v>
      </c>
      <c r="R324" s="45">
        <v>3.2</v>
      </c>
    </row>
    <row r="325" spans="2:18" x14ac:dyDescent="0.2">
      <c r="B325" s="25">
        <v>322</v>
      </c>
      <c r="C325" s="18">
        <v>44152</v>
      </c>
      <c r="D325" s="24">
        <f t="shared" si="25"/>
        <v>2020</v>
      </c>
      <c r="E325" s="24" t="str">
        <f t="shared" si="26"/>
        <v>Q4</v>
      </c>
      <c r="F325" s="24" t="str">
        <f t="shared" si="27"/>
        <v>Nov</v>
      </c>
      <c r="G325" s="24">
        <f t="shared" si="28"/>
        <v>11</v>
      </c>
      <c r="H325" s="19">
        <v>1608</v>
      </c>
      <c r="I325" s="19" t="s">
        <v>7</v>
      </c>
      <c r="J325" s="19" t="s">
        <v>8</v>
      </c>
      <c r="K325" s="20">
        <v>7</v>
      </c>
      <c r="L325" s="21">
        <v>585.42999999999995</v>
      </c>
      <c r="M325" s="22">
        <v>0.05</v>
      </c>
      <c r="N325" s="21">
        <f t="shared" ref="N325:N388" si="29">L325-(L325*M325)</f>
        <v>556.1585</v>
      </c>
      <c r="O325" s="21">
        <v>3893.11</v>
      </c>
      <c r="P325" s="19" t="s">
        <v>4</v>
      </c>
      <c r="Q325" s="23">
        <v>10</v>
      </c>
      <c r="R325" s="45">
        <v>3.2</v>
      </c>
    </row>
    <row r="326" spans="2:18" x14ac:dyDescent="0.2">
      <c r="B326" s="25">
        <v>323</v>
      </c>
      <c r="C326" s="18">
        <v>44153</v>
      </c>
      <c r="D326" s="24">
        <f t="shared" si="25"/>
        <v>2020</v>
      </c>
      <c r="E326" s="24" t="str">
        <f t="shared" si="26"/>
        <v>Q4</v>
      </c>
      <c r="F326" s="24" t="str">
        <f t="shared" si="27"/>
        <v>Nov</v>
      </c>
      <c r="G326" s="24">
        <f t="shared" si="28"/>
        <v>11</v>
      </c>
      <c r="H326" s="19">
        <v>1200</v>
      </c>
      <c r="I326" s="19" t="s">
        <v>10</v>
      </c>
      <c r="J326" s="19" t="s">
        <v>8</v>
      </c>
      <c r="K326" s="20">
        <v>6</v>
      </c>
      <c r="L326" s="21">
        <v>577.92999999999995</v>
      </c>
      <c r="M326" s="22">
        <v>0.11</v>
      </c>
      <c r="N326" s="21">
        <f t="shared" si="29"/>
        <v>514.35769999999991</v>
      </c>
      <c r="O326" s="21">
        <v>3086.15</v>
      </c>
      <c r="P326" s="19" t="s">
        <v>6</v>
      </c>
      <c r="Q326" s="23">
        <v>8</v>
      </c>
      <c r="R326" s="45">
        <v>1.3</v>
      </c>
    </row>
    <row r="327" spans="2:18" x14ac:dyDescent="0.2">
      <c r="B327" s="25">
        <v>324</v>
      </c>
      <c r="C327" s="18">
        <v>44154</v>
      </c>
      <c r="D327" s="24">
        <f t="shared" si="25"/>
        <v>2020</v>
      </c>
      <c r="E327" s="24" t="str">
        <f t="shared" si="26"/>
        <v>Q4</v>
      </c>
      <c r="F327" s="24" t="str">
        <f t="shared" si="27"/>
        <v>Nov</v>
      </c>
      <c r="G327" s="24">
        <f t="shared" si="28"/>
        <v>11</v>
      </c>
      <c r="H327" s="19">
        <v>1123</v>
      </c>
      <c r="I327" s="19" t="s">
        <v>10</v>
      </c>
      <c r="J327" s="19" t="s">
        <v>1</v>
      </c>
      <c r="K327" s="20">
        <v>6</v>
      </c>
      <c r="L327" s="21">
        <v>152.43</v>
      </c>
      <c r="M327" s="22">
        <v>0.21</v>
      </c>
      <c r="N327" s="21">
        <f t="shared" si="29"/>
        <v>120.41970000000001</v>
      </c>
      <c r="O327" s="21">
        <v>722.52</v>
      </c>
      <c r="P327" s="19" t="s">
        <v>6</v>
      </c>
      <c r="Q327" s="23">
        <v>11</v>
      </c>
      <c r="R327" s="45">
        <v>2.8</v>
      </c>
    </row>
    <row r="328" spans="2:18" x14ac:dyDescent="0.2">
      <c r="B328" s="25">
        <v>325</v>
      </c>
      <c r="C328" s="18">
        <v>44155</v>
      </c>
      <c r="D328" s="24">
        <f t="shared" si="25"/>
        <v>2020</v>
      </c>
      <c r="E328" s="24" t="str">
        <f t="shared" si="26"/>
        <v>Q4</v>
      </c>
      <c r="F328" s="24" t="str">
        <f t="shared" si="27"/>
        <v>Nov</v>
      </c>
      <c r="G328" s="24">
        <f t="shared" si="28"/>
        <v>11</v>
      </c>
      <c r="H328" s="19">
        <v>1186</v>
      </c>
      <c r="I328" s="19" t="s">
        <v>10</v>
      </c>
      <c r="J328" s="19" t="s">
        <v>8</v>
      </c>
      <c r="K328" s="20">
        <v>6</v>
      </c>
      <c r="L328" s="21">
        <v>73.69</v>
      </c>
      <c r="M328" s="22">
        <v>0.13</v>
      </c>
      <c r="N328" s="21">
        <f t="shared" si="29"/>
        <v>64.110299999999995</v>
      </c>
      <c r="O328" s="21">
        <v>384.66</v>
      </c>
      <c r="P328" s="19" t="s">
        <v>4</v>
      </c>
      <c r="Q328" s="23">
        <v>5</v>
      </c>
      <c r="R328" s="45">
        <v>2.8</v>
      </c>
    </row>
    <row r="329" spans="2:18" x14ac:dyDescent="0.2">
      <c r="B329" s="25">
        <v>326</v>
      </c>
      <c r="C329" s="18">
        <v>44156</v>
      </c>
      <c r="D329" s="24">
        <f t="shared" si="25"/>
        <v>2020</v>
      </c>
      <c r="E329" s="24" t="str">
        <f t="shared" si="26"/>
        <v>Q4</v>
      </c>
      <c r="F329" s="24" t="str">
        <f t="shared" si="27"/>
        <v>Nov</v>
      </c>
      <c r="G329" s="24">
        <f t="shared" si="28"/>
        <v>11</v>
      </c>
      <c r="H329" s="19">
        <v>1325</v>
      </c>
      <c r="I329" s="19" t="s">
        <v>7</v>
      </c>
      <c r="J329" s="19" t="s">
        <v>5</v>
      </c>
      <c r="K329" s="20">
        <v>3</v>
      </c>
      <c r="L329" s="21">
        <v>101.75</v>
      </c>
      <c r="M329" s="22">
        <v>0.01</v>
      </c>
      <c r="N329" s="21">
        <f t="shared" si="29"/>
        <v>100.7325</v>
      </c>
      <c r="O329" s="21">
        <v>302.2</v>
      </c>
      <c r="P329" s="19" t="s">
        <v>6</v>
      </c>
      <c r="Q329" s="23">
        <v>5</v>
      </c>
      <c r="R329" s="45">
        <v>2.2999999999999998</v>
      </c>
    </row>
    <row r="330" spans="2:18" x14ac:dyDescent="0.2">
      <c r="B330" s="25">
        <v>327</v>
      </c>
      <c r="C330" s="18">
        <v>44157</v>
      </c>
      <c r="D330" s="24">
        <f t="shared" si="25"/>
        <v>2020</v>
      </c>
      <c r="E330" s="24" t="str">
        <f t="shared" si="26"/>
        <v>Q4</v>
      </c>
      <c r="F330" s="24" t="str">
        <f t="shared" si="27"/>
        <v>Nov</v>
      </c>
      <c r="G330" s="24">
        <f t="shared" si="28"/>
        <v>11</v>
      </c>
      <c r="H330" s="19">
        <v>1463</v>
      </c>
      <c r="I330" s="19" t="s">
        <v>0</v>
      </c>
      <c r="J330" s="19" t="s">
        <v>8</v>
      </c>
      <c r="K330" s="20">
        <v>7</v>
      </c>
      <c r="L330" s="21">
        <v>425.69</v>
      </c>
      <c r="M330" s="22">
        <v>0.03</v>
      </c>
      <c r="N330" s="21">
        <f t="shared" si="29"/>
        <v>412.91930000000002</v>
      </c>
      <c r="O330" s="21">
        <v>2890.44</v>
      </c>
      <c r="P330" s="19" t="s">
        <v>2</v>
      </c>
      <c r="Q330" s="23">
        <v>8</v>
      </c>
      <c r="R330" s="45">
        <v>2.1</v>
      </c>
    </row>
    <row r="331" spans="2:18" x14ac:dyDescent="0.2">
      <c r="B331" s="25">
        <v>328</v>
      </c>
      <c r="C331" s="18">
        <v>44158</v>
      </c>
      <c r="D331" s="24">
        <f t="shared" si="25"/>
        <v>2020</v>
      </c>
      <c r="E331" s="24" t="str">
        <f t="shared" si="26"/>
        <v>Q4</v>
      </c>
      <c r="F331" s="24" t="str">
        <f t="shared" si="27"/>
        <v>Nov</v>
      </c>
      <c r="G331" s="24">
        <f t="shared" si="28"/>
        <v>11</v>
      </c>
      <c r="H331" s="19">
        <v>1348</v>
      </c>
      <c r="I331" s="19" t="s">
        <v>3</v>
      </c>
      <c r="J331" s="19" t="s">
        <v>9</v>
      </c>
      <c r="K331" s="20">
        <v>3</v>
      </c>
      <c r="L331" s="21">
        <v>439.57</v>
      </c>
      <c r="M331" s="22">
        <v>0.1</v>
      </c>
      <c r="N331" s="21">
        <f t="shared" si="29"/>
        <v>395.613</v>
      </c>
      <c r="O331" s="21">
        <v>1186.8399999999999</v>
      </c>
      <c r="P331" s="19" t="s">
        <v>6</v>
      </c>
      <c r="Q331" s="23">
        <v>10</v>
      </c>
      <c r="R331" s="45">
        <v>1.9</v>
      </c>
    </row>
    <row r="332" spans="2:18" x14ac:dyDescent="0.2">
      <c r="B332" s="25">
        <v>329</v>
      </c>
      <c r="C332" s="18">
        <v>44159</v>
      </c>
      <c r="D332" s="24">
        <f t="shared" si="25"/>
        <v>2020</v>
      </c>
      <c r="E332" s="24" t="str">
        <f t="shared" si="26"/>
        <v>Q4</v>
      </c>
      <c r="F332" s="24" t="str">
        <f t="shared" si="27"/>
        <v>Nov</v>
      </c>
      <c r="G332" s="24">
        <f t="shared" si="28"/>
        <v>11</v>
      </c>
      <c r="H332" s="19">
        <v>1770</v>
      </c>
      <c r="I332" s="19" t="s">
        <v>7</v>
      </c>
      <c r="J332" s="19" t="s">
        <v>1</v>
      </c>
      <c r="K332" s="20">
        <v>1</v>
      </c>
      <c r="L332" s="21">
        <v>409.43</v>
      </c>
      <c r="M332" s="22">
        <v>0.23</v>
      </c>
      <c r="N332" s="21">
        <f t="shared" si="29"/>
        <v>315.2611</v>
      </c>
      <c r="O332" s="21">
        <v>315.26</v>
      </c>
      <c r="P332" s="19" t="s">
        <v>2</v>
      </c>
      <c r="Q332" s="23">
        <v>5</v>
      </c>
      <c r="R332" s="45">
        <v>1</v>
      </c>
    </row>
    <row r="333" spans="2:18" x14ac:dyDescent="0.2">
      <c r="B333" s="25">
        <v>330</v>
      </c>
      <c r="C333" s="18">
        <v>44160</v>
      </c>
      <c r="D333" s="24">
        <f t="shared" si="25"/>
        <v>2020</v>
      </c>
      <c r="E333" s="24" t="str">
        <f t="shared" si="26"/>
        <v>Q4</v>
      </c>
      <c r="F333" s="24" t="str">
        <f t="shared" si="27"/>
        <v>Nov</v>
      </c>
      <c r="G333" s="24">
        <f t="shared" si="28"/>
        <v>11</v>
      </c>
      <c r="H333" s="19">
        <v>1659</v>
      </c>
      <c r="I333" s="19" t="s">
        <v>3</v>
      </c>
      <c r="J333" s="19" t="s">
        <v>1</v>
      </c>
      <c r="K333" s="20">
        <v>4</v>
      </c>
      <c r="L333" s="21">
        <v>211.61</v>
      </c>
      <c r="M333" s="22">
        <v>0.03</v>
      </c>
      <c r="N333" s="21">
        <f t="shared" si="29"/>
        <v>205.26170000000002</v>
      </c>
      <c r="O333" s="21">
        <v>821.05</v>
      </c>
      <c r="P333" s="19" t="s">
        <v>4</v>
      </c>
      <c r="Q333" s="23">
        <v>9</v>
      </c>
      <c r="R333" s="45">
        <v>1</v>
      </c>
    </row>
    <row r="334" spans="2:18" x14ac:dyDescent="0.2">
      <c r="B334" s="25">
        <v>331</v>
      </c>
      <c r="C334" s="18">
        <v>44161</v>
      </c>
      <c r="D334" s="24">
        <f t="shared" si="25"/>
        <v>2020</v>
      </c>
      <c r="E334" s="24" t="str">
        <f t="shared" si="26"/>
        <v>Q4</v>
      </c>
      <c r="F334" s="24" t="str">
        <f t="shared" si="27"/>
        <v>Nov</v>
      </c>
      <c r="G334" s="24">
        <f t="shared" si="28"/>
        <v>11</v>
      </c>
      <c r="H334" s="19">
        <v>1763</v>
      </c>
      <c r="I334" s="19" t="s">
        <v>7</v>
      </c>
      <c r="J334" s="19" t="s">
        <v>8</v>
      </c>
      <c r="K334" s="20">
        <v>5</v>
      </c>
      <c r="L334" s="21">
        <v>114.32</v>
      </c>
      <c r="M334" s="22">
        <v>0.2</v>
      </c>
      <c r="N334" s="21">
        <f t="shared" si="29"/>
        <v>91.455999999999989</v>
      </c>
      <c r="O334" s="21">
        <v>457.28</v>
      </c>
      <c r="P334" s="19" t="s">
        <v>6</v>
      </c>
      <c r="Q334" s="23">
        <v>1</v>
      </c>
      <c r="R334" s="45">
        <v>3.4</v>
      </c>
    </row>
    <row r="335" spans="2:18" x14ac:dyDescent="0.2">
      <c r="B335" s="25">
        <v>332</v>
      </c>
      <c r="C335" s="18">
        <v>44162</v>
      </c>
      <c r="D335" s="24">
        <f t="shared" si="25"/>
        <v>2020</v>
      </c>
      <c r="E335" s="24" t="str">
        <f t="shared" si="26"/>
        <v>Q4</v>
      </c>
      <c r="F335" s="24" t="str">
        <f t="shared" si="27"/>
        <v>Nov</v>
      </c>
      <c r="G335" s="24">
        <f t="shared" si="28"/>
        <v>11</v>
      </c>
      <c r="H335" s="19">
        <v>1954</v>
      </c>
      <c r="I335" s="19" t="s">
        <v>7</v>
      </c>
      <c r="J335" s="19" t="s">
        <v>5</v>
      </c>
      <c r="K335" s="20">
        <v>7</v>
      </c>
      <c r="L335" s="21">
        <v>354.75</v>
      </c>
      <c r="M335" s="22">
        <v>0.04</v>
      </c>
      <c r="N335" s="21">
        <f t="shared" si="29"/>
        <v>340.56</v>
      </c>
      <c r="O335" s="21">
        <v>2383.92</v>
      </c>
      <c r="P335" s="19" t="s">
        <v>2</v>
      </c>
      <c r="Q335" s="23">
        <v>5</v>
      </c>
      <c r="R335" s="45">
        <v>2.2000000000000002</v>
      </c>
    </row>
    <row r="336" spans="2:18" x14ac:dyDescent="0.2">
      <c r="B336" s="25">
        <v>333</v>
      </c>
      <c r="C336" s="18">
        <v>44163</v>
      </c>
      <c r="D336" s="24">
        <f t="shared" si="25"/>
        <v>2020</v>
      </c>
      <c r="E336" s="24" t="str">
        <f t="shared" si="26"/>
        <v>Q4</v>
      </c>
      <c r="F336" s="24" t="str">
        <f t="shared" si="27"/>
        <v>Nov</v>
      </c>
      <c r="G336" s="24">
        <f t="shared" si="28"/>
        <v>11</v>
      </c>
      <c r="H336" s="19">
        <v>1931</v>
      </c>
      <c r="I336" s="19" t="s">
        <v>10</v>
      </c>
      <c r="J336" s="19" t="s">
        <v>1</v>
      </c>
      <c r="K336" s="20">
        <v>1</v>
      </c>
      <c r="L336" s="21">
        <v>297.95</v>
      </c>
      <c r="M336" s="22">
        <v>7.0000000000000007E-2</v>
      </c>
      <c r="N336" s="21">
        <f t="shared" si="29"/>
        <v>277.09350000000001</v>
      </c>
      <c r="O336" s="21">
        <v>277.08999999999997</v>
      </c>
      <c r="P336" s="19" t="s">
        <v>4</v>
      </c>
      <c r="Q336" s="23">
        <v>3</v>
      </c>
      <c r="R336" s="45">
        <v>1.7</v>
      </c>
    </row>
    <row r="337" spans="2:18" x14ac:dyDescent="0.2">
      <c r="B337" s="25">
        <v>334</v>
      </c>
      <c r="C337" s="18">
        <v>44164</v>
      </c>
      <c r="D337" s="24">
        <f t="shared" si="25"/>
        <v>2020</v>
      </c>
      <c r="E337" s="24" t="str">
        <f t="shared" si="26"/>
        <v>Q4</v>
      </c>
      <c r="F337" s="24" t="str">
        <f t="shared" si="27"/>
        <v>Nov</v>
      </c>
      <c r="G337" s="24">
        <f t="shared" si="28"/>
        <v>11</v>
      </c>
      <c r="H337" s="19">
        <v>1402</v>
      </c>
      <c r="I337" s="19" t="s">
        <v>7</v>
      </c>
      <c r="J337" s="19" t="s">
        <v>9</v>
      </c>
      <c r="K337" s="20">
        <v>5</v>
      </c>
      <c r="L337" s="21">
        <v>441.37</v>
      </c>
      <c r="M337" s="22">
        <v>0.06</v>
      </c>
      <c r="N337" s="21">
        <f t="shared" si="29"/>
        <v>414.88780000000003</v>
      </c>
      <c r="O337" s="21">
        <v>2074.44</v>
      </c>
      <c r="P337" s="19" t="s">
        <v>2</v>
      </c>
      <c r="Q337" s="23">
        <v>3</v>
      </c>
      <c r="R337" s="45">
        <v>3.7</v>
      </c>
    </row>
    <row r="338" spans="2:18" x14ac:dyDescent="0.2">
      <c r="B338" s="25">
        <v>335</v>
      </c>
      <c r="C338" s="18">
        <v>44165</v>
      </c>
      <c r="D338" s="24">
        <f t="shared" si="25"/>
        <v>2020</v>
      </c>
      <c r="E338" s="24" t="str">
        <f t="shared" si="26"/>
        <v>Q4</v>
      </c>
      <c r="F338" s="24" t="str">
        <f t="shared" si="27"/>
        <v>Nov</v>
      </c>
      <c r="G338" s="24">
        <f t="shared" si="28"/>
        <v>11</v>
      </c>
      <c r="H338" s="19">
        <v>1345</v>
      </c>
      <c r="I338" s="19" t="s">
        <v>3</v>
      </c>
      <c r="J338" s="19" t="s">
        <v>9</v>
      </c>
      <c r="K338" s="20">
        <v>1</v>
      </c>
      <c r="L338" s="21">
        <v>273.2</v>
      </c>
      <c r="M338" s="22">
        <v>0.02</v>
      </c>
      <c r="N338" s="21">
        <f t="shared" si="29"/>
        <v>267.73599999999999</v>
      </c>
      <c r="O338" s="21">
        <v>267.74</v>
      </c>
      <c r="P338" s="19" t="s">
        <v>4</v>
      </c>
      <c r="Q338" s="23">
        <v>2</v>
      </c>
      <c r="R338" s="45">
        <v>3.1</v>
      </c>
    </row>
    <row r="339" spans="2:18" x14ac:dyDescent="0.2">
      <c r="B339" s="25">
        <v>336</v>
      </c>
      <c r="C339" s="18">
        <v>44166</v>
      </c>
      <c r="D339" s="24">
        <f t="shared" si="25"/>
        <v>2020</v>
      </c>
      <c r="E339" s="24" t="str">
        <f t="shared" si="26"/>
        <v>Q4</v>
      </c>
      <c r="F339" s="24" t="str">
        <f t="shared" si="27"/>
        <v>Dec</v>
      </c>
      <c r="G339" s="24">
        <f t="shared" si="28"/>
        <v>12</v>
      </c>
      <c r="H339" s="19">
        <v>1962</v>
      </c>
      <c r="I339" s="19" t="s">
        <v>3</v>
      </c>
      <c r="J339" s="19" t="s">
        <v>1</v>
      </c>
      <c r="K339" s="20">
        <v>3</v>
      </c>
      <c r="L339" s="21">
        <v>213.1</v>
      </c>
      <c r="M339" s="22">
        <v>0.23</v>
      </c>
      <c r="N339" s="21">
        <f t="shared" si="29"/>
        <v>164.08699999999999</v>
      </c>
      <c r="O339" s="21">
        <v>492.26</v>
      </c>
      <c r="P339" s="19" t="s">
        <v>2</v>
      </c>
      <c r="Q339" s="23">
        <v>3</v>
      </c>
      <c r="R339" s="45">
        <v>4.7</v>
      </c>
    </row>
    <row r="340" spans="2:18" x14ac:dyDescent="0.2">
      <c r="B340" s="25">
        <v>337</v>
      </c>
      <c r="C340" s="18">
        <v>44167</v>
      </c>
      <c r="D340" s="24">
        <f t="shared" si="25"/>
        <v>2020</v>
      </c>
      <c r="E340" s="24" t="str">
        <f t="shared" si="26"/>
        <v>Q4</v>
      </c>
      <c r="F340" s="24" t="str">
        <f t="shared" si="27"/>
        <v>Dec</v>
      </c>
      <c r="G340" s="24">
        <f t="shared" si="28"/>
        <v>12</v>
      </c>
      <c r="H340" s="19">
        <v>1510</v>
      </c>
      <c r="I340" s="19" t="s">
        <v>7</v>
      </c>
      <c r="J340" s="19" t="s">
        <v>5</v>
      </c>
      <c r="K340" s="20">
        <v>6</v>
      </c>
      <c r="L340" s="21">
        <v>186.68</v>
      </c>
      <c r="M340" s="22">
        <v>0.16</v>
      </c>
      <c r="N340" s="21">
        <f t="shared" si="29"/>
        <v>156.81120000000001</v>
      </c>
      <c r="O340" s="21">
        <v>940.87</v>
      </c>
      <c r="P340" s="19" t="s">
        <v>4</v>
      </c>
      <c r="Q340" s="23">
        <v>7</v>
      </c>
      <c r="R340" s="45">
        <v>4.3</v>
      </c>
    </row>
    <row r="341" spans="2:18" x14ac:dyDescent="0.2">
      <c r="B341" s="25">
        <v>338</v>
      </c>
      <c r="C341" s="18">
        <v>44168</v>
      </c>
      <c r="D341" s="24">
        <f t="shared" si="25"/>
        <v>2020</v>
      </c>
      <c r="E341" s="24" t="str">
        <f t="shared" si="26"/>
        <v>Q4</v>
      </c>
      <c r="F341" s="24" t="str">
        <f t="shared" si="27"/>
        <v>Dec</v>
      </c>
      <c r="G341" s="24">
        <f t="shared" si="28"/>
        <v>12</v>
      </c>
      <c r="H341" s="19">
        <v>1146</v>
      </c>
      <c r="I341" s="19" t="s">
        <v>0</v>
      </c>
      <c r="J341" s="19" t="s">
        <v>5</v>
      </c>
      <c r="K341" s="20">
        <v>4</v>
      </c>
      <c r="L341" s="21">
        <v>138.71</v>
      </c>
      <c r="M341" s="22">
        <v>0.28999999999999998</v>
      </c>
      <c r="N341" s="21">
        <f t="shared" si="29"/>
        <v>98.484100000000012</v>
      </c>
      <c r="O341" s="21">
        <v>393.94</v>
      </c>
      <c r="P341" s="19" t="s">
        <v>4</v>
      </c>
      <c r="Q341" s="23">
        <v>8</v>
      </c>
      <c r="R341" s="45">
        <v>3.9</v>
      </c>
    </row>
    <row r="342" spans="2:18" x14ac:dyDescent="0.2">
      <c r="B342" s="25">
        <v>339</v>
      </c>
      <c r="C342" s="18">
        <v>44169</v>
      </c>
      <c r="D342" s="24">
        <f t="shared" si="25"/>
        <v>2020</v>
      </c>
      <c r="E342" s="24" t="str">
        <f t="shared" si="26"/>
        <v>Q4</v>
      </c>
      <c r="F342" s="24" t="str">
        <f t="shared" si="27"/>
        <v>Dec</v>
      </c>
      <c r="G342" s="24">
        <f t="shared" si="28"/>
        <v>12</v>
      </c>
      <c r="H342" s="19">
        <v>1147</v>
      </c>
      <c r="I342" s="19" t="s">
        <v>7</v>
      </c>
      <c r="J342" s="19" t="s">
        <v>8</v>
      </c>
      <c r="K342" s="20">
        <v>3</v>
      </c>
      <c r="L342" s="21">
        <v>170.46</v>
      </c>
      <c r="M342" s="22">
        <v>0.03</v>
      </c>
      <c r="N342" s="21">
        <f t="shared" si="29"/>
        <v>165.34620000000001</v>
      </c>
      <c r="O342" s="21">
        <v>496.04</v>
      </c>
      <c r="P342" s="19" t="s">
        <v>2</v>
      </c>
      <c r="Q342" s="23">
        <v>8</v>
      </c>
      <c r="R342" s="45">
        <v>1.5</v>
      </c>
    </row>
    <row r="343" spans="2:18" x14ac:dyDescent="0.2">
      <c r="B343" s="25">
        <v>340</v>
      </c>
      <c r="C343" s="18">
        <v>44170</v>
      </c>
      <c r="D343" s="24">
        <f t="shared" si="25"/>
        <v>2020</v>
      </c>
      <c r="E343" s="24" t="str">
        <f t="shared" si="26"/>
        <v>Q4</v>
      </c>
      <c r="F343" s="24" t="str">
        <f t="shared" si="27"/>
        <v>Dec</v>
      </c>
      <c r="G343" s="24">
        <f t="shared" si="28"/>
        <v>12</v>
      </c>
      <c r="H343" s="19">
        <v>1863</v>
      </c>
      <c r="I343" s="19" t="s">
        <v>7</v>
      </c>
      <c r="J343" s="19" t="s">
        <v>8</v>
      </c>
      <c r="K343" s="20">
        <v>4</v>
      </c>
      <c r="L343" s="21">
        <v>70.48</v>
      </c>
      <c r="M343" s="22">
        <v>0.05</v>
      </c>
      <c r="N343" s="21">
        <f t="shared" si="29"/>
        <v>66.956000000000003</v>
      </c>
      <c r="O343" s="21">
        <v>267.82</v>
      </c>
      <c r="P343" s="19" t="s">
        <v>4</v>
      </c>
      <c r="Q343" s="23">
        <v>11</v>
      </c>
      <c r="R343" s="45">
        <v>3.7</v>
      </c>
    </row>
    <row r="344" spans="2:18" x14ac:dyDescent="0.2">
      <c r="B344" s="25">
        <v>341</v>
      </c>
      <c r="C344" s="18">
        <v>44171</v>
      </c>
      <c r="D344" s="24">
        <f t="shared" si="25"/>
        <v>2020</v>
      </c>
      <c r="E344" s="24" t="str">
        <f t="shared" si="26"/>
        <v>Q4</v>
      </c>
      <c r="F344" s="24" t="str">
        <f t="shared" si="27"/>
        <v>Dec</v>
      </c>
      <c r="G344" s="24">
        <f t="shared" si="28"/>
        <v>12</v>
      </c>
      <c r="H344" s="19">
        <v>1710</v>
      </c>
      <c r="I344" s="19" t="s">
        <v>7</v>
      </c>
      <c r="J344" s="19" t="s">
        <v>1</v>
      </c>
      <c r="K344" s="20">
        <v>7</v>
      </c>
      <c r="L344" s="21">
        <v>217.91</v>
      </c>
      <c r="M344" s="22">
        <v>0.11</v>
      </c>
      <c r="N344" s="21">
        <f t="shared" si="29"/>
        <v>193.93989999999999</v>
      </c>
      <c r="O344" s="21">
        <v>1357.58</v>
      </c>
      <c r="P344" s="19" t="s">
        <v>4</v>
      </c>
      <c r="Q344" s="23">
        <v>8</v>
      </c>
      <c r="R344" s="45">
        <v>3.8</v>
      </c>
    </row>
    <row r="345" spans="2:18" x14ac:dyDescent="0.2">
      <c r="B345" s="25">
        <v>342</v>
      </c>
      <c r="C345" s="18">
        <v>44172</v>
      </c>
      <c r="D345" s="24">
        <f t="shared" si="25"/>
        <v>2020</v>
      </c>
      <c r="E345" s="24" t="str">
        <f t="shared" si="26"/>
        <v>Q4</v>
      </c>
      <c r="F345" s="24" t="str">
        <f t="shared" si="27"/>
        <v>Dec</v>
      </c>
      <c r="G345" s="24">
        <f t="shared" si="28"/>
        <v>12</v>
      </c>
      <c r="H345" s="19">
        <v>1819</v>
      </c>
      <c r="I345" s="19" t="s">
        <v>7</v>
      </c>
      <c r="J345" s="19" t="s">
        <v>8</v>
      </c>
      <c r="K345" s="20">
        <v>5</v>
      </c>
      <c r="L345" s="21">
        <v>36.39</v>
      </c>
      <c r="M345" s="22">
        <v>0.27</v>
      </c>
      <c r="N345" s="21">
        <f t="shared" si="29"/>
        <v>26.564700000000002</v>
      </c>
      <c r="O345" s="21">
        <v>132.82</v>
      </c>
      <c r="P345" s="19" t="s">
        <v>4</v>
      </c>
      <c r="Q345" s="23">
        <v>1</v>
      </c>
      <c r="R345" s="45">
        <v>4.0999999999999996</v>
      </c>
    </row>
    <row r="346" spans="2:18" x14ac:dyDescent="0.2">
      <c r="B346" s="25">
        <v>343</v>
      </c>
      <c r="C346" s="18">
        <v>44173</v>
      </c>
      <c r="D346" s="24">
        <f t="shared" si="25"/>
        <v>2020</v>
      </c>
      <c r="E346" s="24" t="str">
        <f t="shared" si="26"/>
        <v>Q4</v>
      </c>
      <c r="F346" s="24" t="str">
        <f t="shared" si="27"/>
        <v>Dec</v>
      </c>
      <c r="G346" s="24">
        <f t="shared" si="28"/>
        <v>12</v>
      </c>
      <c r="H346" s="19">
        <v>1488</v>
      </c>
      <c r="I346" s="19" t="s">
        <v>7</v>
      </c>
      <c r="J346" s="19" t="s">
        <v>8</v>
      </c>
      <c r="K346" s="20">
        <v>1</v>
      </c>
      <c r="L346" s="21">
        <v>124.05</v>
      </c>
      <c r="M346" s="22">
        <v>0.11</v>
      </c>
      <c r="N346" s="21">
        <f t="shared" si="29"/>
        <v>110.4045</v>
      </c>
      <c r="O346" s="21">
        <v>110.4</v>
      </c>
      <c r="P346" s="19" t="s">
        <v>6</v>
      </c>
      <c r="Q346" s="23">
        <v>11</v>
      </c>
      <c r="R346" s="45">
        <v>2.1</v>
      </c>
    </row>
    <row r="347" spans="2:18" x14ac:dyDescent="0.2">
      <c r="B347" s="25">
        <v>344</v>
      </c>
      <c r="C347" s="18">
        <v>44174</v>
      </c>
      <c r="D347" s="24">
        <f t="shared" si="25"/>
        <v>2020</v>
      </c>
      <c r="E347" s="24" t="str">
        <f t="shared" si="26"/>
        <v>Q4</v>
      </c>
      <c r="F347" s="24" t="str">
        <f t="shared" si="27"/>
        <v>Dec</v>
      </c>
      <c r="G347" s="24">
        <f t="shared" si="28"/>
        <v>12</v>
      </c>
      <c r="H347" s="19">
        <v>1928</v>
      </c>
      <c r="I347" s="19" t="s">
        <v>10</v>
      </c>
      <c r="J347" s="19" t="s">
        <v>8</v>
      </c>
      <c r="K347" s="20">
        <v>2</v>
      </c>
      <c r="L347" s="21">
        <v>451.86</v>
      </c>
      <c r="M347" s="22">
        <v>0.14000000000000001</v>
      </c>
      <c r="N347" s="21">
        <f t="shared" si="29"/>
        <v>388.59960000000001</v>
      </c>
      <c r="O347" s="21">
        <v>777.2</v>
      </c>
      <c r="P347" s="19" t="s">
        <v>2</v>
      </c>
      <c r="Q347" s="23">
        <v>7</v>
      </c>
      <c r="R347" s="45">
        <v>3.6</v>
      </c>
    </row>
    <row r="348" spans="2:18" x14ac:dyDescent="0.2">
      <c r="B348" s="25">
        <v>345</v>
      </c>
      <c r="C348" s="18">
        <v>44175</v>
      </c>
      <c r="D348" s="24">
        <f t="shared" si="25"/>
        <v>2020</v>
      </c>
      <c r="E348" s="24" t="str">
        <f t="shared" si="26"/>
        <v>Q4</v>
      </c>
      <c r="F348" s="24" t="str">
        <f t="shared" si="27"/>
        <v>Dec</v>
      </c>
      <c r="G348" s="24">
        <f t="shared" si="28"/>
        <v>12</v>
      </c>
      <c r="H348" s="19">
        <v>1935</v>
      </c>
      <c r="I348" s="19" t="s">
        <v>0</v>
      </c>
      <c r="J348" s="19" t="s">
        <v>9</v>
      </c>
      <c r="K348" s="20">
        <v>2</v>
      </c>
      <c r="L348" s="21">
        <v>205.4</v>
      </c>
      <c r="M348" s="22">
        <v>0.11</v>
      </c>
      <c r="N348" s="21">
        <f t="shared" si="29"/>
        <v>182.80600000000001</v>
      </c>
      <c r="O348" s="21">
        <v>365.61</v>
      </c>
      <c r="P348" s="19" t="s">
        <v>4</v>
      </c>
      <c r="Q348" s="23">
        <v>2</v>
      </c>
      <c r="R348" s="45">
        <v>3.5</v>
      </c>
    </row>
    <row r="349" spans="2:18" x14ac:dyDescent="0.2">
      <c r="B349" s="25">
        <v>346</v>
      </c>
      <c r="C349" s="18">
        <v>44176</v>
      </c>
      <c r="D349" s="24">
        <f t="shared" si="25"/>
        <v>2020</v>
      </c>
      <c r="E349" s="24" t="str">
        <f t="shared" si="26"/>
        <v>Q4</v>
      </c>
      <c r="F349" s="24" t="str">
        <f t="shared" si="27"/>
        <v>Dec</v>
      </c>
      <c r="G349" s="24">
        <f t="shared" si="28"/>
        <v>12</v>
      </c>
      <c r="H349" s="19">
        <v>1639</v>
      </c>
      <c r="I349" s="19" t="s">
        <v>7</v>
      </c>
      <c r="J349" s="19" t="s">
        <v>8</v>
      </c>
      <c r="K349" s="20">
        <v>4</v>
      </c>
      <c r="L349" s="21">
        <v>405.92</v>
      </c>
      <c r="M349" s="22">
        <v>0.03</v>
      </c>
      <c r="N349" s="21">
        <f t="shared" si="29"/>
        <v>393.74240000000003</v>
      </c>
      <c r="O349" s="21">
        <v>1574.97</v>
      </c>
      <c r="P349" s="19" t="s">
        <v>6</v>
      </c>
      <c r="Q349" s="23">
        <v>11</v>
      </c>
      <c r="R349" s="45">
        <v>2.5</v>
      </c>
    </row>
    <row r="350" spans="2:18" x14ac:dyDescent="0.2">
      <c r="B350" s="25">
        <v>347</v>
      </c>
      <c r="C350" s="18">
        <v>44177</v>
      </c>
      <c r="D350" s="24">
        <f t="shared" si="25"/>
        <v>2020</v>
      </c>
      <c r="E350" s="24" t="str">
        <f t="shared" si="26"/>
        <v>Q4</v>
      </c>
      <c r="F350" s="24" t="str">
        <f t="shared" si="27"/>
        <v>Dec</v>
      </c>
      <c r="G350" s="24">
        <f t="shared" si="28"/>
        <v>12</v>
      </c>
      <c r="H350" s="19">
        <v>1550</v>
      </c>
      <c r="I350" s="19" t="s">
        <v>10</v>
      </c>
      <c r="J350" s="19" t="s">
        <v>1</v>
      </c>
      <c r="K350" s="20">
        <v>6</v>
      </c>
      <c r="L350" s="21">
        <v>434.38</v>
      </c>
      <c r="M350" s="22">
        <v>0.33</v>
      </c>
      <c r="N350" s="21">
        <f t="shared" si="29"/>
        <v>291.03459999999995</v>
      </c>
      <c r="O350" s="21">
        <v>1746.21</v>
      </c>
      <c r="P350" s="19" t="s">
        <v>4</v>
      </c>
      <c r="Q350" s="23">
        <v>10</v>
      </c>
      <c r="R350" s="45">
        <v>3.7</v>
      </c>
    </row>
    <row r="351" spans="2:18" x14ac:dyDescent="0.2">
      <c r="B351" s="25">
        <v>348</v>
      </c>
      <c r="C351" s="18">
        <v>44178</v>
      </c>
      <c r="D351" s="24">
        <f t="shared" si="25"/>
        <v>2020</v>
      </c>
      <c r="E351" s="24" t="str">
        <f t="shared" si="26"/>
        <v>Q4</v>
      </c>
      <c r="F351" s="24" t="str">
        <f t="shared" si="27"/>
        <v>Dec</v>
      </c>
      <c r="G351" s="24">
        <f t="shared" si="28"/>
        <v>12</v>
      </c>
      <c r="H351" s="19">
        <v>1337</v>
      </c>
      <c r="I351" s="19" t="s">
        <v>10</v>
      </c>
      <c r="J351" s="19" t="s">
        <v>5</v>
      </c>
      <c r="K351" s="20">
        <v>6</v>
      </c>
      <c r="L351" s="21">
        <v>354.99</v>
      </c>
      <c r="M351" s="22">
        <v>0.19</v>
      </c>
      <c r="N351" s="21">
        <f t="shared" si="29"/>
        <v>287.5419</v>
      </c>
      <c r="O351" s="21">
        <v>1725.25</v>
      </c>
      <c r="P351" s="19" t="s">
        <v>6</v>
      </c>
      <c r="Q351" s="23">
        <v>4</v>
      </c>
      <c r="R351" s="45">
        <v>1.3</v>
      </c>
    </row>
    <row r="352" spans="2:18" x14ac:dyDescent="0.2">
      <c r="B352" s="25">
        <v>349</v>
      </c>
      <c r="C352" s="18">
        <v>44179</v>
      </c>
      <c r="D352" s="24">
        <f t="shared" si="25"/>
        <v>2020</v>
      </c>
      <c r="E352" s="24" t="str">
        <f t="shared" si="26"/>
        <v>Q4</v>
      </c>
      <c r="F352" s="24" t="str">
        <f t="shared" si="27"/>
        <v>Dec</v>
      </c>
      <c r="G352" s="24">
        <f t="shared" si="28"/>
        <v>12</v>
      </c>
      <c r="H352" s="19">
        <v>1871</v>
      </c>
      <c r="I352" s="19" t="s">
        <v>10</v>
      </c>
      <c r="J352" s="19" t="s">
        <v>8</v>
      </c>
      <c r="K352" s="20">
        <v>4</v>
      </c>
      <c r="L352" s="21">
        <v>575.84</v>
      </c>
      <c r="M352" s="22">
        <v>0.28000000000000003</v>
      </c>
      <c r="N352" s="21">
        <f t="shared" si="29"/>
        <v>414.60480000000001</v>
      </c>
      <c r="O352" s="21">
        <v>1658.42</v>
      </c>
      <c r="P352" s="19" t="s">
        <v>4</v>
      </c>
      <c r="Q352" s="23">
        <v>5</v>
      </c>
      <c r="R352" s="45">
        <v>3.6</v>
      </c>
    </row>
    <row r="353" spans="2:18" x14ac:dyDescent="0.2">
      <c r="B353" s="25">
        <v>350</v>
      </c>
      <c r="C353" s="18">
        <v>44180</v>
      </c>
      <c r="D353" s="24">
        <f t="shared" si="25"/>
        <v>2020</v>
      </c>
      <c r="E353" s="24" t="str">
        <f t="shared" si="26"/>
        <v>Q4</v>
      </c>
      <c r="F353" s="24" t="str">
        <f t="shared" si="27"/>
        <v>Dec</v>
      </c>
      <c r="G353" s="24">
        <f t="shared" si="28"/>
        <v>12</v>
      </c>
      <c r="H353" s="19">
        <v>1640</v>
      </c>
      <c r="I353" s="19" t="s">
        <v>3</v>
      </c>
      <c r="J353" s="19" t="s">
        <v>5</v>
      </c>
      <c r="K353" s="20">
        <v>3</v>
      </c>
      <c r="L353" s="21">
        <v>27.54</v>
      </c>
      <c r="M353" s="22">
        <v>0.23</v>
      </c>
      <c r="N353" s="21">
        <f t="shared" si="29"/>
        <v>21.2058</v>
      </c>
      <c r="O353" s="21">
        <v>63.62</v>
      </c>
      <c r="P353" s="19" t="s">
        <v>4</v>
      </c>
      <c r="Q353" s="23">
        <v>1</v>
      </c>
      <c r="R353" s="45">
        <v>3.4</v>
      </c>
    </row>
    <row r="354" spans="2:18" x14ac:dyDescent="0.2">
      <c r="B354" s="25">
        <v>351</v>
      </c>
      <c r="C354" s="18">
        <v>44181</v>
      </c>
      <c r="D354" s="24">
        <f t="shared" si="25"/>
        <v>2020</v>
      </c>
      <c r="E354" s="24" t="str">
        <f t="shared" si="26"/>
        <v>Q4</v>
      </c>
      <c r="F354" s="24" t="str">
        <f t="shared" si="27"/>
        <v>Dec</v>
      </c>
      <c r="G354" s="24">
        <f t="shared" si="28"/>
        <v>12</v>
      </c>
      <c r="H354" s="19">
        <v>1778</v>
      </c>
      <c r="I354" s="19" t="s">
        <v>7</v>
      </c>
      <c r="J354" s="19" t="s">
        <v>8</v>
      </c>
      <c r="K354" s="20">
        <v>2</v>
      </c>
      <c r="L354" s="21">
        <v>447.11</v>
      </c>
      <c r="M354" s="22">
        <v>0.18</v>
      </c>
      <c r="N354" s="21">
        <f t="shared" si="29"/>
        <v>366.6302</v>
      </c>
      <c r="O354" s="21">
        <v>733.26</v>
      </c>
      <c r="P354" s="19" t="s">
        <v>4</v>
      </c>
      <c r="Q354" s="23">
        <v>4</v>
      </c>
      <c r="R354" s="45">
        <v>1.8</v>
      </c>
    </row>
    <row r="355" spans="2:18" x14ac:dyDescent="0.2">
      <c r="B355" s="25">
        <v>352</v>
      </c>
      <c r="C355" s="18">
        <v>44182</v>
      </c>
      <c r="D355" s="24">
        <f t="shared" si="25"/>
        <v>2020</v>
      </c>
      <c r="E355" s="24" t="str">
        <f t="shared" si="26"/>
        <v>Q4</v>
      </c>
      <c r="F355" s="24" t="str">
        <f t="shared" si="27"/>
        <v>Dec</v>
      </c>
      <c r="G355" s="24">
        <f t="shared" si="28"/>
        <v>12</v>
      </c>
      <c r="H355" s="19">
        <v>1987</v>
      </c>
      <c r="I355" s="19" t="s">
        <v>7</v>
      </c>
      <c r="J355" s="19" t="s">
        <v>1</v>
      </c>
      <c r="K355" s="20">
        <v>3</v>
      </c>
      <c r="L355" s="21">
        <v>575.89</v>
      </c>
      <c r="M355" s="22">
        <v>0.03</v>
      </c>
      <c r="N355" s="21">
        <f t="shared" si="29"/>
        <v>558.61329999999998</v>
      </c>
      <c r="O355" s="21">
        <v>1675.84</v>
      </c>
      <c r="P355" s="19" t="s">
        <v>6</v>
      </c>
      <c r="Q355" s="23">
        <v>4</v>
      </c>
      <c r="R355" s="45">
        <v>4.3</v>
      </c>
    </row>
    <row r="356" spans="2:18" x14ac:dyDescent="0.2">
      <c r="B356" s="25">
        <v>353</v>
      </c>
      <c r="C356" s="18">
        <v>44183</v>
      </c>
      <c r="D356" s="24">
        <f t="shared" si="25"/>
        <v>2020</v>
      </c>
      <c r="E356" s="24" t="str">
        <f t="shared" si="26"/>
        <v>Q4</v>
      </c>
      <c r="F356" s="24" t="str">
        <f t="shared" si="27"/>
        <v>Dec</v>
      </c>
      <c r="G356" s="24">
        <f t="shared" si="28"/>
        <v>12</v>
      </c>
      <c r="H356" s="19">
        <v>1952</v>
      </c>
      <c r="I356" s="19" t="s">
        <v>10</v>
      </c>
      <c r="J356" s="19" t="s">
        <v>9</v>
      </c>
      <c r="K356" s="20">
        <v>5</v>
      </c>
      <c r="L356" s="21">
        <v>519.42999999999995</v>
      </c>
      <c r="M356" s="22">
        <v>0.22</v>
      </c>
      <c r="N356" s="21">
        <f t="shared" si="29"/>
        <v>405.15539999999999</v>
      </c>
      <c r="O356" s="21">
        <v>2025.78</v>
      </c>
      <c r="P356" s="19" t="s">
        <v>2</v>
      </c>
      <c r="Q356" s="23">
        <v>9</v>
      </c>
      <c r="R356" s="45">
        <v>4.5</v>
      </c>
    </row>
    <row r="357" spans="2:18" x14ac:dyDescent="0.2">
      <c r="B357" s="25">
        <v>354</v>
      </c>
      <c r="C357" s="18">
        <v>44184</v>
      </c>
      <c r="D357" s="24">
        <f t="shared" si="25"/>
        <v>2020</v>
      </c>
      <c r="E357" s="24" t="str">
        <f t="shared" si="26"/>
        <v>Q4</v>
      </c>
      <c r="F357" s="24" t="str">
        <f t="shared" si="27"/>
        <v>Dec</v>
      </c>
      <c r="G357" s="24">
        <f t="shared" si="28"/>
        <v>12</v>
      </c>
      <c r="H357" s="19">
        <v>1472</v>
      </c>
      <c r="I357" s="19" t="s">
        <v>10</v>
      </c>
      <c r="J357" s="19" t="s">
        <v>1</v>
      </c>
      <c r="K357" s="20">
        <v>2</v>
      </c>
      <c r="L357" s="21">
        <v>113.22</v>
      </c>
      <c r="M357" s="22">
        <v>0.05</v>
      </c>
      <c r="N357" s="21">
        <f t="shared" si="29"/>
        <v>107.559</v>
      </c>
      <c r="O357" s="21">
        <v>215.12</v>
      </c>
      <c r="P357" s="19" t="s">
        <v>6</v>
      </c>
      <c r="Q357" s="23">
        <v>9</v>
      </c>
      <c r="R357" s="45">
        <v>1.8</v>
      </c>
    </row>
    <row r="358" spans="2:18" x14ac:dyDescent="0.2">
      <c r="B358" s="25">
        <v>355</v>
      </c>
      <c r="C358" s="18">
        <v>44185</v>
      </c>
      <c r="D358" s="24">
        <f t="shared" si="25"/>
        <v>2020</v>
      </c>
      <c r="E358" s="24" t="str">
        <f t="shared" si="26"/>
        <v>Q4</v>
      </c>
      <c r="F358" s="24" t="str">
        <f t="shared" si="27"/>
        <v>Dec</v>
      </c>
      <c r="G358" s="24">
        <f t="shared" si="28"/>
        <v>12</v>
      </c>
      <c r="H358" s="19">
        <v>1945</v>
      </c>
      <c r="I358" s="19" t="s">
        <v>7</v>
      </c>
      <c r="J358" s="19" t="s">
        <v>9</v>
      </c>
      <c r="K358" s="20">
        <v>5</v>
      </c>
      <c r="L358" s="21">
        <v>206.19</v>
      </c>
      <c r="M358" s="22">
        <v>0.15</v>
      </c>
      <c r="N358" s="21">
        <f t="shared" si="29"/>
        <v>175.26150000000001</v>
      </c>
      <c r="O358" s="21">
        <v>876.31</v>
      </c>
      <c r="P358" s="19" t="s">
        <v>4</v>
      </c>
      <c r="Q358" s="23">
        <v>11</v>
      </c>
      <c r="R358" s="45">
        <v>1.3</v>
      </c>
    </row>
    <row r="359" spans="2:18" x14ac:dyDescent="0.2">
      <c r="B359" s="25">
        <v>356</v>
      </c>
      <c r="C359" s="18">
        <v>44186</v>
      </c>
      <c r="D359" s="24">
        <f t="shared" si="25"/>
        <v>2020</v>
      </c>
      <c r="E359" s="24" t="str">
        <f t="shared" si="26"/>
        <v>Q4</v>
      </c>
      <c r="F359" s="24" t="str">
        <f t="shared" si="27"/>
        <v>Dec</v>
      </c>
      <c r="G359" s="24">
        <f t="shared" si="28"/>
        <v>12</v>
      </c>
      <c r="H359" s="19">
        <v>1150</v>
      </c>
      <c r="I359" s="19" t="s">
        <v>3</v>
      </c>
      <c r="J359" s="19" t="s">
        <v>8</v>
      </c>
      <c r="K359" s="20">
        <v>1</v>
      </c>
      <c r="L359" s="21">
        <v>115.88</v>
      </c>
      <c r="M359" s="22">
        <v>0.22</v>
      </c>
      <c r="N359" s="21">
        <f t="shared" si="29"/>
        <v>90.386399999999995</v>
      </c>
      <c r="O359" s="21">
        <v>90.39</v>
      </c>
      <c r="P359" s="19" t="s">
        <v>6</v>
      </c>
      <c r="Q359" s="23">
        <v>10</v>
      </c>
      <c r="R359" s="45">
        <v>3.4</v>
      </c>
    </row>
    <row r="360" spans="2:18" x14ac:dyDescent="0.2">
      <c r="B360" s="25">
        <v>357</v>
      </c>
      <c r="C360" s="18">
        <v>44187</v>
      </c>
      <c r="D360" s="24">
        <f t="shared" si="25"/>
        <v>2020</v>
      </c>
      <c r="E360" s="24" t="str">
        <f t="shared" si="26"/>
        <v>Q4</v>
      </c>
      <c r="F360" s="24" t="str">
        <f t="shared" si="27"/>
        <v>Dec</v>
      </c>
      <c r="G360" s="24">
        <f t="shared" si="28"/>
        <v>12</v>
      </c>
      <c r="H360" s="19">
        <v>1414</v>
      </c>
      <c r="I360" s="19" t="s">
        <v>0</v>
      </c>
      <c r="J360" s="19" t="s">
        <v>8</v>
      </c>
      <c r="K360" s="20">
        <v>3</v>
      </c>
      <c r="L360" s="21">
        <v>366.77</v>
      </c>
      <c r="M360" s="22">
        <v>0.27</v>
      </c>
      <c r="N360" s="21">
        <f t="shared" si="29"/>
        <v>267.74209999999999</v>
      </c>
      <c r="O360" s="21">
        <v>803.23</v>
      </c>
      <c r="P360" s="19" t="s">
        <v>6</v>
      </c>
      <c r="Q360" s="23">
        <v>1</v>
      </c>
      <c r="R360" s="45">
        <v>2.9</v>
      </c>
    </row>
    <row r="361" spans="2:18" x14ac:dyDescent="0.2">
      <c r="B361" s="25">
        <v>358</v>
      </c>
      <c r="C361" s="18">
        <v>44188</v>
      </c>
      <c r="D361" s="24">
        <f t="shared" si="25"/>
        <v>2020</v>
      </c>
      <c r="E361" s="24" t="str">
        <f t="shared" si="26"/>
        <v>Q4</v>
      </c>
      <c r="F361" s="24" t="str">
        <f t="shared" si="27"/>
        <v>Dec</v>
      </c>
      <c r="G361" s="24">
        <f t="shared" si="28"/>
        <v>12</v>
      </c>
      <c r="H361" s="19">
        <v>1989</v>
      </c>
      <c r="I361" s="19" t="s">
        <v>10</v>
      </c>
      <c r="J361" s="19" t="s">
        <v>9</v>
      </c>
      <c r="K361" s="20">
        <v>4</v>
      </c>
      <c r="L361" s="21">
        <v>431.63</v>
      </c>
      <c r="M361" s="22">
        <v>0.24</v>
      </c>
      <c r="N361" s="21">
        <f t="shared" si="29"/>
        <v>328.03879999999998</v>
      </c>
      <c r="O361" s="21">
        <v>1312.16</v>
      </c>
      <c r="P361" s="19" t="s">
        <v>4</v>
      </c>
      <c r="Q361" s="23">
        <v>8</v>
      </c>
      <c r="R361" s="45">
        <v>2.7</v>
      </c>
    </row>
    <row r="362" spans="2:18" x14ac:dyDescent="0.2">
      <c r="B362" s="25">
        <v>359</v>
      </c>
      <c r="C362" s="18">
        <v>44189</v>
      </c>
      <c r="D362" s="24">
        <f t="shared" si="25"/>
        <v>2020</v>
      </c>
      <c r="E362" s="24" t="str">
        <f t="shared" si="26"/>
        <v>Q4</v>
      </c>
      <c r="F362" s="24" t="str">
        <f t="shared" si="27"/>
        <v>Dec</v>
      </c>
      <c r="G362" s="24">
        <f t="shared" si="28"/>
        <v>12</v>
      </c>
      <c r="H362" s="19">
        <v>1297</v>
      </c>
      <c r="I362" s="19" t="s">
        <v>0</v>
      </c>
      <c r="J362" s="19" t="s">
        <v>1</v>
      </c>
      <c r="K362" s="20">
        <v>2</v>
      </c>
      <c r="L362" s="21">
        <v>200.49</v>
      </c>
      <c r="M362" s="22">
        <v>0.24</v>
      </c>
      <c r="N362" s="21">
        <f t="shared" si="29"/>
        <v>152.3724</v>
      </c>
      <c r="O362" s="21">
        <v>304.74</v>
      </c>
      <c r="P362" s="19" t="s">
        <v>4</v>
      </c>
      <c r="Q362" s="23">
        <v>4</v>
      </c>
      <c r="R362" s="45">
        <v>4</v>
      </c>
    </row>
    <row r="363" spans="2:18" x14ac:dyDescent="0.2">
      <c r="B363" s="25">
        <v>360</v>
      </c>
      <c r="C363" s="18">
        <v>44190</v>
      </c>
      <c r="D363" s="24">
        <f t="shared" si="25"/>
        <v>2020</v>
      </c>
      <c r="E363" s="24" t="str">
        <f t="shared" si="26"/>
        <v>Q4</v>
      </c>
      <c r="F363" s="24" t="str">
        <f t="shared" si="27"/>
        <v>Dec</v>
      </c>
      <c r="G363" s="24">
        <f t="shared" si="28"/>
        <v>12</v>
      </c>
      <c r="H363" s="19">
        <v>1610</v>
      </c>
      <c r="I363" s="19" t="s">
        <v>10</v>
      </c>
      <c r="J363" s="19" t="s">
        <v>1</v>
      </c>
      <c r="K363" s="20">
        <v>3</v>
      </c>
      <c r="L363" s="21">
        <v>330.61</v>
      </c>
      <c r="M363" s="22">
        <v>0.05</v>
      </c>
      <c r="N363" s="21">
        <f t="shared" si="29"/>
        <v>314.0795</v>
      </c>
      <c r="O363" s="21">
        <v>942.24</v>
      </c>
      <c r="P363" s="19" t="s">
        <v>4</v>
      </c>
      <c r="Q363" s="23">
        <v>4</v>
      </c>
      <c r="R363" s="45">
        <v>4.9000000000000004</v>
      </c>
    </row>
    <row r="364" spans="2:18" x14ac:dyDescent="0.2">
      <c r="B364" s="25">
        <v>361</v>
      </c>
      <c r="C364" s="18">
        <v>44191</v>
      </c>
      <c r="D364" s="24">
        <f t="shared" si="25"/>
        <v>2020</v>
      </c>
      <c r="E364" s="24" t="str">
        <f t="shared" si="26"/>
        <v>Q4</v>
      </c>
      <c r="F364" s="24" t="str">
        <f t="shared" si="27"/>
        <v>Dec</v>
      </c>
      <c r="G364" s="24">
        <f t="shared" si="28"/>
        <v>12</v>
      </c>
      <c r="H364" s="19">
        <v>1262</v>
      </c>
      <c r="I364" s="19" t="s">
        <v>3</v>
      </c>
      <c r="J364" s="19" t="s">
        <v>9</v>
      </c>
      <c r="K364" s="20">
        <v>4</v>
      </c>
      <c r="L364" s="21">
        <v>419.19</v>
      </c>
      <c r="M364" s="22">
        <v>0.12</v>
      </c>
      <c r="N364" s="21">
        <f t="shared" si="29"/>
        <v>368.88720000000001</v>
      </c>
      <c r="O364" s="21">
        <v>1475.55</v>
      </c>
      <c r="P364" s="19" t="s">
        <v>6</v>
      </c>
      <c r="Q364" s="23">
        <v>5</v>
      </c>
      <c r="R364" s="45">
        <v>2.9</v>
      </c>
    </row>
    <row r="365" spans="2:18" x14ac:dyDescent="0.2">
      <c r="B365" s="25">
        <v>362</v>
      </c>
      <c r="C365" s="18">
        <v>44192</v>
      </c>
      <c r="D365" s="24">
        <f t="shared" si="25"/>
        <v>2020</v>
      </c>
      <c r="E365" s="24" t="str">
        <f t="shared" si="26"/>
        <v>Q4</v>
      </c>
      <c r="F365" s="24" t="str">
        <f t="shared" si="27"/>
        <v>Dec</v>
      </c>
      <c r="G365" s="24">
        <f t="shared" si="28"/>
        <v>12</v>
      </c>
      <c r="H365" s="19">
        <v>1763</v>
      </c>
      <c r="I365" s="19" t="s">
        <v>3</v>
      </c>
      <c r="J365" s="19" t="s">
        <v>8</v>
      </c>
      <c r="K365" s="20">
        <v>1</v>
      </c>
      <c r="L365" s="21">
        <v>261.48</v>
      </c>
      <c r="M365" s="22">
        <v>0.02</v>
      </c>
      <c r="N365" s="21">
        <f t="shared" si="29"/>
        <v>256.25040000000001</v>
      </c>
      <c r="O365" s="21">
        <v>256.25</v>
      </c>
      <c r="P365" s="19" t="s">
        <v>6</v>
      </c>
      <c r="Q365" s="23">
        <v>2</v>
      </c>
      <c r="R365" s="45">
        <v>1</v>
      </c>
    </row>
    <row r="366" spans="2:18" x14ac:dyDescent="0.2">
      <c r="B366" s="25">
        <v>363</v>
      </c>
      <c r="C366" s="18">
        <v>44193</v>
      </c>
      <c r="D366" s="24">
        <f t="shared" si="25"/>
        <v>2020</v>
      </c>
      <c r="E366" s="24" t="str">
        <f t="shared" si="26"/>
        <v>Q4</v>
      </c>
      <c r="F366" s="24" t="str">
        <f t="shared" si="27"/>
        <v>Dec</v>
      </c>
      <c r="G366" s="24">
        <f t="shared" si="28"/>
        <v>12</v>
      </c>
      <c r="H366" s="19">
        <v>1143</v>
      </c>
      <c r="I366" s="19" t="s">
        <v>10</v>
      </c>
      <c r="J366" s="19" t="s">
        <v>9</v>
      </c>
      <c r="K366" s="20">
        <v>2</v>
      </c>
      <c r="L366" s="21">
        <v>514.6</v>
      </c>
      <c r="M366" s="22">
        <v>0.25</v>
      </c>
      <c r="N366" s="21">
        <f t="shared" si="29"/>
        <v>385.95000000000005</v>
      </c>
      <c r="O366" s="21">
        <v>771.9</v>
      </c>
      <c r="P366" s="19" t="s">
        <v>6</v>
      </c>
      <c r="Q366" s="23">
        <v>1</v>
      </c>
      <c r="R366" s="45">
        <v>3.4</v>
      </c>
    </row>
    <row r="367" spans="2:18" x14ac:dyDescent="0.2">
      <c r="B367" s="25">
        <v>364</v>
      </c>
      <c r="C367" s="18">
        <v>44194</v>
      </c>
      <c r="D367" s="24">
        <f t="shared" si="25"/>
        <v>2020</v>
      </c>
      <c r="E367" s="24" t="str">
        <f t="shared" si="26"/>
        <v>Q4</v>
      </c>
      <c r="F367" s="24" t="str">
        <f t="shared" si="27"/>
        <v>Dec</v>
      </c>
      <c r="G367" s="24">
        <f t="shared" si="28"/>
        <v>12</v>
      </c>
      <c r="H367" s="19">
        <v>1345</v>
      </c>
      <c r="I367" s="19" t="s">
        <v>7</v>
      </c>
      <c r="J367" s="19" t="s">
        <v>8</v>
      </c>
      <c r="K367" s="20">
        <v>5</v>
      </c>
      <c r="L367" s="21">
        <v>466.36</v>
      </c>
      <c r="M367" s="22">
        <v>0.33</v>
      </c>
      <c r="N367" s="21">
        <f t="shared" si="29"/>
        <v>312.46119999999996</v>
      </c>
      <c r="O367" s="21">
        <v>1562.31</v>
      </c>
      <c r="P367" s="19" t="s">
        <v>4</v>
      </c>
      <c r="Q367" s="23">
        <v>5</v>
      </c>
      <c r="R367" s="45">
        <v>3.6</v>
      </c>
    </row>
    <row r="368" spans="2:18" x14ac:dyDescent="0.2">
      <c r="B368" s="25">
        <v>365</v>
      </c>
      <c r="C368" s="18">
        <v>44195</v>
      </c>
      <c r="D368" s="24">
        <f t="shared" si="25"/>
        <v>2020</v>
      </c>
      <c r="E368" s="24" t="str">
        <f t="shared" si="26"/>
        <v>Q4</v>
      </c>
      <c r="F368" s="24" t="str">
        <f t="shared" si="27"/>
        <v>Dec</v>
      </c>
      <c r="G368" s="24">
        <f t="shared" si="28"/>
        <v>12</v>
      </c>
      <c r="H368" s="19">
        <v>1623</v>
      </c>
      <c r="I368" s="19" t="s">
        <v>3</v>
      </c>
      <c r="J368" s="19" t="s">
        <v>9</v>
      </c>
      <c r="K368" s="20">
        <v>1</v>
      </c>
      <c r="L368" s="21">
        <v>52.83</v>
      </c>
      <c r="M368" s="22">
        <v>0.09</v>
      </c>
      <c r="N368" s="21">
        <f t="shared" si="29"/>
        <v>48.075299999999999</v>
      </c>
      <c r="O368" s="21">
        <v>48.08</v>
      </c>
      <c r="P368" s="19" t="s">
        <v>4</v>
      </c>
      <c r="Q368" s="23">
        <v>7</v>
      </c>
      <c r="R368" s="45">
        <v>4.3</v>
      </c>
    </row>
    <row r="369" spans="2:18" x14ac:dyDescent="0.2">
      <c r="B369" s="25">
        <v>366</v>
      </c>
      <c r="C369" s="18">
        <v>44196</v>
      </c>
      <c r="D369" s="24">
        <f t="shared" si="25"/>
        <v>2020</v>
      </c>
      <c r="E369" s="24" t="str">
        <f t="shared" si="26"/>
        <v>Q4</v>
      </c>
      <c r="F369" s="24" t="str">
        <f t="shared" si="27"/>
        <v>Dec</v>
      </c>
      <c r="G369" s="24">
        <f t="shared" si="28"/>
        <v>12</v>
      </c>
      <c r="H369" s="19">
        <v>1571</v>
      </c>
      <c r="I369" s="19" t="s">
        <v>10</v>
      </c>
      <c r="J369" s="19" t="s">
        <v>8</v>
      </c>
      <c r="K369" s="20">
        <v>6</v>
      </c>
      <c r="L369" s="21">
        <v>378.36</v>
      </c>
      <c r="M369" s="22">
        <v>0.03</v>
      </c>
      <c r="N369" s="21">
        <f t="shared" si="29"/>
        <v>367.00920000000002</v>
      </c>
      <c r="O369" s="21">
        <v>2202.06</v>
      </c>
      <c r="P369" s="19" t="s">
        <v>2</v>
      </c>
      <c r="Q369" s="23">
        <v>10</v>
      </c>
      <c r="R369" s="45">
        <v>1.8</v>
      </c>
    </row>
    <row r="370" spans="2:18" x14ac:dyDescent="0.2">
      <c r="B370" s="25">
        <v>367</v>
      </c>
      <c r="C370" s="18">
        <v>44197</v>
      </c>
      <c r="D370" s="24">
        <f t="shared" si="25"/>
        <v>2021</v>
      </c>
      <c r="E370" s="24" t="str">
        <f t="shared" si="26"/>
        <v>Q1</v>
      </c>
      <c r="F370" s="24" t="str">
        <f t="shared" si="27"/>
        <v>Jan</v>
      </c>
      <c r="G370" s="24">
        <f t="shared" si="28"/>
        <v>1</v>
      </c>
      <c r="H370" s="19">
        <v>1880</v>
      </c>
      <c r="I370" s="19" t="s">
        <v>7</v>
      </c>
      <c r="J370" s="19" t="s">
        <v>9</v>
      </c>
      <c r="K370" s="20">
        <v>4</v>
      </c>
      <c r="L370" s="21">
        <v>152.66999999999999</v>
      </c>
      <c r="M370" s="22">
        <v>0.17</v>
      </c>
      <c r="N370" s="21">
        <f t="shared" si="29"/>
        <v>126.71609999999998</v>
      </c>
      <c r="O370" s="21">
        <v>506.86</v>
      </c>
      <c r="P370" s="19" t="s">
        <v>4</v>
      </c>
      <c r="Q370" s="23">
        <v>9</v>
      </c>
      <c r="R370" s="45">
        <v>3.1</v>
      </c>
    </row>
    <row r="371" spans="2:18" x14ac:dyDescent="0.2">
      <c r="B371" s="25">
        <v>368</v>
      </c>
      <c r="C371" s="18">
        <v>44198</v>
      </c>
      <c r="D371" s="24">
        <f t="shared" si="25"/>
        <v>2021</v>
      </c>
      <c r="E371" s="24" t="str">
        <f t="shared" si="26"/>
        <v>Q1</v>
      </c>
      <c r="F371" s="24" t="str">
        <f t="shared" si="27"/>
        <v>Jan</v>
      </c>
      <c r="G371" s="24">
        <f t="shared" si="28"/>
        <v>1</v>
      </c>
      <c r="H371" s="19">
        <v>1001</v>
      </c>
      <c r="I371" s="19" t="s">
        <v>10</v>
      </c>
      <c r="J371" s="19" t="s">
        <v>5</v>
      </c>
      <c r="K371" s="20">
        <v>2</v>
      </c>
      <c r="L371" s="21">
        <v>341.15</v>
      </c>
      <c r="M371" s="22">
        <v>0.3</v>
      </c>
      <c r="N371" s="21">
        <f t="shared" si="29"/>
        <v>238.80500000000001</v>
      </c>
      <c r="O371" s="21">
        <v>477.61</v>
      </c>
      <c r="P371" s="19" t="s">
        <v>2</v>
      </c>
      <c r="Q371" s="23">
        <v>2</v>
      </c>
      <c r="R371" s="45">
        <v>2.8</v>
      </c>
    </row>
    <row r="372" spans="2:18" x14ac:dyDescent="0.2">
      <c r="B372" s="25">
        <v>369</v>
      </c>
      <c r="C372" s="18">
        <v>44199</v>
      </c>
      <c r="D372" s="24">
        <f t="shared" si="25"/>
        <v>2021</v>
      </c>
      <c r="E372" s="24" t="str">
        <f t="shared" si="26"/>
        <v>Q1</v>
      </c>
      <c r="F372" s="24" t="str">
        <f t="shared" si="27"/>
        <v>Jan</v>
      </c>
      <c r="G372" s="24">
        <f t="shared" si="28"/>
        <v>1</v>
      </c>
      <c r="H372" s="19">
        <v>1896</v>
      </c>
      <c r="I372" s="19" t="s">
        <v>3</v>
      </c>
      <c r="J372" s="19" t="s">
        <v>8</v>
      </c>
      <c r="K372" s="20">
        <v>2</v>
      </c>
      <c r="L372" s="21">
        <v>574.78</v>
      </c>
      <c r="M372" s="22">
        <v>0.19</v>
      </c>
      <c r="N372" s="21">
        <f t="shared" si="29"/>
        <v>465.5718</v>
      </c>
      <c r="O372" s="21">
        <v>931.14</v>
      </c>
      <c r="P372" s="19" t="s">
        <v>6</v>
      </c>
      <c r="Q372" s="23">
        <v>8</v>
      </c>
      <c r="R372" s="45">
        <v>3.7</v>
      </c>
    </row>
    <row r="373" spans="2:18" x14ac:dyDescent="0.2">
      <c r="B373" s="25">
        <v>370</v>
      </c>
      <c r="C373" s="18">
        <v>44200</v>
      </c>
      <c r="D373" s="24">
        <f t="shared" si="25"/>
        <v>2021</v>
      </c>
      <c r="E373" s="24" t="str">
        <f t="shared" si="26"/>
        <v>Q1</v>
      </c>
      <c r="F373" s="24" t="str">
        <f t="shared" si="27"/>
        <v>Jan</v>
      </c>
      <c r="G373" s="24">
        <f t="shared" si="28"/>
        <v>1</v>
      </c>
      <c r="H373" s="19">
        <v>1303</v>
      </c>
      <c r="I373" s="19" t="s">
        <v>0</v>
      </c>
      <c r="J373" s="19" t="s">
        <v>1</v>
      </c>
      <c r="K373" s="20">
        <v>7</v>
      </c>
      <c r="L373" s="21">
        <v>529.25</v>
      </c>
      <c r="M373" s="22">
        <v>0.02</v>
      </c>
      <c r="N373" s="21">
        <f t="shared" si="29"/>
        <v>518.66499999999996</v>
      </c>
      <c r="O373" s="21">
        <v>3630.66</v>
      </c>
      <c r="P373" s="19" t="s">
        <v>4</v>
      </c>
      <c r="Q373" s="23">
        <v>7</v>
      </c>
      <c r="R373" s="45">
        <v>1.3</v>
      </c>
    </row>
    <row r="374" spans="2:18" x14ac:dyDescent="0.2">
      <c r="B374" s="25">
        <v>371</v>
      </c>
      <c r="C374" s="18">
        <v>44201</v>
      </c>
      <c r="D374" s="24">
        <f t="shared" si="25"/>
        <v>2021</v>
      </c>
      <c r="E374" s="24" t="str">
        <f t="shared" si="26"/>
        <v>Q1</v>
      </c>
      <c r="F374" s="24" t="str">
        <f t="shared" si="27"/>
        <v>Jan</v>
      </c>
      <c r="G374" s="24">
        <f t="shared" si="28"/>
        <v>1</v>
      </c>
      <c r="H374" s="19">
        <v>1253</v>
      </c>
      <c r="I374" s="19" t="s">
        <v>7</v>
      </c>
      <c r="J374" s="19" t="s">
        <v>9</v>
      </c>
      <c r="K374" s="20">
        <v>7</v>
      </c>
      <c r="L374" s="21">
        <v>251.64</v>
      </c>
      <c r="M374" s="22">
        <v>0.34</v>
      </c>
      <c r="N374" s="21">
        <f t="shared" si="29"/>
        <v>166.08239999999998</v>
      </c>
      <c r="O374" s="21">
        <v>1162.58</v>
      </c>
      <c r="P374" s="19" t="s">
        <v>6</v>
      </c>
      <c r="Q374" s="23">
        <v>2</v>
      </c>
      <c r="R374" s="45">
        <v>4.5</v>
      </c>
    </row>
    <row r="375" spans="2:18" x14ac:dyDescent="0.2">
      <c r="B375" s="25">
        <v>372</v>
      </c>
      <c r="C375" s="18">
        <v>44202</v>
      </c>
      <c r="D375" s="24">
        <f t="shared" si="25"/>
        <v>2021</v>
      </c>
      <c r="E375" s="24" t="str">
        <f t="shared" si="26"/>
        <v>Q1</v>
      </c>
      <c r="F375" s="24" t="str">
        <f t="shared" si="27"/>
        <v>Jan</v>
      </c>
      <c r="G375" s="24">
        <f t="shared" si="28"/>
        <v>1</v>
      </c>
      <c r="H375" s="19">
        <v>1651</v>
      </c>
      <c r="I375" s="19" t="s">
        <v>7</v>
      </c>
      <c r="J375" s="19" t="s">
        <v>1</v>
      </c>
      <c r="K375" s="20">
        <v>1</v>
      </c>
      <c r="L375" s="21">
        <v>185.54</v>
      </c>
      <c r="M375" s="22">
        <v>0.28999999999999998</v>
      </c>
      <c r="N375" s="21">
        <f t="shared" si="29"/>
        <v>131.73339999999999</v>
      </c>
      <c r="O375" s="21">
        <v>131.72999999999999</v>
      </c>
      <c r="P375" s="19" t="s">
        <v>2</v>
      </c>
      <c r="Q375" s="23">
        <v>5</v>
      </c>
      <c r="R375" s="45">
        <v>3</v>
      </c>
    </row>
    <row r="376" spans="2:18" x14ac:dyDescent="0.2">
      <c r="B376" s="25">
        <v>373</v>
      </c>
      <c r="C376" s="18">
        <v>44203</v>
      </c>
      <c r="D376" s="24">
        <f t="shared" si="25"/>
        <v>2021</v>
      </c>
      <c r="E376" s="24" t="str">
        <f t="shared" si="26"/>
        <v>Q1</v>
      </c>
      <c r="F376" s="24" t="str">
        <f t="shared" si="27"/>
        <v>Jan</v>
      </c>
      <c r="G376" s="24">
        <f t="shared" si="28"/>
        <v>1</v>
      </c>
      <c r="H376" s="19">
        <v>1452</v>
      </c>
      <c r="I376" s="19" t="s">
        <v>3</v>
      </c>
      <c r="J376" s="19" t="s">
        <v>9</v>
      </c>
      <c r="K376" s="20">
        <v>2</v>
      </c>
      <c r="L376" s="21">
        <v>152.13</v>
      </c>
      <c r="M376" s="22">
        <v>0.05</v>
      </c>
      <c r="N376" s="21">
        <f t="shared" si="29"/>
        <v>144.52349999999998</v>
      </c>
      <c r="O376" s="21">
        <v>289.05</v>
      </c>
      <c r="P376" s="19" t="s">
        <v>4</v>
      </c>
      <c r="Q376" s="23">
        <v>7</v>
      </c>
      <c r="R376" s="45">
        <v>4.5</v>
      </c>
    </row>
    <row r="377" spans="2:18" x14ac:dyDescent="0.2">
      <c r="B377" s="25">
        <v>374</v>
      </c>
      <c r="C377" s="18">
        <v>44204</v>
      </c>
      <c r="D377" s="24">
        <f t="shared" si="25"/>
        <v>2021</v>
      </c>
      <c r="E377" s="24" t="str">
        <f t="shared" si="26"/>
        <v>Q1</v>
      </c>
      <c r="F377" s="24" t="str">
        <f t="shared" si="27"/>
        <v>Jan</v>
      </c>
      <c r="G377" s="24">
        <f t="shared" si="28"/>
        <v>1</v>
      </c>
      <c r="H377" s="19">
        <v>1036</v>
      </c>
      <c r="I377" s="19" t="s">
        <v>7</v>
      </c>
      <c r="J377" s="19" t="s">
        <v>1</v>
      </c>
      <c r="K377" s="20">
        <v>4</v>
      </c>
      <c r="L377" s="21">
        <v>326.52</v>
      </c>
      <c r="M377" s="22">
        <v>0.32</v>
      </c>
      <c r="N377" s="21">
        <f t="shared" si="29"/>
        <v>222.03359999999998</v>
      </c>
      <c r="O377" s="21">
        <v>888.13</v>
      </c>
      <c r="P377" s="19" t="s">
        <v>2</v>
      </c>
      <c r="Q377" s="23">
        <v>3</v>
      </c>
      <c r="R377" s="45">
        <v>2.4</v>
      </c>
    </row>
    <row r="378" spans="2:18" x14ac:dyDescent="0.2">
      <c r="B378" s="25">
        <v>375</v>
      </c>
      <c r="C378" s="18">
        <v>44205</v>
      </c>
      <c r="D378" s="24">
        <f t="shared" si="25"/>
        <v>2021</v>
      </c>
      <c r="E378" s="24" t="str">
        <f t="shared" si="26"/>
        <v>Q1</v>
      </c>
      <c r="F378" s="24" t="str">
        <f t="shared" si="27"/>
        <v>Jan</v>
      </c>
      <c r="G378" s="24">
        <f t="shared" si="28"/>
        <v>1</v>
      </c>
      <c r="H378" s="19">
        <v>1159</v>
      </c>
      <c r="I378" s="19" t="s">
        <v>10</v>
      </c>
      <c r="J378" s="19" t="s">
        <v>1</v>
      </c>
      <c r="K378" s="20">
        <v>1</v>
      </c>
      <c r="L378" s="21">
        <v>81.84</v>
      </c>
      <c r="M378" s="22">
        <v>0.16</v>
      </c>
      <c r="N378" s="21">
        <f t="shared" si="29"/>
        <v>68.745599999999996</v>
      </c>
      <c r="O378" s="21">
        <v>68.75</v>
      </c>
      <c r="P378" s="19" t="s">
        <v>4</v>
      </c>
      <c r="Q378" s="23">
        <v>2</v>
      </c>
      <c r="R378" s="45">
        <v>3.6</v>
      </c>
    </row>
    <row r="379" spans="2:18" x14ac:dyDescent="0.2">
      <c r="B379" s="25">
        <v>376</v>
      </c>
      <c r="C379" s="18">
        <v>44206</v>
      </c>
      <c r="D379" s="24">
        <f t="shared" si="25"/>
        <v>2021</v>
      </c>
      <c r="E379" s="24" t="str">
        <f t="shared" si="26"/>
        <v>Q1</v>
      </c>
      <c r="F379" s="24" t="str">
        <f t="shared" si="27"/>
        <v>Jan</v>
      </c>
      <c r="G379" s="24">
        <f t="shared" si="28"/>
        <v>1</v>
      </c>
      <c r="H379" s="19">
        <v>1008</v>
      </c>
      <c r="I379" s="19" t="s">
        <v>10</v>
      </c>
      <c r="J379" s="19" t="s">
        <v>9</v>
      </c>
      <c r="K379" s="20">
        <v>5</v>
      </c>
      <c r="L379" s="21">
        <v>336.33</v>
      </c>
      <c r="M379" s="22">
        <v>0.13</v>
      </c>
      <c r="N379" s="21">
        <f t="shared" si="29"/>
        <v>292.6071</v>
      </c>
      <c r="O379" s="21">
        <v>1463.04</v>
      </c>
      <c r="P379" s="19" t="s">
        <v>6</v>
      </c>
      <c r="Q379" s="23">
        <v>6</v>
      </c>
      <c r="R379" s="45">
        <v>4.8</v>
      </c>
    </row>
    <row r="380" spans="2:18" x14ac:dyDescent="0.2">
      <c r="B380" s="25">
        <v>377</v>
      </c>
      <c r="C380" s="18">
        <v>44207</v>
      </c>
      <c r="D380" s="24">
        <f t="shared" si="25"/>
        <v>2021</v>
      </c>
      <c r="E380" s="24" t="str">
        <f t="shared" si="26"/>
        <v>Q1</v>
      </c>
      <c r="F380" s="24" t="str">
        <f t="shared" si="27"/>
        <v>Jan</v>
      </c>
      <c r="G380" s="24">
        <f t="shared" si="28"/>
        <v>1</v>
      </c>
      <c r="H380" s="19">
        <v>1232</v>
      </c>
      <c r="I380" s="19" t="s">
        <v>7</v>
      </c>
      <c r="J380" s="19" t="s">
        <v>9</v>
      </c>
      <c r="K380" s="20">
        <v>1</v>
      </c>
      <c r="L380" s="21">
        <v>15.78</v>
      </c>
      <c r="M380" s="22">
        <v>0.16</v>
      </c>
      <c r="N380" s="21">
        <f t="shared" si="29"/>
        <v>13.255199999999999</v>
      </c>
      <c r="O380" s="21">
        <v>13.26</v>
      </c>
      <c r="P380" s="19" t="s">
        <v>2</v>
      </c>
      <c r="Q380" s="23">
        <v>10</v>
      </c>
      <c r="R380" s="45">
        <v>4.8</v>
      </c>
    </row>
    <row r="381" spans="2:18" x14ac:dyDescent="0.2">
      <c r="B381" s="25">
        <v>378</v>
      </c>
      <c r="C381" s="18">
        <v>44208</v>
      </c>
      <c r="D381" s="24">
        <f t="shared" si="25"/>
        <v>2021</v>
      </c>
      <c r="E381" s="24" t="str">
        <f t="shared" si="26"/>
        <v>Q1</v>
      </c>
      <c r="F381" s="24" t="str">
        <f t="shared" si="27"/>
        <v>Jan</v>
      </c>
      <c r="G381" s="24">
        <f t="shared" si="28"/>
        <v>1</v>
      </c>
      <c r="H381" s="19">
        <v>1098</v>
      </c>
      <c r="I381" s="19" t="s">
        <v>3</v>
      </c>
      <c r="J381" s="19" t="s">
        <v>1</v>
      </c>
      <c r="K381" s="20">
        <v>1</v>
      </c>
      <c r="L381" s="21">
        <v>204.45</v>
      </c>
      <c r="M381" s="22">
        <v>0.28999999999999998</v>
      </c>
      <c r="N381" s="21">
        <f t="shared" si="29"/>
        <v>145.15949999999998</v>
      </c>
      <c r="O381" s="21">
        <v>145.16</v>
      </c>
      <c r="P381" s="19" t="s">
        <v>2</v>
      </c>
      <c r="Q381" s="23">
        <v>6</v>
      </c>
      <c r="R381" s="45">
        <v>4.8</v>
      </c>
    </row>
    <row r="382" spans="2:18" x14ac:dyDescent="0.2">
      <c r="B382" s="25">
        <v>379</v>
      </c>
      <c r="C382" s="18">
        <v>44209</v>
      </c>
      <c r="D382" s="24">
        <f t="shared" si="25"/>
        <v>2021</v>
      </c>
      <c r="E382" s="24" t="str">
        <f t="shared" si="26"/>
        <v>Q1</v>
      </c>
      <c r="F382" s="24" t="str">
        <f t="shared" si="27"/>
        <v>Jan</v>
      </c>
      <c r="G382" s="24">
        <f t="shared" si="28"/>
        <v>1</v>
      </c>
      <c r="H382" s="19">
        <v>1658</v>
      </c>
      <c r="I382" s="19" t="s">
        <v>3</v>
      </c>
      <c r="J382" s="19" t="s">
        <v>1</v>
      </c>
      <c r="K382" s="20">
        <v>5</v>
      </c>
      <c r="L382" s="21">
        <v>143.66</v>
      </c>
      <c r="M382" s="22">
        <v>0.23</v>
      </c>
      <c r="N382" s="21">
        <f t="shared" si="29"/>
        <v>110.6182</v>
      </c>
      <c r="O382" s="21">
        <v>553.09</v>
      </c>
      <c r="P382" s="19" t="s">
        <v>6</v>
      </c>
      <c r="Q382" s="23">
        <v>11</v>
      </c>
      <c r="R382" s="45">
        <v>1.2</v>
      </c>
    </row>
    <row r="383" spans="2:18" x14ac:dyDescent="0.2">
      <c r="B383" s="25">
        <v>380</v>
      </c>
      <c r="C383" s="18">
        <v>44210</v>
      </c>
      <c r="D383" s="24">
        <f t="shared" si="25"/>
        <v>2021</v>
      </c>
      <c r="E383" s="24" t="str">
        <f t="shared" si="26"/>
        <v>Q1</v>
      </c>
      <c r="F383" s="24" t="str">
        <f t="shared" si="27"/>
        <v>Jan</v>
      </c>
      <c r="G383" s="24">
        <f t="shared" si="28"/>
        <v>1</v>
      </c>
      <c r="H383" s="19">
        <v>1815</v>
      </c>
      <c r="I383" s="19" t="s">
        <v>3</v>
      </c>
      <c r="J383" s="19" t="s">
        <v>1</v>
      </c>
      <c r="K383" s="20">
        <v>6</v>
      </c>
      <c r="L383" s="21">
        <v>583.16</v>
      </c>
      <c r="M383" s="22">
        <v>0.02</v>
      </c>
      <c r="N383" s="21">
        <f t="shared" si="29"/>
        <v>571.49680000000001</v>
      </c>
      <c r="O383" s="21">
        <v>3428.98</v>
      </c>
      <c r="P383" s="19" t="s">
        <v>6</v>
      </c>
      <c r="Q383" s="23">
        <v>4</v>
      </c>
      <c r="R383" s="45">
        <v>2.6</v>
      </c>
    </row>
    <row r="384" spans="2:18" x14ac:dyDescent="0.2">
      <c r="B384" s="25">
        <v>381</v>
      </c>
      <c r="C384" s="18">
        <v>44211</v>
      </c>
      <c r="D384" s="24">
        <f t="shared" si="25"/>
        <v>2021</v>
      </c>
      <c r="E384" s="24" t="str">
        <f t="shared" si="26"/>
        <v>Q1</v>
      </c>
      <c r="F384" s="24" t="str">
        <f t="shared" si="27"/>
        <v>Jan</v>
      </c>
      <c r="G384" s="24">
        <f t="shared" si="28"/>
        <v>1</v>
      </c>
      <c r="H384" s="19">
        <v>1207</v>
      </c>
      <c r="I384" s="19" t="s">
        <v>0</v>
      </c>
      <c r="J384" s="19" t="s">
        <v>8</v>
      </c>
      <c r="K384" s="20">
        <v>7</v>
      </c>
      <c r="L384" s="21">
        <v>440.44</v>
      </c>
      <c r="M384" s="22">
        <v>0.34</v>
      </c>
      <c r="N384" s="21">
        <f t="shared" si="29"/>
        <v>290.69039999999995</v>
      </c>
      <c r="O384" s="21">
        <v>2034.83</v>
      </c>
      <c r="P384" s="19" t="s">
        <v>4</v>
      </c>
      <c r="Q384" s="23">
        <v>1</v>
      </c>
      <c r="R384" s="45">
        <v>1.2</v>
      </c>
    </row>
    <row r="385" spans="2:18" x14ac:dyDescent="0.2">
      <c r="B385" s="25">
        <v>382</v>
      </c>
      <c r="C385" s="18">
        <v>44212</v>
      </c>
      <c r="D385" s="24">
        <f t="shared" si="25"/>
        <v>2021</v>
      </c>
      <c r="E385" s="24" t="str">
        <f t="shared" si="26"/>
        <v>Q1</v>
      </c>
      <c r="F385" s="24" t="str">
        <f t="shared" si="27"/>
        <v>Jan</v>
      </c>
      <c r="G385" s="24">
        <f t="shared" si="28"/>
        <v>1</v>
      </c>
      <c r="H385" s="19">
        <v>1130</v>
      </c>
      <c r="I385" s="19" t="s">
        <v>10</v>
      </c>
      <c r="J385" s="19" t="s">
        <v>8</v>
      </c>
      <c r="K385" s="20">
        <v>4</v>
      </c>
      <c r="L385" s="21">
        <v>219.55</v>
      </c>
      <c r="M385" s="22">
        <v>0.05</v>
      </c>
      <c r="N385" s="21">
        <f t="shared" si="29"/>
        <v>208.57250000000002</v>
      </c>
      <c r="O385" s="21">
        <v>834.29</v>
      </c>
      <c r="P385" s="19" t="s">
        <v>4</v>
      </c>
      <c r="Q385" s="23">
        <v>5</v>
      </c>
      <c r="R385" s="45">
        <v>2.2000000000000002</v>
      </c>
    </row>
    <row r="386" spans="2:18" x14ac:dyDescent="0.2">
      <c r="B386" s="25">
        <v>383</v>
      </c>
      <c r="C386" s="18">
        <v>44213</v>
      </c>
      <c r="D386" s="24">
        <f t="shared" si="25"/>
        <v>2021</v>
      </c>
      <c r="E386" s="24" t="str">
        <f t="shared" si="26"/>
        <v>Q1</v>
      </c>
      <c r="F386" s="24" t="str">
        <f t="shared" si="27"/>
        <v>Jan</v>
      </c>
      <c r="G386" s="24">
        <f t="shared" si="28"/>
        <v>1</v>
      </c>
      <c r="H386" s="19">
        <v>1403</v>
      </c>
      <c r="I386" s="19" t="s">
        <v>10</v>
      </c>
      <c r="J386" s="19" t="s">
        <v>5</v>
      </c>
      <c r="K386" s="20">
        <v>6</v>
      </c>
      <c r="L386" s="21">
        <v>69.31</v>
      </c>
      <c r="M386" s="22">
        <v>0.26</v>
      </c>
      <c r="N386" s="21">
        <f t="shared" si="29"/>
        <v>51.289400000000001</v>
      </c>
      <c r="O386" s="21">
        <v>307.74</v>
      </c>
      <c r="P386" s="19" t="s">
        <v>4</v>
      </c>
      <c r="Q386" s="23">
        <v>1</v>
      </c>
      <c r="R386" s="45">
        <v>1.7</v>
      </c>
    </row>
    <row r="387" spans="2:18" x14ac:dyDescent="0.2">
      <c r="B387" s="25">
        <v>384</v>
      </c>
      <c r="C387" s="18">
        <v>44214</v>
      </c>
      <c r="D387" s="24">
        <f t="shared" si="25"/>
        <v>2021</v>
      </c>
      <c r="E387" s="24" t="str">
        <f t="shared" si="26"/>
        <v>Q1</v>
      </c>
      <c r="F387" s="24" t="str">
        <f t="shared" si="27"/>
        <v>Jan</v>
      </c>
      <c r="G387" s="24">
        <f t="shared" si="28"/>
        <v>1</v>
      </c>
      <c r="H387" s="19">
        <v>1151</v>
      </c>
      <c r="I387" s="19" t="s">
        <v>10</v>
      </c>
      <c r="J387" s="19" t="s">
        <v>8</v>
      </c>
      <c r="K387" s="20">
        <v>6</v>
      </c>
      <c r="L387" s="21">
        <v>317.33</v>
      </c>
      <c r="M387" s="22">
        <v>0.22</v>
      </c>
      <c r="N387" s="21">
        <f t="shared" si="29"/>
        <v>247.51739999999998</v>
      </c>
      <c r="O387" s="21">
        <v>1485.1</v>
      </c>
      <c r="P387" s="19" t="s">
        <v>4</v>
      </c>
      <c r="Q387" s="23">
        <v>11</v>
      </c>
      <c r="R387" s="45">
        <v>3.5</v>
      </c>
    </row>
    <row r="388" spans="2:18" x14ac:dyDescent="0.2">
      <c r="B388" s="25">
        <v>385</v>
      </c>
      <c r="C388" s="18">
        <v>44215</v>
      </c>
      <c r="D388" s="24">
        <f t="shared" ref="D388:D451" si="30">YEAR(C388)</f>
        <v>2021</v>
      </c>
      <c r="E388" s="24" t="str">
        <f t="shared" ref="E388:E451" si="31">"Q"&amp;ROUNDUP(MONTH(C388)/3,0)</f>
        <v>Q1</v>
      </c>
      <c r="F388" s="24" t="str">
        <f t="shared" ref="F388:F451" si="32">TEXT(C388,"mmm")</f>
        <v>Jan</v>
      </c>
      <c r="G388" s="24">
        <f t="shared" ref="G388:G451" si="33">MONTH(C388)</f>
        <v>1</v>
      </c>
      <c r="H388" s="19">
        <v>1053</v>
      </c>
      <c r="I388" s="19" t="s">
        <v>3</v>
      </c>
      <c r="J388" s="19" t="s">
        <v>8</v>
      </c>
      <c r="K388" s="20">
        <v>6</v>
      </c>
      <c r="L388" s="21">
        <v>139.87</v>
      </c>
      <c r="M388" s="22">
        <v>7.0000000000000007E-2</v>
      </c>
      <c r="N388" s="21">
        <f t="shared" si="29"/>
        <v>130.07910000000001</v>
      </c>
      <c r="O388" s="21">
        <v>780.47</v>
      </c>
      <c r="P388" s="19" t="s">
        <v>4</v>
      </c>
      <c r="Q388" s="23">
        <v>11</v>
      </c>
      <c r="R388" s="45">
        <v>4.0999999999999996</v>
      </c>
    </row>
    <row r="389" spans="2:18" x14ac:dyDescent="0.2">
      <c r="B389" s="25">
        <v>386</v>
      </c>
      <c r="C389" s="18">
        <v>44216</v>
      </c>
      <c r="D389" s="24">
        <f t="shared" si="30"/>
        <v>2021</v>
      </c>
      <c r="E389" s="24" t="str">
        <f t="shared" si="31"/>
        <v>Q1</v>
      </c>
      <c r="F389" s="24" t="str">
        <f t="shared" si="32"/>
        <v>Jan</v>
      </c>
      <c r="G389" s="24">
        <f t="shared" si="33"/>
        <v>1</v>
      </c>
      <c r="H389" s="19">
        <v>1119</v>
      </c>
      <c r="I389" s="19" t="s">
        <v>0</v>
      </c>
      <c r="J389" s="19" t="s">
        <v>9</v>
      </c>
      <c r="K389" s="20">
        <v>7</v>
      </c>
      <c r="L389" s="21">
        <v>328.81</v>
      </c>
      <c r="M389" s="22">
        <v>0.06</v>
      </c>
      <c r="N389" s="21">
        <f t="shared" ref="N389:N452" si="34">L389-(L389*M389)</f>
        <v>309.08140000000003</v>
      </c>
      <c r="O389" s="21">
        <v>2163.5700000000002</v>
      </c>
      <c r="P389" s="19" t="s">
        <v>4</v>
      </c>
      <c r="Q389" s="23">
        <v>8</v>
      </c>
      <c r="R389" s="45">
        <v>3.1</v>
      </c>
    </row>
    <row r="390" spans="2:18" x14ac:dyDescent="0.2">
      <c r="B390" s="25">
        <v>387</v>
      </c>
      <c r="C390" s="18">
        <v>44217</v>
      </c>
      <c r="D390" s="24">
        <f t="shared" si="30"/>
        <v>2021</v>
      </c>
      <c r="E390" s="24" t="str">
        <f t="shared" si="31"/>
        <v>Q1</v>
      </c>
      <c r="F390" s="24" t="str">
        <f t="shared" si="32"/>
        <v>Jan</v>
      </c>
      <c r="G390" s="24">
        <f t="shared" si="33"/>
        <v>1</v>
      </c>
      <c r="H390" s="19">
        <v>1672</v>
      </c>
      <c r="I390" s="19" t="s">
        <v>10</v>
      </c>
      <c r="J390" s="19" t="s">
        <v>5</v>
      </c>
      <c r="K390" s="20">
        <v>3</v>
      </c>
      <c r="L390" s="21">
        <v>503.69</v>
      </c>
      <c r="M390" s="22">
        <v>0.3</v>
      </c>
      <c r="N390" s="21">
        <f t="shared" si="34"/>
        <v>352.58299999999997</v>
      </c>
      <c r="O390" s="21">
        <v>1057.75</v>
      </c>
      <c r="P390" s="19" t="s">
        <v>2</v>
      </c>
      <c r="Q390" s="23">
        <v>2</v>
      </c>
      <c r="R390" s="45">
        <v>4.2</v>
      </c>
    </row>
    <row r="391" spans="2:18" x14ac:dyDescent="0.2">
      <c r="B391" s="25">
        <v>388</v>
      </c>
      <c r="C391" s="18">
        <v>44218</v>
      </c>
      <c r="D391" s="24">
        <f t="shared" si="30"/>
        <v>2021</v>
      </c>
      <c r="E391" s="24" t="str">
        <f t="shared" si="31"/>
        <v>Q1</v>
      </c>
      <c r="F391" s="24" t="str">
        <f t="shared" si="32"/>
        <v>Jan</v>
      </c>
      <c r="G391" s="24">
        <f t="shared" si="33"/>
        <v>1</v>
      </c>
      <c r="H391" s="19">
        <v>1919</v>
      </c>
      <c r="I391" s="19" t="s">
        <v>10</v>
      </c>
      <c r="J391" s="19" t="s">
        <v>5</v>
      </c>
      <c r="K391" s="20">
        <v>7</v>
      </c>
      <c r="L391" s="21">
        <v>375.24</v>
      </c>
      <c r="M391" s="22">
        <v>0.15</v>
      </c>
      <c r="N391" s="21">
        <f t="shared" si="34"/>
        <v>318.95400000000001</v>
      </c>
      <c r="O391" s="21">
        <v>2232.6799999999998</v>
      </c>
      <c r="P391" s="19" t="s">
        <v>6</v>
      </c>
      <c r="Q391" s="23">
        <v>9</v>
      </c>
      <c r="R391" s="45">
        <v>1.1000000000000001</v>
      </c>
    </row>
    <row r="392" spans="2:18" x14ac:dyDescent="0.2">
      <c r="B392" s="25">
        <v>389</v>
      </c>
      <c r="C392" s="18">
        <v>44219</v>
      </c>
      <c r="D392" s="24">
        <f t="shared" si="30"/>
        <v>2021</v>
      </c>
      <c r="E392" s="24" t="str">
        <f t="shared" si="31"/>
        <v>Q1</v>
      </c>
      <c r="F392" s="24" t="str">
        <f t="shared" si="32"/>
        <v>Jan</v>
      </c>
      <c r="G392" s="24">
        <f t="shared" si="33"/>
        <v>1</v>
      </c>
      <c r="H392" s="19">
        <v>1627</v>
      </c>
      <c r="I392" s="19" t="s">
        <v>0</v>
      </c>
      <c r="J392" s="19" t="s">
        <v>8</v>
      </c>
      <c r="K392" s="20">
        <v>6</v>
      </c>
      <c r="L392" s="21">
        <v>385.77</v>
      </c>
      <c r="M392" s="22">
        <v>0.23</v>
      </c>
      <c r="N392" s="21">
        <f t="shared" si="34"/>
        <v>297.04289999999997</v>
      </c>
      <c r="O392" s="21">
        <v>1782.26</v>
      </c>
      <c r="P392" s="19" t="s">
        <v>4</v>
      </c>
      <c r="Q392" s="23">
        <v>9</v>
      </c>
      <c r="R392" s="45">
        <v>4.3</v>
      </c>
    </row>
    <row r="393" spans="2:18" x14ac:dyDescent="0.2">
      <c r="B393" s="25">
        <v>390</v>
      </c>
      <c r="C393" s="18">
        <v>44220</v>
      </c>
      <c r="D393" s="24">
        <f t="shared" si="30"/>
        <v>2021</v>
      </c>
      <c r="E393" s="24" t="str">
        <f t="shared" si="31"/>
        <v>Q1</v>
      </c>
      <c r="F393" s="24" t="str">
        <f t="shared" si="32"/>
        <v>Jan</v>
      </c>
      <c r="G393" s="24">
        <f t="shared" si="33"/>
        <v>1</v>
      </c>
      <c r="H393" s="19">
        <v>1586</v>
      </c>
      <c r="I393" s="19" t="s">
        <v>7</v>
      </c>
      <c r="J393" s="19" t="s">
        <v>9</v>
      </c>
      <c r="K393" s="20">
        <v>3</v>
      </c>
      <c r="L393" s="21">
        <v>331.5</v>
      </c>
      <c r="M393" s="22">
        <v>0.18</v>
      </c>
      <c r="N393" s="21">
        <f t="shared" si="34"/>
        <v>271.83</v>
      </c>
      <c r="O393" s="21">
        <v>815.49</v>
      </c>
      <c r="P393" s="19" t="s">
        <v>2</v>
      </c>
      <c r="Q393" s="23">
        <v>3</v>
      </c>
      <c r="R393" s="45">
        <v>1.7</v>
      </c>
    </row>
    <row r="394" spans="2:18" x14ac:dyDescent="0.2">
      <c r="B394" s="25">
        <v>391</v>
      </c>
      <c r="C394" s="18">
        <v>44221</v>
      </c>
      <c r="D394" s="24">
        <f t="shared" si="30"/>
        <v>2021</v>
      </c>
      <c r="E394" s="24" t="str">
        <f t="shared" si="31"/>
        <v>Q1</v>
      </c>
      <c r="F394" s="24" t="str">
        <f t="shared" si="32"/>
        <v>Jan</v>
      </c>
      <c r="G394" s="24">
        <f t="shared" si="33"/>
        <v>1</v>
      </c>
      <c r="H394" s="19">
        <v>1624</v>
      </c>
      <c r="I394" s="19" t="s">
        <v>10</v>
      </c>
      <c r="J394" s="19" t="s">
        <v>9</v>
      </c>
      <c r="K394" s="20">
        <v>5</v>
      </c>
      <c r="L394" s="21">
        <v>557.45000000000005</v>
      </c>
      <c r="M394" s="22">
        <v>0.25</v>
      </c>
      <c r="N394" s="21">
        <f t="shared" si="34"/>
        <v>418.08750000000003</v>
      </c>
      <c r="O394" s="21">
        <v>2090.44</v>
      </c>
      <c r="P394" s="19" t="s">
        <v>4</v>
      </c>
      <c r="Q394" s="23">
        <v>6</v>
      </c>
      <c r="R394" s="45">
        <v>2.8</v>
      </c>
    </row>
    <row r="395" spans="2:18" x14ac:dyDescent="0.2">
      <c r="B395" s="25">
        <v>392</v>
      </c>
      <c r="C395" s="18">
        <v>44222</v>
      </c>
      <c r="D395" s="24">
        <f t="shared" si="30"/>
        <v>2021</v>
      </c>
      <c r="E395" s="24" t="str">
        <f t="shared" si="31"/>
        <v>Q1</v>
      </c>
      <c r="F395" s="24" t="str">
        <f t="shared" si="32"/>
        <v>Jan</v>
      </c>
      <c r="G395" s="24">
        <f t="shared" si="33"/>
        <v>1</v>
      </c>
      <c r="H395" s="19">
        <v>1967</v>
      </c>
      <c r="I395" s="19" t="s">
        <v>7</v>
      </c>
      <c r="J395" s="19" t="s">
        <v>5</v>
      </c>
      <c r="K395" s="20">
        <v>7</v>
      </c>
      <c r="L395" s="21">
        <v>560.16</v>
      </c>
      <c r="M395" s="22">
        <v>0.17</v>
      </c>
      <c r="N395" s="21">
        <f t="shared" si="34"/>
        <v>464.93279999999999</v>
      </c>
      <c r="O395" s="21">
        <v>3254.53</v>
      </c>
      <c r="P395" s="19" t="s">
        <v>6</v>
      </c>
      <c r="Q395" s="23">
        <v>9</v>
      </c>
      <c r="R395" s="45">
        <v>2.8</v>
      </c>
    </row>
    <row r="396" spans="2:18" x14ac:dyDescent="0.2">
      <c r="B396" s="25">
        <v>393</v>
      </c>
      <c r="C396" s="18">
        <v>44223</v>
      </c>
      <c r="D396" s="24">
        <f t="shared" si="30"/>
        <v>2021</v>
      </c>
      <c r="E396" s="24" t="str">
        <f t="shared" si="31"/>
        <v>Q1</v>
      </c>
      <c r="F396" s="24" t="str">
        <f t="shared" si="32"/>
        <v>Jan</v>
      </c>
      <c r="G396" s="24">
        <f t="shared" si="33"/>
        <v>1</v>
      </c>
      <c r="H396" s="19">
        <v>1419</v>
      </c>
      <c r="I396" s="19" t="s">
        <v>7</v>
      </c>
      <c r="J396" s="19" t="s">
        <v>9</v>
      </c>
      <c r="K396" s="20">
        <v>4</v>
      </c>
      <c r="L396" s="21">
        <v>314.94</v>
      </c>
      <c r="M396" s="22">
        <v>0.1</v>
      </c>
      <c r="N396" s="21">
        <f t="shared" si="34"/>
        <v>283.44600000000003</v>
      </c>
      <c r="O396" s="21">
        <v>1133.78</v>
      </c>
      <c r="P396" s="19" t="s">
        <v>6</v>
      </c>
      <c r="Q396" s="23">
        <v>7</v>
      </c>
      <c r="R396" s="45">
        <v>4.5</v>
      </c>
    </row>
    <row r="397" spans="2:18" x14ac:dyDescent="0.2">
      <c r="B397" s="25">
        <v>394</v>
      </c>
      <c r="C397" s="18">
        <v>44224</v>
      </c>
      <c r="D397" s="24">
        <f t="shared" si="30"/>
        <v>2021</v>
      </c>
      <c r="E397" s="24" t="str">
        <f t="shared" si="31"/>
        <v>Q1</v>
      </c>
      <c r="F397" s="24" t="str">
        <f t="shared" si="32"/>
        <v>Jan</v>
      </c>
      <c r="G397" s="24">
        <f t="shared" si="33"/>
        <v>1</v>
      </c>
      <c r="H397" s="19">
        <v>1421</v>
      </c>
      <c r="I397" s="19" t="s">
        <v>7</v>
      </c>
      <c r="J397" s="19" t="s">
        <v>1</v>
      </c>
      <c r="K397" s="20">
        <v>6</v>
      </c>
      <c r="L397" s="21">
        <v>193.87</v>
      </c>
      <c r="M397" s="22">
        <v>0.13</v>
      </c>
      <c r="N397" s="21">
        <f t="shared" si="34"/>
        <v>168.6669</v>
      </c>
      <c r="O397" s="21">
        <v>1012</v>
      </c>
      <c r="P397" s="19" t="s">
        <v>4</v>
      </c>
      <c r="Q397" s="23">
        <v>4</v>
      </c>
      <c r="R397" s="45">
        <v>4.9000000000000004</v>
      </c>
    </row>
    <row r="398" spans="2:18" x14ac:dyDescent="0.2">
      <c r="B398" s="25">
        <v>395</v>
      </c>
      <c r="C398" s="18">
        <v>44225</v>
      </c>
      <c r="D398" s="24">
        <f t="shared" si="30"/>
        <v>2021</v>
      </c>
      <c r="E398" s="24" t="str">
        <f t="shared" si="31"/>
        <v>Q1</v>
      </c>
      <c r="F398" s="24" t="str">
        <f t="shared" si="32"/>
        <v>Jan</v>
      </c>
      <c r="G398" s="24">
        <f t="shared" si="33"/>
        <v>1</v>
      </c>
      <c r="H398" s="19">
        <v>1103</v>
      </c>
      <c r="I398" s="19" t="s">
        <v>0</v>
      </c>
      <c r="J398" s="19" t="s">
        <v>8</v>
      </c>
      <c r="K398" s="20">
        <v>2</v>
      </c>
      <c r="L398" s="21">
        <v>283.86</v>
      </c>
      <c r="M398" s="22">
        <v>0.3</v>
      </c>
      <c r="N398" s="21">
        <f t="shared" si="34"/>
        <v>198.702</v>
      </c>
      <c r="O398" s="21">
        <v>397.4</v>
      </c>
      <c r="P398" s="19" t="s">
        <v>6</v>
      </c>
      <c r="Q398" s="23">
        <v>3</v>
      </c>
      <c r="R398" s="45">
        <v>2</v>
      </c>
    </row>
    <row r="399" spans="2:18" x14ac:dyDescent="0.2">
      <c r="B399" s="25">
        <v>396</v>
      </c>
      <c r="C399" s="18">
        <v>44226</v>
      </c>
      <c r="D399" s="24">
        <f t="shared" si="30"/>
        <v>2021</v>
      </c>
      <c r="E399" s="24" t="str">
        <f t="shared" si="31"/>
        <v>Q1</v>
      </c>
      <c r="F399" s="24" t="str">
        <f t="shared" si="32"/>
        <v>Jan</v>
      </c>
      <c r="G399" s="24">
        <f t="shared" si="33"/>
        <v>1</v>
      </c>
      <c r="H399" s="19">
        <v>1851</v>
      </c>
      <c r="I399" s="19" t="s">
        <v>0</v>
      </c>
      <c r="J399" s="19" t="s">
        <v>1</v>
      </c>
      <c r="K399" s="20">
        <v>5</v>
      </c>
      <c r="L399" s="21">
        <v>124.14</v>
      </c>
      <c r="M399" s="22">
        <v>0.16</v>
      </c>
      <c r="N399" s="21">
        <f t="shared" si="34"/>
        <v>104.27760000000001</v>
      </c>
      <c r="O399" s="21">
        <v>521.39</v>
      </c>
      <c r="P399" s="19" t="s">
        <v>4</v>
      </c>
      <c r="Q399" s="23">
        <v>2</v>
      </c>
      <c r="R399" s="45">
        <v>1.3</v>
      </c>
    </row>
    <row r="400" spans="2:18" x14ac:dyDescent="0.2">
      <c r="B400" s="25">
        <v>397</v>
      </c>
      <c r="C400" s="18">
        <v>44227</v>
      </c>
      <c r="D400" s="24">
        <f t="shared" si="30"/>
        <v>2021</v>
      </c>
      <c r="E400" s="24" t="str">
        <f t="shared" si="31"/>
        <v>Q1</v>
      </c>
      <c r="F400" s="24" t="str">
        <f t="shared" si="32"/>
        <v>Jan</v>
      </c>
      <c r="G400" s="24">
        <f t="shared" si="33"/>
        <v>1</v>
      </c>
      <c r="H400" s="19">
        <v>1253</v>
      </c>
      <c r="I400" s="19" t="s">
        <v>10</v>
      </c>
      <c r="J400" s="19" t="s">
        <v>5</v>
      </c>
      <c r="K400" s="20">
        <v>3</v>
      </c>
      <c r="L400" s="21">
        <v>387.26</v>
      </c>
      <c r="M400" s="22">
        <v>7.0000000000000007E-2</v>
      </c>
      <c r="N400" s="21">
        <f t="shared" si="34"/>
        <v>360.15179999999998</v>
      </c>
      <c r="O400" s="21">
        <v>1080.46</v>
      </c>
      <c r="P400" s="19" t="s">
        <v>4</v>
      </c>
      <c r="Q400" s="23">
        <v>10</v>
      </c>
      <c r="R400" s="45">
        <v>3.6</v>
      </c>
    </row>
    <row r="401" spans="2:18" x14ac:dyDescent="0.2">
      <c r="B401" s="25">
        <v>398</v>
      </c>
      <c r="C401" s="18">
        <v>44228</v>
      </c>
      <c r="D401" s="24">
        <f t="shared" si="30"/>
        <v>2021</v>
      </c>
      <c r="E401" s="24" t="str">
        <f t="shared" si="31"/>
        <v>Q1</v>
      </c>
      <c r="F401" s="24" t="str">
        <f t="shared" si="32"/>
        <v>Feb</v>
      </c>
      <c r="G401" s="24">
        <f t="shared" si="33"/>
        <v>2</v>
      </c>
      <c r="H401" s="19">
        <v>1226</v>
      </c>
      <c r="I401" s="19" t="s">
        <v>10</v>
      </c>
      <c r="J401" s="19" t="s">
        <v>5</v>
      </c>
      <c r="K401" s="20">
        <v>7</v>
      </c>
      <c r="L401" s="21">
        <v>307.55</v>
      </c>
      <c r="M401" s="22">
        <v>0.33</v>
      </c>
      <c r="N401" s="21">
        <f t="shared" si="34"/>
        <v>206.05850000000001</v>
      </c>
      <c r="O401" s="21">
        <v>1442.41</v>
      </c>
      <c r="P401" s="19" t="s">
        <v>4</v>
      </c>
      <c r="Q401" s="23">
        <v>10</v>
      </c>
      <c r="R401" s="45">
        <v>3</v>
      </c>
    </row>
    <row r="402" spans="2:18" x14ac:dyDescent="0.2">
      <c r="B402" s="25">
        <v>399</v>
      </c>
      <c r="C402" s="18">
        <v>44229</v>
      </c>
      <c r="D402" s="24">
        <f t="shared" si="30"/>
        <v>2021</v>
      </c>
      <c r="E402" s="24" t="str">
        <f t="shared" si="31"/>
        <v>Q1</v>
      </c>
      <c r="F402" s="24" t="str">
        <f t="shared" si="32"/>
        <v>Feb</v>
      </c>
      <c r="G402" s="24">
        <f t="shared" si="33"/>
        <v>2</v>
      </c>
      <c r="H402" s="19">
        <v>1111</v>
      </c>
      <c r="I402" s="19" t="s">
        <v>3</v>
      </c>
      <c r="J402" s="19" t="s">
        <v>9</v>
      </c>
      <c r="K402" s="20">
        <v>4</v>
      </c>
      <c r="L402" s="21">
        <v>75.430000000000007</v>
      </c>
      <c r="M402" s="22">
        <v>0.28000000000000003</v>
      </c>
      <c r="N402" s="21">
        <f t="shared" si="34"/>
        <v>54.309600000000003</v>
      </c>
      <c r="O402" s="21">
        <v>217.24</v>
      </c>
      <c r="P402" s="19" t="s">
        <v>2</v>
      </c>
      <c r="Q402" s="23">
        <v>1</v>
      </c>
      <c r="R402" s="45">
        <v>3.3</v>
      </c>
    </row>
    <row r="403" spans="2:18" x14ac:dyDescent="0.2">
      <c r="B403" s="25">
        <v>400</v>
      </c>
      <c r="C403" s="18">
        <v>44230</v>
      </c>
      <c r="D403" s="24">
        <f t="shared" si="30"/>
        <v>2021</v>
      </c>
      <c r="E403" s="24" t="str">
        <f t="shared" si="31"/>
        <v>Q1</v>
      </c>
      <c r="F403" s="24" t="str">
        <f t="shared" si="32"/>
        <v>Feb</v>
      </c>
      <c r="G403" s="24">
        <f t="shared" si="33"/>
        <v>2</v>
      </c>
      <c r="H403" s="19">
        <v>1509</v>
      </c>
      <c r="I403" s="19" t="s">
        <v>0</v>
      </c>
      <c r="J403" s="19" t="s">
        <v>9</v>
      </c>
      <c r="K403" s="20">
        <v>1</v>
      </c>
      <c r="L403" s="21">
        <v>130.62</v>
      </c>
      <c r="M403" s="22">
        <v>0.02</v>
      </c>
      <c r="N403" s="21">
        <f t="shared" si="34"/>
        <v>128.0076</v>
      </c>
      <c r="O403" s="21">
        <v>128.01</v>
      </c>
      <c r="P403" s="19" t="s">
        <v>6</v>
      </c>
      <c r="Q403" s="23">
        <v>11</v>
      </c>
      <c r="R403" s="45">
        <v>1.2</v>
      </c>
    </row>
    <row r="404" spans="2:18" x14ac:dyDescent="0.2">
      <c r="B404" s="25">
        <v>401</v>
      </c>
      <c r="C404" s="18">
        <v>44231</v>
      </c>
      <c r="D404" s="24">
        <f t="shared" si="30"/>
        <v>2021</v>
      </c>
      <c r="E404" s="24" t="str">
        <f t="shared" si="31"/>
        <v>Q1</v>
      </c>
      <c r="F404" s="24" t="str">
        <f t="shared" si="32"/>
        <v>Feb</v>
      </c>
      <c r="G404" s="24">
        <f t="shared" si="33"/>
        <v>2</v>
      </c>
      <c r="H404" s="19">
        <v>1472</v>
      </c>
      <c r="I404" s="19" t="s">
        <v>3</v>
      </c>
      <c r="J404" s="19" t="s">
        <v>5</v>
      </c>
      <c r="K404" s="20">
        <v>4</v>
      </c>
      <c r="L404" s="21">
        <v>295.58</v>
      </c>
      <c r="M404" s="22">
        <v>0.35</v>
      </c>
      <c r="N404" s="21">
        <f t="shared" si="34"/>
        <v>192.12700000000001</v>
      </c>
      <c r="O404" s="21">
        <v>768.51</v>
      </c>
      <c r="P404" s="19" t="s">
        <v>6</v>
      </c>
      <c r="Q404" s="23">
        <v>10</v>
      </c>
      <c r="R404" s="45">
        <v>4.0999999999999996</v>
      </c>
    </row>
    <row r="405" spans="2:18" x14ac:dyDescent="0.2">
      <c r="B405" s="25">
        <v>402</v>
      </c>
      <c r="C405" s="18">
        <v>44232</v>
      </c>
      <c r="D405" s="24">
        <f t="shared" si="30"/>
        <v>2021</v>
      </c>
      <c r="E405" s="24" t="str">
        <f t="shared" si="31"/>
        <v>Q1</v>
      </c>
      <c r="F405" s="24" t="str">
        <f t="shared" si="32"/>
        <v>Feb</v>
      </c>
      <c r="G405" s="24">
        <f t="shared" si="33"/>
        <v>2</v>
      </c>
      <c r="H405" s="19">
        <v>1098</v>
      </c>
      <c r="I405" s="19" t="s">
        <v>3</v>
      </c>
      <c r="J405" s="19" t="s">
        <v>5</v>
      </c>
      <c r="K405" s="20">
        <v>4</v>
      </c>
      <c r="L405" s="21">
        <v>534.24</v>
      </c>
      <c r="M405" s="22">
        <v>0.24</v>
      </c>
      <c r="N405" s="21">
        <f t="shared" si="34"/>
        <v>406.0224</v>
      </c>
      <c r="O405" s="21">
        <v>1624.09</v>
      </c>
      <c r="P405" s="19" t="s">
        <v>6</v>
      </c>
      <c r="Q405" s="23">
        <v>11</v>
      </c>
      <c r="R405" s="45">
        <v>1.9</v>
      </c>
    </row>
    <row r="406" spans="2:18" x14ac:dyDescent="0.2">
      <c r="B406" s="25">
        <v>403</v>
      </c>
      <c r="C406" s="18">
        <v>44233</v>
      </c>
      <c r="D406" s="24">
        <f t="shared" si="30"/>
        <v>2021</v>
      </c>
      <c r="E406" s="24" t="str">
        <f t="shared" si="31"/>
        <v>Q1</v>
      </c>
      <c r="F406" s="24" t="str">
        <f t="shared" si="32"/>
        <v>Feb</v>
      </c>
      <c r="G406" s="24">
        <f t="shared" si="33"/>
        <v>2</v>
      </c>
      <c r="H406" s="19">
        <v>1152</v>
      </c>
      <c r="I406" s="19" t="s">
        <v>7</v>
      </c>
      <c r="J406" s="19" t="s">
        <v>1</v>
      </c>
      <c r="K406" s="20">
        <v>6</v>
      </c>
      <c r="L406" s="21">
        <v>346.34</v>
      </c>
      <c r="M406" s="22">
        <v>0.06</v>
      </c>
      <c r="N406" s="21">
        <f t="shared" si="34"/>
        <v>325.55959999999999</v>
      </c>
      <c r="O406" s="21">
        <v>1953.36</v>
      </c>
      <c r="P406" s="19" t="s">
        <v>4</v>
      </c>
      <c r="Q406" s="23">
        <v>1</v>
      </c>
      <c r="R406" s="45">
        <v>2.2999999999999998</v>
      </c>
    </row>
    <row r="407" spans="2:18" x14ac:dyDescent="0.2">
      <c r="B407" s="25">
        <v>404</v>
      </c>
      <c r="C407" s="18">
        <v>44234</v>
      </c>
      <c r="D407" s="24">
        <f t="shared" si="30"/>
        <v>2021</v>
      </c>
      <c r="E407" s="24" t="str">
        <f t="shared" si="31"/>
        <v>Q1</v>
      </c>
      <c r="F407" s="24" t="str">
        <f t="shared" si="32"/>
        <v>Feb</v>
      </c>
      <c r="G407" s="24">
        <f t="shared" si="33"/>
        <v>2</v>
      </c>
      <c r="H407" s="19">
        <v>1860</v>
      </c>
      <c r="I407" s="19" t="s">
        <v>10</v>
      </c>
      <c r="J407" s="19" t="s">
        <v>1</v>
      </c>
      <c r="K407" s="20">
        <v>6</v>
      </c>
      <c r="L407" s="21">
        <v>413.7</v>
      </c>
      <c r="M407" s="22">
        <v>0.08</v>
      </c>
      <c r="N407" s="21">
        <f t="shared" si="34"/>
        <v>380.60399999999998</v>
      </c>
      <c r="O407" s="21">
        <v>2283.62</v>
      </c>
      <c r="P407" s="19" t="s">
        <v>6</v>
      </c>
      <c r="Q407" s="23">
        <v>4</v>
      </c>
      <c r="R407" s="45">
        <v>1.9</v>
      </c>
    </row>
    <row r="408" spans="2:18" x14ac:dyDescent="0.2">
      <c r="B408" s="25">
        <v>405</v>
      </c>
      <c r="C408" s="18">
        <v>44235</v>
      </c>
      <c r="D408" s="24">
        <f t="shared" si="30"/>
        <v>2021</v>
      </c>
      <c r="E408" s="24" t="str">
        <f t="shared" si="31"/>
        <v>Q1</v>
      </c>
      <c r="F408" s="24" t="str">
        <f t="shared" si="32"/>
        <v>Feb</v>
      </c>
      <c r="G408" s="24">
        <f t="shared" si="33"/>
        <v>2</v>
      </c>
      <c r="H408" s="19">
        <v>1913</v>
      </c>
      <c r="I408" s="19" t="s">
        <v>10</v>
      </c>
      <c r="J408" s="19" t="s">
        <v>9</v>
      </c>
      <c r="K408" s="20">
        <v>7</v>
      </c>
      <c r="L408" s="21">
        <v>213.33</v>
      </c>
      <c r="M408" s="22">
        <v>0.24</v>
      </c>
      <c r="N408" s="21">
        <f t="shared" si="34"/>
        <v>162.13080000000002</v>
      </c>
      <c r="O408" s="21">
        <v>1134.92</v>
      </c>
      <c r="P408" s="19" t="s">
        <v>4</v>
      </c>
      <c r="Q408" s="23">
        <v>4</v>
      </c>
      <c r="R408" s="45">
        <v>4.8</v>
      </c>
    </row>
    <row r="409" spans="2:18" x14ac:dyDescent="0.2">
      <c r="B409" s="25">
        <v>406</v>
      </c>
      <c r="C409" s="18">
        <v>44236</v>
      </c>
      <c r="D409" s="24">
        <f t="shared" si="30"/>
        <v>2021</v>
      </c>
      <c r="E409" s="24" t="str">
        <f t="shared" si="31"/>
        <v>Q1</v>
      </c>
      <c r="F409" s="24" t="str">
        <f t="shared" si="32"/>
        <v>Feb</v>
      </c>
      <c r="G409" s="24">
        <f t="shared" si="33"/>
        <v>2</v>
      </c>
      <c r="H409" s="19">
        <v>1895</v>
      </c>
      <c r="I409" s="19" t="s">
        <v>3</v>
      </c>
      <c r="J409" s="19" t="s">
        <v>1</v>
      </c>
      <c r="K409" s="20">
        <v>7</v>
      </c>
      <c r="L409" s="21">
        <v>349.28</v>
      </c>
      <c r="M409" s="22">
        <v>0.27</v>
      </c>
      <c r="N409" s="21">
        <f t="shared" si="34"/>
        <v>254.97439999999997</v>
      </c>
      <c r="O409" s="21">
        <v>1784.82</v>
      </c>
      <c r="P409" s="19" t="s">
        <v>4</v>
      </c>
      <c r="Q409" s="23">
        <v>9</v>
      </c>
      <c r="R409" s="45">
        <v>1.7</v>
      </c>
    </row>
    <row r="410" spans="2:18" x14ac:dyDescent="0.2">
      <c r="B410" s="25">
        <v>407</v>
      </c>
      <c r="C410" s="18">
        <v>44237</v>
      </c>
      <c r="D410" s="24">
        <f t="shared" si="30"/>
        <v>2021</v>
      </c>
      <c r="E410" s="24" t="str">
        <f t="shared" si="31"/>
        <v>Q1</v>
      </c>
      <c r="F410" s="24" t="str">
        <f t="shared" si="32"/>
        <v>Feb</v>
      </c>
      <c r="G410" s="24">
        <f t="shared" si="33"/>
        <v>2</v>
      </c>
      <c r="H410" s="19">
        <v>1877</v>
      </c>
      <c r="I410" s="19" t="s">
        <v>7</v>
      </c>
      <c r="J410" s="19" t="s">
        <v>9</v>
      </c>
      <c r="K410" s="20">
        <v>3</v>
      </c>
      <c r="L410" s="21">
        <v>276.72000000000003</v>
      </c>
      <c r="M410" s="22">
        <v>0.08</v>
      </c>
      <c r="N410" s="21">
        <f t="shared" si="34"/>
        <v>254.58240000000004</v>
      </c>
      <c r="O410" s="21">
        <v>763.75</v>
      </c>
      <c r="P410" s="19" t="s">
        <v>6</v>
      </c>
      <c r="Q410" s="23">
        <v>10</v>
      </c>
      <c r="R410" s="45">
        <v>3.9</v>
      </c>
    </row>
    <row r="411" spans="2:18" x14ac:dyDescent="0.2">
      <c r="B411" s="25">
        <v>408</v>
      </c>
      <c r="C411" s="18">
        <v>44238</v>
      </c>
      <c r="D411" s="24">
        <f t="shared" si="30"/>
        <v>2021</v>
      </c>
      <c r="E411" s="24" t="str">
        <f t="shared" si="31"/>
        <v>Q1</v>
      </c>
      <c r="F411" s="24" t="str">
        <f t="shared" si="32"/>
        <v>Feb</v>
      </c>
      <c r="G411" s="24">
        <f t="shared" si="33"/>
        <v>2</v>
      </c>
      <c r="H411" s="19">
        <v>1337</v>
      </c>
      <c r="I411" s="19" t="s">
        <v>10</v>
      </c>
      <c r="J411" s="19" t="s">
        <v>9</v>
      </c>
      <c r="K411" s="20">
        <v>7</v>
      </c>
      <c r="L411" s="21">
        <v>400.59</v>
      </c>
      <c r="M411" s="22">
        <v>0.09</v>
      </c>
      <c r="N411" s="21">
        <f t="shared" si="34"/>
        <v>364.5369</v>
      </c>
      <c r="O411" s="21">
        <v>2551.7600000000002</v>
      </c>
      <c r="P411" s="19" t="s">
        <v>4</v>
      </c>
      <c r="Q411" s="23">
        <v>1</v>
      </c>
      <c r="R411" s="45">
        <v>2</v>
      </c>
    </row>
    <row r="412" spans="2:18" x14ac:dyDescent="0.2">
      <c r="B412" s="25">
        <v>409</v>
      </c>
      <c r="C412" s="18">
        <v>44239</v>
      </c>
      <c r="D412" s="24">
        <f t="shared" si="30"/>
        <v>2021</v>
      </c>
      <c r="E412" s="24" t="str">
        <f t="shared" si="31"/>
        <v>Q1</v>
      </c>
      <c r="F412" s="24" t="str">
        <f t="shared" si="32"/>
        <v>Feb</v>
      </c>
      <c r="G412" s="24">
        <f t="shared" si="33"/>
        <v>2</v>
      </c>
      <c r="H412" s="19">
        <v>1705</v>
      </c>
      <c r="I412" s="19" t="s">
        <v>7</v>
      </c>
      <c r="J412" s="19" t="s">
        <v>8</v>
      </c>
      <c r="K412" s="20">
        <v>3</v>
      </c>
      <c r="L412" s="21">
        <v>44.59</v>
      </c>
      <c r="M412" s="22">
        <v>0.11</v>
      </c>
      <c r="N412" s="21">
        <f t="shared" si="34"/>
        <v>39.685100000000006</v>
      </c>
      <c r="O412" s="21">
        <v>119.06</v>
      </c>
      <c r="P412" s="19" t="s">
        <v>4</v>
      </c>
      <c r="Q412" s="23">
        <v>11</v>
      </c>
      <c r="R412" s="45">
        <v>2.7</v>
      </c>
    </row>
    <row r="413" spans="2:18" x14ac:dyDescent="0.2">
      <c r="B413" s="25">
        <v>410</v>
      </c>
      <c r="C413" s="18">
        <v>44240</v>
      </c>
      <c r="D413" s="24">
        <f t="shared" si="30"/>
        <v>2021</v>
      </c>
      <c r="E413" s="24" t="str">
        <f t="shared" si="31"/>
        <v>Q1</v>
      </c>
      <c r="F413" s="24" t="str">
        <f t="shared" si="32"/>
        <v>Feb</v>
      </c>
      <c r="G413" s="24">
        <f t="shared" si="33"/>
        <v>2</v>
      </c>
      <c r="H413" s="19">
        <v>1821</v>
      </c>
      <c r="I413" s="19" t="s">
        <v>10</v>
      </c>
      <c r="J413" s="19" t="s">
        <v>9</v>
      </c>
      <c r="K413" s="20">
        <v>6</v>
      </c>
      <c r="L413" s="21">
        <v>303.58</v>
      </c>
      <c r="M413" s="22">
        <v>0.21</v>
      </c>
      <c r="N413" s="21">
        <f t="shared" si="34"/>
        <v>239.82819999999998</v>
      </c>
      <c r="O413" s="21">
        <v>1438.97</v>
      </c>
      <c r="P413" s="19" t="s">
        <v>2</v>
      </c>
      <c r="Q413" s="23">
        <v>4</v>
      </c>
      <c r="R413" s="45">
        <v>5</v>
      </c>
    </row>
    <row r="414" spans="2:18" x14ac:dyDescent="0.2">
      <c r="B414" s="25">
        <v>411</v>
      </c>
      <c r="C414" s="18">
        <v>44241</v>
      </c>
      <c r="D414" s="24">
        <f t="shared" si="30"/>
        <v>2021</v>
      </c>
      <c r="E414" s="24" t="str">
        <f t="shared" si="31"/>
        <v>Q1</v>
      </c>
      <c r="F414" s="24" t="str">
        <f t="shared" si="32"/>
        <v>Feb</v>
      </c>
      <c r="G414" s="24">
        <f t="shared" si="33"/>
        <v>2</v>
      </c>
      <c r="H414" s="19">
        <v>1162</v>
      </c>
      <c r="I414" s="19" t="s">
        <v>0</v>
      </c>
      <c r="J414" s="19" t="s">
        <v>1</v>
      </c>
      <c r="K414" s="20">
        <v>6</v>
      </c>
      <c r="L414" s="21">
        <v>188.16</v>
      </c>
      <c r="M414" s="22">
        <v>0.06</v>
      </c>
      <c r="N414" s="21">
        <f t="shared" si="34"/>
        <v>176.87039999999999</v>
      </c>
      <c r="O414" s="21">
        <v>1061.22</v>
      </c>
      <c r="P414" s="19" t="s">
        <v>6</v>
      </c>
      <c r="Q414" s="23">
        <v>3</v>
      </c>
      <c r="R414" s="45">
        <v>1.4</v>
      </c>
    </row>
    <row r="415" spans="2:18" x14ac:dyDescent="0.2">
      <c r="B415" s="25">
        <v>412</v>
      </c>
      <c r="C415" s="18">
        <v>44242</v>
      </c>
      <c r="D415" s="24">
        <f t="shared" si="30"/>
        <v>2021</v>
      </c>
      <c r="E415" s="24" t="str">
        <f t="shared" si="31"/>
        <v>Q1</v>
      </c>
      <c r="F415" s="24" t="str">
        <f t="shared" si="32"/>
        <v>Feb</v>
      </c>
      <c r="G415" s="24">
        <f t="shared" si="33"/>
        <v>2</v>
      </c>
      <c r="H415" s="19">
        <v>1719</v>
      </c>
      <c r="I415" s="19" t="s">
        <v>3</v>
      </c>
      <c r="J415" s="19" t="s">
        <v>5</v>
      </c>
      <c r="K415" s="20">
        <v>2</v>
      </c>
      <c r="L415" s="21">
        <v>205.82</v>
      </c>
      <c r="M415" s="22">
        <v>0.04</v>
      </c>
      <c r="N415" s="21">
        <f t="shared" si="34"/>
        <v>197.5872</v>
      </c>
      <c r="O415" s="21">
        <v>395.17</v>
      </c>
      <c r="P415" s="19" t="s">
        <v>6</v>
      </c>
      <c r="Q415" s="23">
        <v>9</v>
      </c>
      <c r="R415" s="45">
        <v>4.5</v>
      </c>
    </row>
    <row r="416" spans="2:18" x14ac:dyDescent="0.2">
      <c r="B416" s="25">
        <v>413</v>
      </c>
      <c r="C416" s="18">
        <v>44243</v>
      </c>
      <c r="D416" s="24">
        <f t="shared" si="30"/>
        <v>2021</v>
      </c>
      <c r="E416" s="24" t="str">
        <f t="shared" si="31"/>
        <v>Q1</v>
      </c>
      <c r="F416" s="24" t="str">
        <f t="shared" si="32"/>
        <v>Feb</v>
      </c>
      <c r="G416" s="24">
        <f t="shared" si="33"/>
        <v>2</v>
      </c>
      <c r="H416" s="19">
        <v>1956</v>
      </c>
      <c r="I416" s="19" t="s">
        <v>7</v>
      </c>
      <c r="J416" s="19" t="s">
        <v>5</v>
      </c>
      <c r="K416" s="20">
        <v>2</v>
      </c>
      <c r="L416" s="21">
        <v>577.14</v>
      </c>
      <c r="M416" s="22">
        <v>0.24</v>
      </c>
      <c r="N416" s="21">
        <f t="shared" si="34"/>
        <v>438.62639999999999</v>
      </c>
      <c r="O416" s="21">
        <v>877.25</v>
      </c>
      <c r="P416" s="19" t="s">
        <v>4</v>
      </c>
      <c r="Q416" s="23">
        <v>5</v>
      </c>
      <c r="R416" s="45">
        <v>4.8</v>
      </c>
    </row>
    <row r="417" spans="2:18" x14ac:dyDescent="0.2">
      <c r="B417" s="25">
        <v>414</v>
      </c>
      <c r="C417" s="18">
        <v>44244</v>
      </c>
      <c r="D417" s="24">
        <f t="shared" si="30"/>
        <v>2021</v>
      </c>
      <c r="E417" s="24" t="str">
        <f t="shared" si="31"/>
        <v>Q1</v>
      </c>
      <c r="F417" s="24" t="str">
        <f t="shared" si="32"/>
        <v>Feb</v>
      </c>
      <c r="G417" s="24">
        <f t="shared" si="33"/>
        <v>2</v>
      </c>
      <c r="H417" s="19">
        <v>1680</v>
      </c>
      <c r="I417" s="19" t="s">
        <v>10</v>
      </c>
      <c r="J417" s="19" t="s">
        <v>1</v>
      </c>
      <c r="K417" s="20">
        <v>5</v>
      </c>
      <c r="L417" s="21">
        <v>121.88</v>
      </c>
      <c r="M417" s="22">
        <v>0.27</v>
      </c>
      <c r="N417" s="21">
        <f t="shared" si="34"/>
        <v>88.972399999999993</v>
      </c>
      <c r="O417" s="21">
        <v>444.86</v>
      </c>
      <c r="P417" s="19" t="s">
        <v>4</v>
      </c>
      <c r="Q417" s="23">
        <v>9</v>
      </c>
      <c r="R417" s="45">
        <v>3.8</v>
      </c>
    </row>
    <row r="418" spans="2:18" x14ac:dyDescent="0.2">
      <c r="B418" s="25">
        <v>415</v>
      </c>
      <c r="C418" s="18">
        <v>44245</v>
      </c>
      <c r="D418" s="24">
        <f t="shared" si="30"/>
        <v>2021</v>
      </c>
      <c r="E418" s="24" t="str">
        <f t="shared" si="31"/>
        <v>Q1</v>
      </c>
      <c r="F418" s="24" t="str">
        <f t="shared" si="32"/>
        <v>Feb</v>
      </c>
      <c r="G418" s="24">
        <f t="shared" si="33"/>
        <v>2</v>
      </c>
      <c r="H418" s="19">
        <v>1995</v>
      </c>
      <c r="I418" s="19" t="s">
        <v>10</v>
      </c>
      <c r="J418" s="19" t="s">
        <v>5</v>
      </c>
      <c r="K418" s="20">
        <v>6</v>
      </c>
      <c r="L418" s="21">
        <v>197.08</v>
      </c>
      <c r="M418" s="22">
        <v>0.18</v>
      </c>
      <c r="N418" s="21">
        <f t="shared" si="34"/>
        <v>161.60560000000001</v>
      </c>
      <c r="O418" s="21">
        <v>969.63</v>
      </c>
      <c r="P418" s="19" t="s">
        <v>6</v>
      </c>
      <c r="Q418" s="23">
        <v>10</v>
      </c>
      <c r="R418" s="45">
        <v>1</v>
      </c>
    </row>
    <row r="419" spans="2:18" x14ac:dyDescent="0.2">
      <c r="B419" s="25">
        <v>416</v>
      </c>
      <c r="C419" s="18">
        <v>44246</v>
      </c>
      <c r="D419" s="24">
        <f t="shared" si="30"/>
        <v>2021</v>
      </c>
      <c r="E419" s="24" t="str">
        <f t="shared" si="31"/>
        <v>Q1</v>
      </c>
      <c r="F419" s="24" t="str">
        <f t="shared" si="32"/>
        <v>Feb</v>
      </c>
      <c r="G419" s="24">
        <f t="shared" si="33"/>
        <v>2</v>
      </c>
      <c r="H419" s="19">
        <v>1160</v>
      </c>
      <c r="I419" s="19" t="s">
        <v>3</v>
      </c>
      <c r="J419" s="19" t="s">
        <v>9</v>
      </c>
      <c r="K419" s="20">
        <v>1</v>
      </c>
      <c r="L419" s="21">
        <v>313.29000000000002</v>
      </c>
      <c r="M419" s="22">
        <v>0.13</v>
      </c>
      <c r="N419" s="21">
        <f t="shared" si="34"/>
        <v>272.56229999999999</v>
      </c>
      <c r="O419" s="21">
        <v>272.56</v>
      </c>
      <c r="P419" s="19" t="s">
        <v>6</v>
      </c>
      <c r="Q419" s="23">
        <v>6</v>
      </c>
      <c r="R419" s="45">
        <v>4.3</v>
      </c>
    </row>
    <row r="420" spans="2:18" x14ac:dyDescent="0.2">
      <c r="B420" s="25">
        <v>417</v>
      </c>
      <c r="C420" s="18">
        <v>44247</v>
      </c>
      <c r="D420" s="24">
        <f t="shared" si="30"/>
        <v>2021</v>
      </c>
      <c r="E420" s="24" t="str">
        <f t="shared" si="31"/>
        <v>Q1</v>
      </c>
      <c r="F420" s="24" t="str">
        <f t="shared" si="32"/>
        <v>Feb</v>
      </c>
      <c r="G420" s="24">
        <f t="shared" si="33"/>
        <v>2</v>
      </c>
      <c r="H420" s="19">
        <v>1579</v>
      </c>
      <c r="I420" s="19" t="s">
        <v>0</v>
      </c>
      <c r="J420" s="19" t="s">
        <v>5</v>
      </c>
      <c r="K420" s="20">
        <v>2</v>
      </c>
      <c r="L420" s="21">
        <v>519.87</v>
      </c>
      <c r="M420" s="22">
        <v>0.15</v>
      </c>
      <c r="N420" s="21">
        <f t="shared" si="34"/>
        <v>441.8895</v>
      </c>
      <c r="O420" s="21">
        <v>883.78</v>
      </c>
      <c r="P420" s="19" t="s">
        <v>6</v>
      </c>
      <c r="Q420" s="23">
        <v>11</v>
      </c>
      <c r="R420" s="45">
        <v>4.5</v>
      </c>
    </row>
    <row r="421" spans="2:18" x14ac:dyDescent="0.2">
      <c r="B421" s="25">
        <v>418</v>
      </c>
      <c r="C421" s="18">
        <v>44248</v>
      </c>
      <c r="D421" s="24">
        <f t="shared" si="30"/>
        <v>2021</v>
      </c>
      <c r="E421" s="24" t="str">
        <f t="shared" si="31"/>
        <v>Q1</v>
      </c>
      <c r="F421" s="24" t="str">
        <f t="shared" si="32"/>
        <v>Feb</v>
      </c>
      <c r="G421" s="24">
        <f t="shared" si="33"/>
        <v>2</v>
      </c>
      <c r="H421" s="19">
        <v>1800</v>
      </c>
      <c r="I421" s="19" t="s">
        <v>7</v>
      </c>
      <c r="J421" s="19" t="s">
        <v>1</v>
      </c>
      <c r="K421" s="20">
        <v>3</v>
      </c>
      <c r="L421" s="21">
        <v>258.75</v>
      </c>
      <c r="M421" s="22">
        <v>0.14000000000000001</v>
      </c>
      <c r="N421" s="21">
        <f t="shared" si="34"/>
        <v>222.52500000000001</v>
      </c>
      <c r="O421" s="21">
        <v>667.58</v>
      </c>
      <c r="P421" s="19" t="s">
        <v>2</v>
      </c>
      <c r="Q421" s="23">
        <v>9</v>
      </c>
      <c r="R421" s="45">
        <v>4.9000000000000004</v>
      </c>
    </row>
    <row r="422" spans="2:18" x14ac:dyDescent="0.2">
      <c r="B422" s="25">
        <v>419</v>
      </c>
      <c r="C422" s="18">
        <v>44249</v>
      </c>
      <c r="D422" s="24">
        <f t="shared" si="30"/>
        <v>2021</v>
      </c>
      <c r="E422" s="24" t="str">
        <f t="shared" si="31"/>
        <v>Q1</v>
      </c>
      <c r="F422" s="24" t="str">
        <f t="shared" si="32"/>
        <v>Feb</v>
      </c>
      <c r="G422" s="24">
        <f t="shared" si="33"/>
        <v>2</v>
      </c>
      <c r="H422" s="19">
        <v>1397</v>
      </c>
      <c r="I422" s="19" t="s">
        <v>3</v>
      </c>
      <c r="J422" s="19" t="s">
        <v>5</v>
      </c>
      <c r="K422" s="20">
        <v>4</v>
      </c>
      <c r="L422" s="21">
        <v>450.16</v>
      </c>
      <c r="M422" s="22">
        <v>0.34</v>
      </c>
      <c r="N422" s="21">
        <f t="shared" si="34"/>
        <v>297.10559999999998</v>
      </c>
      <c r="O422" s="21">
        <v>1188.42</v>
      </c>
      <c r="P422" s="19" t="s">
        <v>2</v>
      </c>
      <c r="Q422" s="23">
        <v>1</v>
      </c>
      <c r="R422" s="45">
        <v>4.4000000000000004</v>
      </c>
    </row>
    <row r="423" spans="2:18" x14ac:dyDescent="0.2">
      <c r="B423" s="25">
        <v>420</v>
      </c>
      <c r="C423" s="18">
        <v>44250</v>
      </c>
      <c r="D423" s="24">
        <f t="shared" si="30"/>
        <v>2021</v>
      </c>
      <c r="E423" s="24" t="str">
        <f t="shared" si="31"/>
        <v>Q1</v>
      </c>
      <c r="F423" s="24" t="str">
        <f t="shared" si="32"/>
        <v>Feb</v>
      </c>
      <c r="G423" s="24">
        <f t="shared" si="33"/>
        <v>2</v>
      </c>
      <c r="H423" s="19">
        <v>1276</v>
      </c>
      <c r="I423" s="19" t="s">
        <v>10</v>
      </c>
      <c r="J423" s="19" t="s">
        <v>9</v>
      </c>
      <c r="K423" s="20">
        <v>7</v>
      </c>
      <c r="L423" s="21">
        <v>515.98</v>
      </c>
      <c r="M423" s="22">
        <v>0.27</v>
      </c>
      <c r="N423" s="21">
        <f t="shared" si="34"/>
        <v>376.66539999999998</v>
      </c>
      <c r="O423" s="21">
        <v>2636.66</v>
      </c>
      <c r="P423" s="19" t="s">
        <v>4</v>
      </c>
      <c r="Q423" s="23">
        <v>4</v>
      </c>
      <c r="R423" s="45">
        <v>2.8</v>
      </c>
    </row>
    <row r="424" spans="2:18" x14ac:dyDescent="0.2">
      <c r="B424" s="25">
        <v>421</v>
      </c>
      <c r="C424" s="18">
        <v>44251</v>
      </c>
      <c r="D424" s="24">
        <f t="shared" si="30"/>
        <v>2021</v>
      </c>
      <c r="E424" s="24" t="str">
        <f t="shared" si="31"/>
        <v>Q1</v>
      </c>
      <c r="F424" s="24" t="str">
        <f t="shared" si="32"/>
        <v>Feb</v>
      </c>
      <c r="G424" s="24">
        <f t="shared" si="33"/>
        <v>2</v>
      </c>
      <c r="H424" s="19">
        <v>1815</v>
      </c>
      <c r="I424" s="19" t="s">
        <v>0</v>
      </c>
      <c r="J424" s="19" t="s">
        <v>9</v>
      </c>
      <c r="K424" s="20">
        <v>7</v>
      </c>
      <c r="L424" s="21">
        <v>196.36</v>
      </c>
      <c r="M424" s="22">
        <v>7.0000000000000007E-2</v>
      </c>
      <c r="N424" s="21">
        <f t="shared" si="34"/>
        <v>182.6148</v>
      </c>
      <c r="O424" s="21">
        <v>1278.3</v>
      </c>
      <c r="P424" s="19" t="s">
        <v>2</v>
      </c>
      <c r="Q424" s="23">
        <v>4</v>
      </c>
      <c r="R424" s="45">
        <v>3.8</v>
      </c>
    </row>
    <row r="425" spans="2:18" x14ac:dyDescent="0.2">
      <c r="B425" s="25">
        <v>422</v>
      </c>
      <c r="C425" s="18">
        <v>44252</v>
      </c>
      <c r="D425" s="24">
        <f t="shared" si="30"/>
        <v>2021</v>
      </c>
      <c r="E425" s="24" t="str">
        <f t="shared" si="31"/>
        <v>Q1</v>
      </c>
      <c r="F425" s="24" t="str">
        <f t="shared" si="32"/>
        <v>Feb</v>
      </c>
      <c r="G425" s="24">
        <f t="shared" si="33"/>
        <v>2</v>
      </c>
      <c r="H425" s="19">
        <v>1915</v>
      </c>
      <c r="I425" s="19" t="s">
        <v>7</v>
      </c>
      <c r="J425" s="19" t="s">
        <v>1</v>
      </c>
      <c r="K425" s="20">
        <v>5</v>
      </c>
      <c r="L425" s="21">
        <v>244.76</v>
      </c>
      <c r="M425" s="22">
        <v>0.13</v>
      </c>
      <c r="N425" s="21">
        <f t="shared" si="34"/>
        <v>212.94119999999998</v>
      </c>
      <c r="O425" s="21">
        <v>1064.71</v>
      </c>
      <c r="P425" s="19" t="s">
        <v>6</v>
      </c>
      <c r="Q425" s="23">
        <v>10</v>
      </c>
      <c r="R425" s="45">
        <v>2.9</v>
      </c>
    </row>
    <row r="426" spans="2:18" x14ac:dyDescent="0.2">
      <c r="B426" s="25">
        <v>423</v>
      </c>
      <c r="C426" s="18">
        <v>44253</v>
      </c>
      <c r="D426" s="24">
        <f t="shared" si="30"/>
        <v>2021</v>
      </c>
      <c r="E426" s="24" t="str">
        <f t="shared" si="31"/>
        <v>Q1</v>
      </c>
      <c r="F426" s="24" t="str">
        <f t="shared" si="32"/>
        <v>Feb</v>
      </c>
      <c r="G426" s="24">
        <f t="shared" si="33"/>
        <v>2</v>
      </c>
      <c r="H426" s="19">
        <v>1503</v>
      </c>
      <c r="I426" s="19" t="s">
        <v>10</v>
      </c>
      <c r="J426" s="19" t="s">
        <v>1</v>
      </c>
      <c r="K426" s="20">
        <v>2</v>
      </c>
      <c r="L426" s="21">
        <v>223.59</v>
      </c>
      <c r="M426" s="22">
        <v>0.19</v>
      </c>
      <c r="N426" s="21">
        <f t="shared" si="34"/>
        <v>181.1079</v>
      </c>
      <c r="O426" s="21">
        <v>362.22</v>
      </c>
      <c r="P426" s="19" t="s">
        <v>6</v>
      </c>
      <c r="Q426" s="23">
        <v>10</v>
      </c>
      <c r="R426" s="45">
        <v>2.4</v>
      </c>
    </row>
    <row r="427" spans="2:18" x14ac:dyDescent="0.2">
      <c r="B427" s="25">
        <v>424</v>
      </c>
      <c r="C427" s="18">
        <v>44254</v>
      </c>
      <c r="D427" s="24">
        <f t="shared" si="30"/>
        <v>2021</v>
      </c>
      <c r="E427" s="24" t="str">
        <f t="shared" si="31"/>
        <v>Q1</v>
      </c>
      <c r="F427" s="24" t="str">
        <f t="shared" si="32"/>
        <v>Feb</v>
      </c>
      <c r="G427" s="24">
        <f t="shared" si="33"/>
        <v>2</v>
      </c>
      <c r="H427" s="19">
        <v>1895</v>
      </c>
      <c r="I427" s="19" t="s">
        <v>3</v>
      </c>
      <c r="J427" s="19" t="s">
        <v>1</v>
      </c>
      <c r="K427" s="20">
        <v>4</v>
      </c>
      <c r="L427" s="21">
        <v>502.22</v>
      </c>
      <c r="M427" s="22">
        <v>0.21</v>
      </c>
      <c r="N427" s="21">
        <f t="shared" si="34"/>
        <v>396.75380000000001</v>
      </c>
      <c r="O427" s="21">
        <v>1587.02</v>
      </c>
      <c r="P427" s="19" t="s">
        <v>4</v>
      </c>
      <c r="Q427" s="23">
        <v>6</v>
      </c>
      <c r="R427" s="45">
        <v>3.5</v>
      </c>
    </row>
    <row r="428" spans="2:18" x14ac:dyDescent="0.2">
      <c r="B428" s="25">
        <v>425</v>
      </c>
      <c r="C428" s="18">
        <v>44255</v>
      </c>
      <c r="D428" s="24">
        <f t="shared" si="30"/>
        <v>2021</v>
      </c>
      <c r="E428" s="24" t="str">
        <f t="shared" si="31"/>
        <v>Q1</v>
      </c>
      <c r="F428" s="24" t="str">
        <f t="shared" si="32"/>
        <v>Feb</v>
      </c>
      <c r="G428" s="24">
        <f t="shared" si="33"/>
        <v>2</v>
      </c>
      <c r="H428" s="19">
        <v>1391</v>
      </c>
      <c r="I428" s="19" t="s">
        <v>3</v>
      </c>
      <c r="J428" s="19" t="s">
        <v>8</v>
      </c>
      <c r="K428" s="20">
        <v>4</v>
      </c>
      <c r="L428" s="21">
        <v>40.94</v>
      </c>
      <c r="M428" s="22">
        <v>0.16</v>
      </c>
      <c r="N428" s="21">
        <f t="shared" si="34"/>
        <v>34.389600000000002</v>
      </c>
      <c r="O428" s="21">
        <v>137.56</v>
      </c>
      <c r="P428" s="19" t="s">
        <v>6</v>
      </c>
      <c r="Q428" s="23">
        <v>10</v>
      </c>
      <c r="R428" s="45">
        <v>4.0999999999999996</v>
      </c>
    </row>
    <row r="429" spans="2:18" x14ac:dyDescent="0.2">
      <c r="B429" s="25">
        <v>426</v>
      </c>
      <c r="C429" s="18">
        <v>44256</v>
      </c>
      <c r="D429" s="24">
        <f t="shared" si="30"/>
        <v>2021</v>
      </c>
      <c r="E429" s="24" t="str">
        <f t="shared" si="31"/>
        <v>Q1</v>
      </c>
      <c r="F429" s="24" t="str">
        <f t="shared" si="32"/>
        <v>Mar</v>
      </c>
      <c r="G429" s="24">
        <f t="shared" si="33"/>
        <v>3</v>
      </c>
      <c r="H429" s="19">
        <v>1134</v>
      </c>
      <c r="I429" s="19" t="s">
        <v>7</v>
      </c>
      <c r="J429" s="19" t="s">
        <v>8</v>
      </c>
      <c r="K429" s="20">
        <v>2</v>
      </c>
      <c r="L429" s="21">
        <v>195.43</v>
      </c>
      <c r="M429" s="22">
        <v>0.28000000000000003</v>
      </c>
      <c r="N429" s="21">
        <f t="shared" si="34"/>
        <v>140.70959999999999</v>
      </c>
      <c r="O429" s="21">
        <v>281.42</v>
      </c>
      <c r="P429" s="19" t="s">
        <v>2</v>
      </c>
      <c r="Q429" s="23">
        <v>1</v>
      </c>
      <c r="R429" s="45">
        <v>3.5</v>
      </c>
    </row>
    <row r="430" spans="2:18" x14ac:dyDescent="0.2">
      <c r="B430" s="25">
        <v>427</v>
      </c>
      <c r="C430" s="18">
        <v>44257</v>
      </c>
      <c r="D430" s="24">
        <f t="shared" si="30"/>
        <v>2021</v>
      </c>
      <c r="E430" s="24" t="str">
        <f t="shared" si="31"/>
        <v>Q1</v>
      </c>
      <c r="F430" s="24" t="str">
        <f t="shared" si="32"/>
        <v>Mar</v>
      </c>
      <c r="G430" s="24">
        <f t="shared" si="33"/>
        <v>3</v>
      </c>
      <c r="H430" s="19">
        <v>1194</v>
      </c>
      <c r="I430" s="19" t="s">
        <v>0</v>
      </c>
      <c r="J430" s="19" t="s">
        <v>9</v>
      </c>
      <c r="K430" s="20">
        <v>1</v>
      </c>
      <c r="L430" s="21">
        <v>412.45</v>
      </c>
      <c r="M430" s="22">
        <v>0.27</v>
      </c>
      <c r="N430" s="21">
        <f t="shared" si="34"/>
        <v>301.08849999999995</v>
      </c>
      <c r="O430" s="21">
        <v>301.08999999999997</v>
      </c>
      <c r="P430" s="19" t="s">
        <v>6</v>
      </c>
      <c r="Q430" s="23">
        <v>10</v>
      </c>
      <c r="R430" s="45">
        <v>4.3</v>
      </c>
    </row>
    <row r="431" spans="2:18" x14ac:dyDescent="0.2">
      <c r="B431" s="25">
        <v>428</v>
      </c>
      <c r="C431" s="18">
        <v>44258</v>
      </c>
      <c r="D431" s="24">
        <f t="shared" si="30"/>
        <v>2021</v>
      </c>
      <c r="E431" s="24" t="str">
        <f t="shared" si="31"/>
        <v>Q1</v>
      </c>
      <c r="F431" s="24" t="str">
        <f t="shared" si="32"/>
        <v>Mar</v>
      </c>
      <c r="G431" s="24">
        <f t="shared" si="33"/>
        <v>3</v>
      </c>
      <c r="H431" s="19">
        <v>1400</v>
      </c>
      <c r="I431" s="19" t="s">
        <v>7</v>
      </c>
      <c r="J431" s="19" t="s">
        <v>8</v>
      </c>
      <c r="K431" s="20">
        <v>1</v>
      </c>
      <c r="L431" s="21">
        <v>345.78</v>
      </c>
      <c r="M431" s="22">
        <v>0.18</v>
      </c>
      <c r="N431" s="21">
        <f t="shared" si="34"/>
        <v>283.53959999999995</v>
      </c>
      <c r="O431" s="21">
        <v>283.54000000000002</v>
      </c>
      <c r="P431" s="19" t="s">
        <v>6</v>
      </c>
      <c r="Q431" s="23">
        <v>5</v>
      </c>
      <c r="R431" s="45">
        <v>1.7</v>
      </c>
    </row>
    <row r="432" spans="2:18" x14ac:dyDescent="0.2">
      <c r="B432" s="25">
        <v>429</v>
      </c>
      <c r="C432" s="18">
        <v>44259</v>
      </c>
      <c r="D432" s="24">
        <f t="shared" si="30"/>
        <v>2021</v>
      </c>
      <c r="E432" s="24" t="str">
        <f t="shared" si="31"/>
        <v>Q1</v>
      </c>
      <c r="F432" s="24" t="str">
        <f t="shared" si="32"/>
        <v>Mar</v>
      </c>
      <c r="G432" s="24">
        <f t="shared" si="33"/>
        <v>3</v>
      </c>
      <c r="H432" s="19">
        <v>1639</v>
      </c>
      <c r="I432" s="19" t="s">
        <v>7</v>
      </c>
      <c r="J432" s="19" t="s">
        <v>8</v>
      </c>
      <c r="K432" s="20">
        <v>5</v>
      </c>
      <c r="L432" s="21">
        <v>270.23</v>
      </c>
      <c r="M432" s="22">
        <v>0.3</v>
      </c>
      <c r="N432" s="21">
        <f t="shared" si="34"/>
        <v>189.161</v>
      </c>
      <c r="O432" s="21">
        <v>945.8</v>
      </c>
      <c r="P432" s="19" t="s">
        <v>4</v>
      </c>
      <c r="Q432" s="23">
        <v>3</v>
      </c>
      <c r="R432" s="45">
        <v>2.5</v>
      </c>
    </row>
    <row r="433" spans="2:18" x14ac:dyDescent="0.2">
      <c r="B433" s="25">
        <v>430</v>
      </c>
      <c r="C433" s="18">
        <v>44260</v>
      </c>
      <c r="D433" s="24">
        <f t="shared" si="30"/>
        <v>2021</v>
      </c>
      <c r="E433" s="24" t="str">
        <f t="shared" si="31"/>
        <v>Q1</v>
      </c>
      <c r="F433" s="24" t="str">
        <f t="shared" si="32"/>
        <v>Mar</v>
      </c>
      <c r="G433" s="24">
        <f t="shared" si="33"/>
        <v>3</v>
      </c>
      <c r="H433" s="19">
        <v>1032</v>
      </c>
      <c r="I433" s="19" t="s">
        <v>7</v>
      </c>
      <c r="J433" s="19" t="s">
        <v>5</v>
      </c>
      <c r="K433" s="20">
        <v>1</v>
      </c>
      <c r="L433" s="21">
        <v>330.87</v>
      </c>
      <c r="M433" s="22">
        <v>0.26</v>
      </c>
      <c r="N433" s="21">
        <f t="shared" si="34"/>
        <v>244.84379999999999</v>
      </c>
      <c r="O433" s="21">
        <v>244.84</v>
      </c>
      <c r="P433" s="19" t="s">
        <v>4</v>
      </c>
      <c r="Q433" s="23">
        <v>1</v>
      </c>
      <c r="R433" s="45">
        <v>2.2999999999999998</v>
      </c>
    </row>
    <row r="434" spans="2:18" x14ac:dyDescent="0.2">
      <c r="B434" s="25">
        <v>431</v>
      </c>
      <c r="C434" s="18">
        <v>44261</v>
      </c>
      <c r="D434" s="24">
        <f t="shared" si="30"/>
        <v>2021</v>
      </c>
      <c r="E434" s="24" t="str">
        <f t="shared" si="31"/>
        <v>Q1</v>
      </c>
      <c r="F434" s="24" t="str">
        <f t="shared" si="32"/>
        <v>Mar</v>
      </c>
      <c r="G434" s="24">
        <f t="shared" si="33"/>
        <v>3</v>
      </c>
      <c r="H434" s="19">
        <v>1687</v>
      </c>
      <c r="I434" s="19" t="s">
        <v>0</v>
      </c>
      <c r="J434" s="19" t="s">
        <v>8</v>
      </c>
      <c r="K434" s="20">
        <v>5</v>
      </c>
      <c r="L434" s="21">
        <v>130.59</v>
      </c>
      <c r="M434" s="22">
        <v>0.27</v>
      </c>
      <c r="N434" s="21">
        <f t="shared" si="34"/>
        <v>95.330700000000007</v>
      </c>
      <c r="O434" s="21">
        <v>476.65</v>
      </c>
      <c r="P434" s="19" t="s">
        <v>4</v>
      </c>
      <c r="Q434" s="23">
        <v>6</v>
      </c>
      <c r="R434" s="45">
        <v>1.8</v>
      </c>
    </row>
    <row r="435" spans="2:18" x14ac:dyDescent="0.2">
      <c r="B435" s="25">
        <v>432</v>
      </c>
      <c r="C435" s="18">
        <v>44262</v>
      </c>
      <c r="D435" s="24">
        <f t="shared" si="30"/>
        <v>2021</v>
      </c>
      <c r="E435" s="24" t="str">
        <f t="shared" si="31"/>
        <v>Q1</v>
      </c>
      <c r="F435" s="24" t="str">
        <f t="shared" si="32"/>
        <v>Mar</v>
      </c>
      <c r="G435" s="24">
        <f t="shared" si="33"/>
        <v>3</v>
      </c>
      <c r="H435" s="19">
        <v>1459</v>
      </c>
      <c r="I435" s="19" t="s">
        <v>10</v>
      </c>
      <c r="J435" s="19" t="s">
        <v>5</v>
      </c>
      <c r="K435" s="20">
        <v>3</v>
      </c>
      <c r="L435" s="21">
        <v>266.97000000000003</v>
      </c>
      <c r="M435" s="22">
        <v>0.33</v>
      </c>
      <c r="N435" s="21">
        <f t="shared" si="34"/>
        <v>178.86990000000003</v>
      </c>
      <c r="O435" s="21">
        <v>536.61</v>
      </c>
      <c r="P435" s="19" t="s">
        <v>4</v>
      </c>
      <c r="Q435" s="23">
        <v>3</v>
      </c>
      <c r="R435" s="45">
        <v>2.8</v>
      </c>
    </row>
    <row r="436" spans="2:18" x14ac:dyDescent="0.2">
      <c r="B436" s="25">
        <v>433</v>
      </c>
      <c r="C436" s="18">
        <v>44263</v>
      </c>
      <c r="D436" s="24">
        <f t="shared" si="30"/>
        <v>2021</v>
      </c>
      <c r="E436" s="24" t="str">
        <f t="shared" si="31"/>
        <v>Q1</v>
      </c>
      <c r="F436" s="24" t="str">
        <f t="shared" si="32"/>
        <v>Mar</v>
      </c>
      <c r="G436" s="24">
        <f t="shared" si="33"/>
        <v>3</v>
      </c>
      <c r="H436" s="19">
        <v>1954</v>
      </c>
      <c r="I436" s="19" t="s">
        <v>10</v>
      </c>
      <c r="J436" s="19" t="s">
        <v>1</v>
      </c>
      <c r="K436" s="20">
        <v>2</v>
      </c>
      <c r="L436" s="21">
        <v>308.5</v>
      </c>
      <c r="M436" s="22">
        <v>0.09</v>
      </c>
      <c r="N436" s="21">
        <f t="shared" si="34"/>
        <v>280.73500000000001</v>
      </c>
      <c r="O436" s="21">
        <v>561.47</v>
      </c>
      <c r="P436" s="19" t="s">
        <v>6</v>
      </c>
      <c r="Q436" s="23">
        <v>4</v>
      </c>
      <c r="R436" s="45">
        <v>4.8</v>
      </c>
    </row>
    <row r="437" spans="2:18" x14ac:dyDescent="0.2">
      <c r="B437" s="25">
        <v>434</v>
      </c>
      <c r="C437" s="18">
        <v>44264</v>
      </c>
      <c r="D437" s="24">
        <f t="shared" si="30"/>
        <v>2021</v>
      </c>
      <c r="E437" s="24" t="str">
        <f t="shared" si="31"/>
        <v>Q1</v>
      </c>
      <c r="F437" s="24" t="str">
        <f t="shared" si="32"/>
        <v>Mar</v>
      </c>
      <c r="G437" s="24">
        <f t="shared" si="33"/>
        <v>3</v>
      </c>
      <c r="H437" s="19">
        <v>1882</v>
      </c>
      <c r="I437" s="19" t="s">
        <v>7</v>
      </c>
      <c r="J437" s="19" t="s">
        <v>5</v>
      </c>
      <c r="K437" s="20">
        <v>4</v>
      </c>
      <c r="L437" s="21">
        <v>542.20000000000005</v>
      </c>
      <c r="M437" s="22">
        <v>0.09</v>
      </c>
      <c r="N437" s="21">
        <f t="shared" si="34"/>
        <v>493.40200000000004</v>
      </c>
      <c r="O437" s="21">
        <v>1973.61</v>
      </c>
      <c r="P437" s="19" t="s">
        <v>4</v>
      </c>
      <c r="Q437" s="23">
        <v>9</v>
      </c>
      <c r="R437" s="45">
        <v>3.2</v>
      </c>
    </row>
    <row r="438" spans="2:18" x14ac:dyDescent="0.2">
      <c r="B438" s="25">
        <v>435</v>
      </c>
      <c r="C438" s="18">
        <v>44265</v>
      </c>
      <c r="D438" s="24">
        <f t="shared" si="30"/>
        <v>2021</v>
      </c>
      <c r="E438" s="24" t="str">
        <f t="shared" si="31"/>
        <v>Q1</v>
      </c>
      <c r="F438" s="24" t="str">
        <f t="shared" si="32"/>
        <v>Mar</v>
      </c>
      <c r="G438" s="24">
        <f t="shared" si="33"/>
        <v>3</v>
      </c>
      <c r="H438" s="19">
        <v>1469</v>
      </c>
      <c r="I438" s="19" t="s">
        <v>3</v>
      </c>
      <c r="J438" s="19" t="s">
        <v>5</v>
      </c>
      <c r="K438" s="20">
        <v>5</v>
      </c>
      <c r="L438" s="21">
        <v>167.59</v>
      </c>
      <c r="M438" s="22">
        <v>0.31</v>
      </c>
      <c r="N438" s="21">
        <f t="shared" si="34"/>
        <v>115.6371</v>
      </c>
      <c r="O438" s="21">
        <v>578.19000000000005</v>
      </c>
      <c r="P438" s="19" t="s">
        <v>6</v>
      </c>
      <c r="Q438" s="23">
        <v>2</v>
      </c>
      <c r="R438" s="45">
        <v>2.1</v>
      </c>
    </row>
    <row r="439" spans="2:18" x14ac:dyDescent="0.2">
      <c r="B439" s="25">
        <v>436</v>
      </c>
      <c r="C439" s="18">
        <v>44266</v>
      </c>
      <c r="D439" s="24">
        <f t="shared" si="30"/>
        <v>2021</v>
      </c>
      <c r="E439" s="24" t="str">
        <f t="shared" si="31"/>
        <v>Q1</v>
      </c>
      <c r="F439" s="24" t="str">
        <f t="shared" si="32"/>
        <v>Mar</v>
      </c>
      <c r="G439" s="24">
        <f t="shared" si="33"/>
        <v>3</v>
      </c>
      <c r="H439" s="19">
        <v>1374</v>
      </c>
      <c r="I439" s="19" t="s">
        <v>3</v>
      </c>
      <c r="J439" s="19" t="s">
        <v>1</v>
      </c>
      <c r="K439" s="20">
        <v>7</v>
      </c>
      <c r="L439" s="21">
        <v>522.67999999999995</v>
      </c>
      <c r="M439" s="22">
        <v>0.27</v>
      </c>
      <c r="N439" s="21">
        <f t="shared" si="34"/>
        <v>381.55639999999994</v>
      </c>
      <c r="O439" s="21">
        <v>2670.89</v>
      </c>
      <c r="P439" s="19" t="s">
        <v>4</v>
      </c>
      <c r="Q439" s="23">
        <v>1</v>
      </c>
      <c r="R439" s="45">
        <v>2.4</v>
      </c>
    </row>
    <row r="440" spans="2:18" x14ac:dyDescent="0.2">
      <c r="B440" s="25">
        <v>437</v>
      </c>
      <c r="C440" s="18">
        <v>44267</v>
      </c>
      <c r="D440" s="24">
        <f t="shared" si="30"/>
        <v>2021</v>
      </c>
      <c r="E440" s="24" t="str">
        <f t="shared" si="31"/>
        <v>Q1</v>
      </c>
      <c r="F440" s="24" t="str">
        <f t="shared" si="32"/>
        <v>Mar</v>
      </c>
      <c r="G440" s="24">
        <f t="shared" si="33"/>
        <v>3</v>
      </c>
      <c r="H440" s="19">
        <v>1021</v>
      </c>
      <c r="I440" s="19" t="s">
        <v>10</v>
      </c>
      <c r="J440" s="19" t="s">
        <v>1</v>
      </c>
      <c r="K440" s="20">
        <v>1</v>
      </c>
      <c r="L440" s="21">
        <v>391.88</v>
      </c>
      <c r="M440" s="22">
        <v>0.32</v>
      </c>
      <c r="N440" s="21">
        <f t="shared" si="34"/>
        <v>266.47839999999997</v>
      </c>
      <c r="O440" s="21">
        <v>266.48</v>
      </c>
      <c r="P440" s="19" t="s">
        <v>4</v>
      </c>
      <c r="Q440" s="23">
        <v>10</v>
      </c>
      <c r="R440" s="45">
        <v>3.5</v>
      </c>
    </row>
    <row r="441" spans="2:18" x14ac:dyDescent="0.2">
      <c r="B441" s="25">
        <v>438</v>
      </c>
      <c r="C441" s="18">
        <v>44268</v>
      </c>
      <c r="D441" s="24">
        <f t="shared" si="30"/>
        <v>2021</v>
      </c>
      <c r="E441" s="24" t="str">
        <f t="shared" si="31"/>
        <v>Q1</v>
      </c>
      <c r="F441" s="24" t="str">
        <f t="shared" si="32"/>
        <v>Mar</v>
      </c>
      <c r="G441" s="24">
        <f t="shared" si="33"/>
        <v>3</v>
      </c>
      <c r="H441" s="19">
        <v>1749</v>
      </c>
      <c r="I441" s="19" t="s">
        <v>0</v>
      </c>
      <c r="J441" s="19" t="s">
        <v>9</v>
      </c>
      <c r="K441" s="20">
        <v>7</v>
      </c>
      <c r="L441" s="21">
        <v>26.9</v>
      </c>
      <c r="M441" s="22">
        <v>0.02</v>
      </c>
      <c r="N441" s="21">
        <f t="shared" si="34"/>
        <v>26.361999999999998</v>
      </c>
      <c r="O441" s="21">
        <v>184.53</v>
      </c>
      <c r="P441" s="19" t="s">
        <v>4</v>
      </c>
      <c r="Q441" s="23">
        <v>6</v>
      </c>
      <c r="R441" s="45">
        <v>2.4</v>
      </c>
    </row>
    <row r="442" spans="2:18" x14ac:dyDescent="0.2">
      <c r="B442" s="25">
        <v>439</v>
      </c>
      <c r="C442" s="18">
        <v>44269</v>
      </c>
      <c r="D442" s="24">
        <f t="shared" si="30"/>
        <v>2021</v>
      </c>
      <c r="E442" s="24" t="str">
        <f t="shared" si="31"/>
        <v>Q1</v>
      </c>
      <c r="F442" s="24" t="str">
        <f t="shared" si="32"/>
        <v>Mar</v>
      </c>
      <c r="G442" s="24">
        <f t="shared" si="33"/>
        <v>3</v>
      </c>
      <c r="H442" s="19">
        <v>1669</v>
      </c>
      <c r="I442" s="19" t="s">
        <v>7</v>
      </c>
      <c r="J442" s="19" t="s">
        <v>9</v>
      </c>
      <c r="K442" s="20">
        <v>5</v>
      </c>
      <c r="L442" s="21">
        <v>438.91</v>
      </c>
      <c r="M442" s="22">
        <v>0.22</v>
      </c>
      <c r="N442" s="21">
        <f t="shared" si="34"/>
        <v>342.34980000000002</v>
      </c>
      <c r="O442" s="21">
        <v>1711.75</v>
      </c>
      <c r="P442" s="19" t="s">
        <v>2</v>
      </c>
      <c r="Q442" s="23">
        <v>1</v>
      </c>
      <c r="R442" s="45">
        <v>3.2</v>
      </c>
    </row>
    <row r="443" spans="2:18" x14ac:dyDescent="0.2">
      <c r="B443" s="25">
        <v>440</v>
      </c>
      <c r="C443" s="18">
        <v>44270</v>
      </c>
      <c r="D443" s="24">
        <f t="shared" si="30"/>
        <v>2021</v>
      </c>
      <c r="E443" s="24" t="str">
        <f t="shared" si="31"/>
        <v>Q1</v>
      </c>
      <c r="F443" s="24" t="str">
        <f t="shared" si="32"/>
        <v>Mar</v>
      </c>
      <c r="G443" s="24">
        <f t="shared" si="33"/>
        <v>3</v>
      </c>
      <c r="H443" s="19">
        <v>1037</v>
      </c>
      <c r="I443" s="19" t="s">
        <v>10</v>
      </c>
      <c r="J443" s="19" t="s">
        <v>9</v>
      </c>
      <c r="K443" s="20">
        <v>6</v>
      </c>
      <c r="L443" s="21">
        <v>35.799999999999997</v>
      </c>
      <c r="M443" s="22">
        <v>0.05</v>
      </c>
      <c r="N443" s="21">
        <f t="shared" si="34"/>
        <v>34.01</v>
      </c>
      <c r="O443" s="21">
        <v>204.06</v>
      </c>
      <c r="P443" s="19" t="s">
        <v>4</v>
      </c>
      <c r="Q443" s="23">
        <v>1</v>
      </c>
      <c r="R443" s="45">
        <v>2.1</v>
      </c>
    </row>
    <row r="444" spans="2:18" x14ac:dyDescent="0.2">
      <c r="B444" s="25">
        <v>441</v>
      </c>
      <c r="C444" s="18">
        <v>44271</v>
      </c>
      <c r="D444" s="24">
        <f t="shared" si="30"/>
        <v>2021</v>
      </c>
      <c r="E444" s="24" t="str">
        <f t="shared" si="31"/>
        <v>Q1</v>
      </c>
      <c r="F444" s="24" t="str">
        <f t="shared" si="32"/>
        <v>Mar</v>
      </c>
      <c r="G444" s="24">
        <f t="shared" si="33"/>
        <v>3</v>
      </c>
      <c r="H444" s="19">
        <v>1229</v>
      </c>
      <c r="I444" s="19" t="s">
        <v>7</v>
      </c>
      <c r="J444" s="19" t="s">
        <v>9</v>
      </c>
      <c r="K444" s="20">
        <v>5</v>
      </c>
      <c r="L444" s="21">
        <v>598.47</v>
      </c>
      <c r="M444" s="22">
        <v>0.18</v>
      </c>
      <c r="N444" s="21">
        <f t="shared" si="34"/>
        <v>490.74540000000002</v>
      </c>
      <c r="O444" s="21">
        <v>2453.73</v>
      </c>
      <c r="P444" s="19" t="s">
        <v>4</v>
      </c>
      <c r="Q444" s="23">
        <v>7</v>
      </c>
      <c r="R444" s="45">
        <v>2.4</v>
      </c>
    </row>
    <row r="445" spans="2:18" x14ac:dyDescent="0.2">
      <c r="B445" s="25">
        <v>442</v>
      </c>
      <c r="C445" s="18">
        <v>44272</v>
      </c>
      <c r="D445" s="24">
        <f t="shared" si="30"/>
        <v>2021</v>
      </c>
      <c r="E445" s="24" t="str">
        <f t="shared" si="31"/>
        <v>Q1</v>
      </c>
      <c r="F445" s="24" t="str">
        <f t="shared" si="32"/>
        <v>Mar</v>
      </c>
      <c r="G445" s="24">
        <f t="shared" si="33"/>
        <v>3</v>
      </c>
      <c r="H445" s="19">
        <v>1364</v>
      </c>
      <c r="I445" s="19" t="s">
        <v>3</v>
      </c>
      <c r="J445" s="19" t="s">
        <v>5</v>
      </c>
      <c r="K445" s="20">
        <v>1</v>
      </c>
      <c r="L445" s="21">
        <v>525.49</v>
      </c>
      <c r="M445" s="22">
        <v>0.05</v>
      </c>
      <c r="N445" s="21">
        <f t="shared" si="34"/>
        <v>499.21550000000002</v>
      </c>
      <c r="O445" s="21">
        <v>499.22</v>
      </c>
      <c r="P445" s="19" t="s">
        <v>2</v>
      </c>
      <c r="Q445" s="23">
        <v>2</v>
      </c>
      <c r="R445" s="45">
        <v>3.8</v>
      </c>
    </row>
    <row r="446" spans="2:18" x14ac:dyDescent="0.2">
      <c r="B446" s="25">
        <v>443</v>
      </c>
      <c r="C446" s="18">
        <v>44273</v>
      </c>
      <c r="D446" s="24">
        <f t="shared" si="30"/>
        <v>2021</v>
      </c>
      <c r="E446" s="24" t="str">
        <f t="shared" si="31"/>
        <v>Q1</v>
      </c>
      <c r="F446" s="24" t="str">
        <f t="shared" si="32"/>
        <v>Mar</v>
      </c>
      <c r="G446" s="24">
        <f t="shared" si="33"/>
        <v>3</v>
      </c>
      <c r="H446" s="19">
        <v>1562</v>
      </c>
      <c r="I446" s="19" t="s">
        <v>7</v>
      </c>
      <c r="J446" s="19" t="s">
        <v>5</v>
      </c>
      <c r="K446" s="20">
        <v>6</v>
      </c>
      <c r="L446" s="21">
        <v>188.95</v>
      </c>
      <c r="M446" s="22">
        <v>0.04</v>
      </c>
      <c r="N446" s="21">
        <f t="shared" si="34"/>
        <v>181.392</v>
      </c>
      <c r="O446" s="21">
        <v>1088.3499999999999</v>
      </c>
      <c r="P446" s="19" t="s">
        <v>2</v>
      </c>
      <c r="Q446" s="23">
        <v>4</v>
      </c>
      <c r="R446" s="45">
        <v>3.3</v>
      </c>
    </row>
    <row r="447" spans="2:18" x14ac:dyDescent="0.2">
      <c r="B447" s="25">
        <v>444</v>
      </c>
      <c r="C447" s="18">
        <v>44274</v>
      </c>
      <c r="D447" s="24">
        <f t="shared" si="30"/>
        <v>2021</v>
      </c>
      <c r="E447" s="24" t="str">
        <f t="shared" si="31"/>
        <v>Q1</v>
      </c>
      <c r="F447" s="24" t="str">
        <f t="shared" si="32"/>
        <v>Mar</v>
      </c>
      <c r="G447" s="24">
        <f t="shared" si="33"/>
        <v>3</v>
      </c>
      <c r="H447" s="19">
        <v>1437</v>
      </c>
      <c r="I447" s="19" t="s">
        <v>7</v>
      </c>
      <c r="J447" s="19" t="s">
        <v>9</v>
      </c>
      <c r="K447" s="20">
        <v>6</v>
      </c>
      <c r="L447" s="21">
        <v>165.59</v>
      </c>
      <c r="M447" s="22">
        <v>0</v>
      </c>
      <c r="N447" s="21">
        <f t="shared" si="34"/>
        <v>165.59</v>
      </c>
      <c r="O447" s="21">
        <v>993.54</v>
      </c>
      <c r="P447" s="19" t="s">
        <v>6</v>
      </c>
      <c r="Q447" s="23">
        <v>4</v>
      </c>
      <c r="R447" s="45">
        <v>1.4</v>
      </c>
    </row>
    <row r="448" spans="2:18" x14ac:dyDescent="0.2">
      <c r="B448" s="25">
        <v>445</v>
      </c>
      <c r="C448" s="18">
        <v>44275</v>
      </c>
      <c r="D448" s="24">
        <f t="shared" si="30"/>
        <v>2021</v>
      </c>
      <c r="E448" s="24" t="str">
        <f t="shared" si="31"/>
        <v>Q1</v>
      </c>
      <c r="F448" s="24" t="str">
        <f t="shared" si="32"/>
        <v>Mar</v>
      </c>
      <c r="G448" s="24">
        <f t="shared" si="33"/>
        <v>3</v>
      </c>
      <c r="H448" s="19">
        <v>1775</v>
      </c>
      <c r="I448" s="19" t="s">
        <v>3</v>
      </c>
      <c r="J448" s="19" t="s">
        <v>8</v>
      </c>
      <c r="K448" s="20">
        <v>1</v>
      </c>
      <c r="L448" s="21">
        <v>238.14</v>
      </c>
      <c r="M448" s="22">
        <v>0.22</v>
      </c>
      <c r="N448" s="21">
        <f t="shared" si="34"/>
        <v>185.74919999999997</v>
      </c>
      <c r="O448" s="21">
        <v>185.75</v>
      </c>
      <c r="P448" s="19" t="s">
        <v>4</v>
      </c>
      <c r="Q448" s="23">
        <v>2</v>
      </c>
      <c r="R448" s="45">
        <v>4.9000000000000004</v>
      </c>
    </row>
    <row r="449" spans="2:18" x14ac:dyDescent="0.2">
      <c r="B449" s="25">
        <v>446</v>
      </c>
      <c r="C449" s="18">
        <v>44276</v>
      </c>
      <c r="D449" s="24">
        <f t="shared" si="30"/>
        <v>2021</v>
      </c>
      <c r="E449" s="24" t="str">
        <f t="shared" si="31"/>
        <v>Q1</v>
      </c>
      <c r="F449" s="24" t="str">
        <f t="shared" si="32"/>
        <v>Mar</v>
      </c>
      <c r="G449" s="24">
        <f t="shared" si="33"/>
        <v>3</v>
      </c>
      <c r="H449" s="19">
        <v>1282</v>
      </c>
      <c r="I449" s="19" t="s">
        <v>3</v>
      </c>
      <c r="J449" s="19" t="s">
        <v>9</v>
      </c>
      <c r="K449" s="20">
        <v>6</v>
      </c>
      <c r="L449" s="21">
        <v>223.36</v>
      </c>
      <c r="M449" s="22">
        <v>0.13</v>
      </c>
      <c r="N449" s="21">
        <f t="shared" si="34"/>
        <v>194.32320000000001</v>
      </c>
      <c r="O449" s="21">
        <v>1165.94</v>
      </c>
      <c r="P449" s="19" t="s">
        <v>4</v>
      </c>
      <c r="Q449" s="23">
        <v>6</v>
      </c>
      <c r="R449" s="45">
        <v>1.2</v>
      </c>
    </row>
    <row r="450" spans="2:18" x14ac:dyDescent="0.2">
      <c r="B450" s="25">
        <v>447</v>
      </c>
      <c r="C450" s="18">
        <v>44277</v>
      </c>
      <c r="D450" s="24">
        <f t="shared" si="30"/>
        <v>2021</v>
      </c>
      <c r="E450" s="24" t="str">
        <f t="shared" si="31"/>
        <v>Q1</v>
      </c>
      <c r="F450" s="24" t="str">
        <f t="shared" si="32"/>
        <v>Mar</v>
      </c>
      <c r="G450" s="24">
        <f t="shared" si="33"/>
        <v>3</v>
      </c>
      <c r="H450" s="19">
        <v>1026</v>
      </c>
      <c r="I450" s="19" t="s">
        <v>7</v>
      </c>
      <c r="J450" s="19" t="s">
        <v>8</v>
      </c>
      <c r="K450" s="20">
        <v>2</v>
      </c>
      <c r="L450" s="21">
        <v>232.82</v>
      </c>
      <c r="M450" s="22">
        <v>0.04</v>
      </c>
      <c r="N450" s="21">
        <f t="shared" si="34"/>
        <v>223.50719999999998</v>
      </c>
      <c r="O450" s="21">
        <v>447.01</v>
      </c>
      <c r="P450" s="19" t="s">
        <v>2</v>
      </c>
      <c r="Q450" s="23">
        <v>10</v>
      </c>
      <c r="R450" s="45">
        <v>1.3</v>
      </c>
    </row>
    <row r="451" spans="2:18" x14ac:dyDescent="0.2">
      <c r="B451" s="25">
        <v>448</v>
      </c>
      <c r="C451" s="18">
        <v>44278</v>
      </c>
      <c r="D451" s="24">
        <f t="shared" si="30"/>
        <v>2021</v>
      </c>
      <c r="E451" s="24" t="str">
        <f t="shared" si="31"/>
        <v>Q1</v>
      </c>
      <c r="F451" s="24" t="str">
        <f t="shared" si="32"/>
        <v>Mar</v>
      </c>
      <c r="G451" s="24">
        <f t="shared" si="33"/>
        <v>3</v>
      </c>
      <c r="H451" s="19">
        <v>1225</v>
      </c>
      <c r="I451" s="19" t="s">
        <v>10</v>
      </c>
      <c r="J451" s="19" t="s">
        <v>1</v>
      </c>
      <c r="K451" s="20">
        <v>4</v>
      </c>
      <c r="L451" s="21">
        <v>201.19</v>
      </c>
      <c r="M451" s="22">
        <v>0.11</v>
      </c>
      <c r="N451" s="21">
        <f t="shared" si="34"/>
        <v>179.0591</v>
      </c>
      <c r="O451" s="21">
        <v>716.24</v>
      </c>
      <c r="P451" s="19" t="s">
        <v>2</v>
      </c>
      <c r="Q451" s="23">
        <v>2</v>
      </c>
      <c r="R451" s="45">
        <v>3.8</v>
      </c>
    </row>
    <row r="452" spans="2:18" x14ac:dyDescent="0.2">
      <c r="B452" s="25">
        <v>449</v>
      </c>
      <c r="C452" s="18">
        <v>44279</v>
      </c>
      <c r="D452" s="24">
        <f t="shared" ref="D452:D515" si="35">YEAR(C452)</f>
        <v>2021</v>
      </c>
      <c r="E452" s="24" t="str">
        <f t="shared" ref="E452:E515" si="36">"Q"&amp;ROUNDUP(MONTH(C452)/3,0)</f>
        <v>Q1</v>
      </c>
      <c r="F452" s="24" t="str">
        <f t="shared" ref="F452:F515" si="37">TEXT(C452,"mmm")</f>
        <v>Mar</v>
      </c>
      <c r="G452" s="24">
        <f t="shared" ref="G452:G515" si="38">MONTH(C452)</f>
        <v>3</v>
      </c>
      <c r="H452" s="19">
        <v>1276</v>
      </c>
      <c r="I452" s="19" t="s">
        <v>3</v>
      </c>
      <c r="J452" s="19" t="s">
        <v>5</v>
      </c>
      <c r="K452" s="20">
        <v>7</v>
      </c>
      <c r="L452" s="21">
        <v>378.36</v>
      </c>
      <c r="M452" s="22">
        <v>0.06</v>
      </c>
      <c r="N452" s="21">
        <f t="shared" si="34"/>
        <v>355.65840000000003</v>
      </c>
      <c r="O452" s="21">
        <v>2489.61</v>
      </c>
      <c r="P452" s="19" t="s">
        <v>6</v>
      </c>
      <c r="Q452" s="23">
        <v>8</v>
      </c>
      <c r="R452" s="45">
        <v>3.8</v>
      </c>
    </row>
    <row r="453" spans="2:18" x14ac:dyDescent="0.2">
      <c r="B453" s="25">
        <v>450</v>
      </c>
      <c r="C453" s="18">
        <v>44280</v>
      </c>
      <c r="D453" s="24">
        <f t="shared" si="35"/>
        <v>2021</v>
      </c>
      <c r="E453" s="24" t="str">
        <f t="shared" si="36"/>
        <v>Q1</v>
      </c>
      <c r="F453" s="24" t="str">
        <f t="shared" si="37"/>
        <v>Mar</v>
      </c>
      <c r="G453" s="24">
        <f t="shared" si="38"/>
        <v>3</v>
      </c>
      <c r="H453" s="19">
        <v>1797</v>
      </c>
      <c r="I453" s="19" t="s">
        <v>7</v>
      </c>
      <c r="J453" s="19" t="s">
        <v>5</v>
      </c>
      <c r="K453" s="20">
        <v>2</v>
      </c>
      <c r="L453" s="21">
        <v>111.09</v>
      </c>
      <c r="M453" s="22">
        <v>0.33</v>
      </c>
      <c r="N453" s="21">
        <f t="shared" ref="N453:N516" si="39">L453-(L453*M453)</f>
        <v>74.430300000000003</v>
      </c>
      <c r="O453" s="21">
        <v>148.86000000000001</v>
      </c>
      <c r="P453" s="19" t="s">
        <v>4</v>
      </c>
      <c r="Q453" s="23">
        <v>4</v>
      </c>
      <c r="R453" s="45">
        <v>1.1000000000000001</v>
      </c>
    </row>
    <row r="454" spans="2:18" x14ac:dyDescent="0.2">
      <c r="B454" s="25">
        <v>451</v>
      </c>
      <c r="C454" s="18">
        <v>44281</v>
      </c>
      <c r="D454" s="24">
        <f t="shared" si="35"/>
        <v>2021</v>
      </c>
      <c r="E454" s="24" t="str">
        <f t="shared" si="36"/>
        <v>Q1</v>
      </c>
      <c r="F454" s="24" t="str">
        <f t="shared" si="37"/>
        <v>Mar</v>
      </c>
      <c r="G454" s="24">
        <f t="shared" si="38"/>
        <v>3</v>
      </c>
      <c r="H454" s="19">
        <v>1608</v>
      </c>
      <c r="I454" s="19" t="s">
        <v>10</v>
      </c>
      <c r="J454" s="19" t="s">
        <v>8</v>
      </c>
      <c r="K454" s="20">
        <v>2</v>
      </c>
      <c r="L454" s="21">
        <v>509.9</v>
      </c>
      <c r="M454" s="22">
        <v>0.11</v>
      </c>
      <c r="N454" s="21">
        <f t="shared" si="39"/>
        <v>453.81099999999998</v>
      </c>
      <c r="O454" s="21">
        <v>907.62</v>
      </c>
      <c r="P454" s="19" t="s">
        <v>4</v>
      </c>
      <c r="Q454" s="23">
        <v>1</v>
      </c>
      <c r="R454" s="45">
        <v>3.6</v>
      </c>
    </row>
    <row r="455" spans="2:18" x14ac:dyDescent="0.2">
      <c r="B455" s="25">
        <v>452</v>
      </c>
      <c r="C455" s="18">
        <v>44282</v>
      </c>
      <c r="D455" s="24">
        <f t="shared" si="35"/>
        <v>2021</v>
      </c>
      <c r="E455" s="24" t="str">
        <f t="shared" si="36"/>
        <v>Q1</v>
      </c>
      <c r="F455" s="24" t="str">
        <f t="shared" si="37"/>
        <v>Mar</v>
      </c>
      <c r="G455" s="24">
        <f t="shared" si="38"/>
        <v>3</v>
      </c>
      <c r="H455" s="19">
        <v>1283</v>
      </c>
      <c r="I455" s="19" t="s">
        <v>7</v>
      </c>
      <c r="J455" s="19" t="s">
        <v>9</v>
      </c>
      <c r="K455" s="20">
        <v>1</v>
      </c>
      <c r="L455" s="21">
        <v>490.26</v>
      </c>
      <c r="M455" s="22">
        <v>0.12</v>
      </c>
      <c r="N455" s="21">
        <f t="shared" si="39"/>
        <v>431.42880000000002</v>
      </c>
      <c r="O455" s="21">
        <v>431.43</v>
      </c>
      <c r="P455" s="19" t="s">
        <v>4</v>
      </c>
      <c r="Q455" s="23">
        <v>7</v>
      </c>
      <c r="R455" s="45">
        <v>1.1000000000000001</v>
      </c>
    </row>
    <row r="456" spans="2:18" x14ac:dyDescent="0.2">
      <c r="B456" s="25">
        <v>453</v>
      </c>
      <c r="C456" s="18">
        <v>44283</v>
      </c>
      <c r="D456" s="24">
        <f t="shared" si="35"/>
        <v>2021</v>
      </c>
      <c r="E456" s="24" t="str">
        <f t="shared" si="36"/>
        <v>Q1</v>
      </c>
      <c r="F456" s="24" t="str">
        <f t="shared" si="37"/>
        <v>Mar</v>
      </c>
      <c r="G456" s="24">
        <f t="shared" si="38"/>
        <v>3</v>
      </c>
      <c r="H456" s="19">
        <v>1878</v>
      </c>
      <c r="I456" s="19" t="s">
        <v>3</v>
      </c>
      <c r="J456" s="19" t="s">
        <v>5</v>
      </c>
      <c r="K456" s="20">
        <v>1</v>
      </c>
      <c r="L456" s="21">
        <v>293.74</v>
      </c>
      <c r="M456" s="22">
        <v>0.28999999999999998</v>
      </c>
      <c r="N456" s="21">
        <f t="shared" si="39"/>
        <v>208.55540000000002</v>
      </c>
      <c r="O456" s="21">
        <v>208.56</v>
      </c>
      <c r="P456" s="19" t="s">
        <v>6</v>
      </c>
      <c r="Q456" s="23">
        <v>6</v>
      </c>
      <c r="R456" s="45">
        <v>4.8</v>
      </c>
    </row>
    <row r="457" spans="2:18" x14ac:dyDescent="0.2">
      <c r="B457" s="25">
        <v>454</v>
      </c>
      <c r="C457" s="18">
        <v>44284</v>
      </c>
      <c r="D457" s="24">
        <f t="shared" si="35"/>
        <v>2021</v>
      </c>
      <c r="E457" s="24" t="str">
        <f t="shared" si="36"/>
        <v>Q1</v>
      </c>
      <c r="F457" s="24" t="str">
        <f t="shared" si="37"/>
        <v>Mar</v>
      </c>
      <c r="G457" s="24">
        <f t="shared" si="38"/>
        <v>3</v>
      </c>
      <c r="H457" s="19">
        <v>1959</v>
      </c>
      <c r="I457" s="19" t="s">
        <v>10</v>
      </c>
      <c r="J457" s="19" t="s">
        <v>8</v>
      </c>
      <c r="K457" s="20">
        <v>7</v>
      </c>
      <c r="L457" s="21">
        <v>513.85</v>
      </c>
      <c r="M457" s="22">
        <v>0.23</v>
      </c>
      <c r="N457" s="21">
        <f t="shared" si="39"/>
        <v>395.66450000000003</v>
      </c>
      <c r="O457" s="21">
        <v>2769.65</v>
      </c>
      <c r="P457" s="19" t="s">
        <v>4</v>
      </c>
      <c r="Q457" s="23">
        <v>6</v>
      </c>
      <c r="R457" s="45">
        <v>3.8</v>
      </c>
    </row>
    <row r="458" spans="2:18" x14ac:dyDescent="0.2">
      <c r="B458" s="25">
        <v>455</v>
      </c>
      <c r="C458" s="18">
        <v>44285</v>
      </c>
      <c r="D458" s="24">
        <f t="shared" si="35"/>
        <v>2021</v>
      </c>
      <c r="E458" s="24" t="str">
        <f t="shared" si="36"/>
        <v>Q1</v>
      </c>
      <c r="F458" s="24" t="str">
        <f t="shared" si="37"/>
        <v>Mar</v>
      </c>
      <c r="G458" s="24">
        <f t="shared" si="38"/>
        <v>3</v>
      </c>
      <c r="H458" s="19">
        <v>1480</v>
      </c>
      <c r="I458" s="19" t="s">
        <v>7</v>
      </c>
      <c r="J458" s="19" t="s">
        <v>1</v>
      </c>
      <c r="K458" s="20">
        <v>4</v>
      </c>
      <c r="L458" s="21">
        <v>159.58000000000001</v>
      </c>
      <c r="M458" s="22">
        <v>0.25</v>
      </c>
      <c r="N458" s="21">
        <f t="shared" si="39"/>
        <v>119.685</v>
      </c>
      <c r="O458" s="21">
        <v>478.74</v>
      </c>
      <c r="P458" s="19" t="s">
        <v>2</v>
      </c>
      <c r="Q458" s="23">
        <v>11</v>
      </c>
      <c r="R458" s="45">
        <v>1.7</v>
      </c>
    </row>
    <row r="459" spans="2:18" x14ac:dyDescent="0.2">
      <c r="B459" s="25">
        <v>456</v>
      </c>
      <c r="C459" s="18">
        <v>44286</v>
      </c>
      <c r="D459" s="24">
        <f t="shared" si="35"/>
        <v>2021</v>
      </c>
      <c r="E459" s="24" t="str">
        <f t="shared" si="36"/>
        <v>Q1</v>
      </c>
      <c r="F459" s="24" t="str">
        <f t="shared" si="37"/>
        <v>Mar</v>
      </c>
      <c r="G459" s="24">
        <f t="shared" si="38"/>
        <v>3</v>
      </c>
      <c r="H459" s="19">
        <v>1452</v>
      </c>
      <c r="I459" s="19" t="s">
        <v>7</v>
      </c>
      <c r="J459" s="19" t="s">
        <v>1</v>
      </c>
      <c r="K459" s="20">
        <v>5</v>
      </c>
      <c r="L459" s="21">
        <v>25.28</v>
      </c>
      <c r="M459" s="22">
        <v>0.22</v>
      </c>
      <c r="N459" s="21">
        <f t="shared" si="39"/>
        <v>19.718400000000003</v>
      </c>
      <c r="O459" s="21">
        <v>98.59</v>
      </c>
      <c r="P459" s="19" t="s">
        <v>4</v>
      </c>
      <c r="Q459" s="23">
        <v>3</v>
      </c>
      <c r="R459" s="45">
        <v>1.6</v>
      </c>
    </row>
    <row r="460" spans="2:18" x14ac:dyDescent="0.2">
      <c r="B460" s="25">
        <v>457</v>
      </c>
      <c r="C460" s="18">
        <v>44287</v>
      </c>
      <c r="D460" s="24">
        <f t="shared" si="35"/>
        <v>2021</v>
      </c>
      <c r="E460" s="24" t="str">
        <f t="shared" si="36"/>
        <v>Q2</v>
      </c>
      <c r="F460" s="24" t="str">
        <f t="shared" si="37"/>
        <v>Apr</v>
      </c>
      <c r="G460" s="24">
        <f t="shared" si="38"/>
        <v>4</v>
      </c>
      <c r="H460" s="19">
        <v>1828</v>
      </c>
      <c r="I460" s="19" t="s">
        <v>3</v>
      </c>
      <c r="J460" s="19" t="s">
        <v>5</v>
      </c>
      <c r="K460" s="20">
        <v>2</v>
      </c>
      <c r="L460" s="21">
        <v>377.24</v>
      </c>
      <c r="M460" s="22">
        <v>0.33</v>
      </c>
      <c r="N460" s="21">
        <f t="shared" si="39"/>
        <v>252.7508</v>
      </c>
      <c r="O460" s="21">
        <v>505.5</v>
      </c>
      <c r="P460" s="19" t="s">
        <v>6</v>
      </c>
      <c r="Q460" s="23">
        <v>10</v>
      </c>
      <c r="R460" s="45">
        <v>3.3</v>
      </c>
    </row>
    <row r="461" spans="2:18" x14ac:dyDescent="0.2">
      <c r="B461" s="25">
        <v>458</v>
      </c>
      <c r="C461" s="18">
        <v>44288</v>
      </c>
      <c r="D461" s="24">
        <f t="shared" si="35"/>
        <v>2021</v>
      </c>
      <c r="E461" s="24" t="str">
        <f t="shared" si="36"/>
        <v>Q2</v>
      </c>
      <c r="F461" s="24" t="str">
        <f t="shared" si="37"/>
        <v>Apr</v>
      </c>
      <c r="G461" s="24">
        <f t="shared" si="38"/>
        <v>4</v>
      </c>
      <c r="H461" s="19">
        <v>1815</v>
      </c>
      <c r="I461" s="19" t="s">
        <v>0</v>
      </c>
      <c r="J461" s="19" t="s">
        <v>9</v>
      </c>
      <c r="K461" s="20">
        <v>6</v>
      </c>
      <c r="L461" s="21">
        <v>282.88</v>
      </c>
      <c r="M461" s="22">
        <v>7.0000000000000007E-2</v>
      </c>
      <c r="N461" s="21">
        <f t="shared" si="39"/>
        <v>263.07839999999999</v>
      </c>
      <c r="O461" s="21">
        <v>1578.47</v>
      </c>
      <c r="P461" s="19" t="s">
        <v>4</v>
      </c>
      <c r="Q461" s="23">
        <v>7</v>
      </c>
      <c r="R461" s="45">
        <v>3.5</v>
      </c>
    </row>
    <row r="462" spans="2:18" x14ac:dyDescent="0.2">
      <c r="B462" s="25">
        <v>459</v>
      </c>
      <c r="C462" s="18">
        <v>44289</v>
      </c>
      <c r="D462" s="24">
        <f t="shared" si="35"/>
        <v>2021</v>
      </c>
      <c r="E462" s="24" t="str">
        <f t="shared" si="36"/>
        <v>Q2</v>
      </c>
      <c r="F462" s="24" t="str">
        <f t="shared" si="37"/>
        <v>Apr</v>
      </c>
      <c r="G462" s="24">
        <f t="shared" si="38"/>
        <v>4</v>
      </c>
      <c r="H462" s="19">
        <v>1658</v>
      </c>
      <c r="I462" s="19" t="s">
        <v>3</v>
      </c>
      <c r="J462" s="19" t="s">
        <v>8</v>
      </c>
      <c r="K462" s="20">
        <v>4</v>
      </c>
      <c r="L462" s="21">
        <v>346.79</v>
      </c>
      <c r="M462" s="22">
        <v>0.35</v>
      </c>
      <c r="N462" s="21">
        <f t="shared" si="39"/>
        <v>225.41350000000003</v>
      </c>
      <c r="O462" s="21">
        <v>901.65</v>
      </c>
      <c r="P462" s="19" t="s">
        <v>6</v>
      </c>
      <c r="Q462" s="23">
        <v>6</v>
      </c>
      <c r="R462" s="45">
        <v>4.3</v>
      </c>
    </row>
    <row r="463" spans="2:18" x14ac:dyDescent="0.2">
      <c r="B463" s="25">
        <v>460</v>
      </c>
      <c r="C463" s="18">
        <v>44290</v>
      </c>
      <c r="D463" s="24">
        <f t="shared" si="35"/>
        <v>2021</v>
      </c>
      <c r="E463" s="24" t="str">
        <f t="shared" si="36"/>
        <v>Q2</v>
      </c>
      <c r="F463" s="24" t="str">
        <f t="shared" si="37"/>
        <v>Apr</v>
      </c>
      <c r="G463" s="24">
        <f t="shared" si="38"/>
        <v>4</v>
      </c>
      <c r="H463" s="19">
        <v>1515</v>
      </c>
      <c r="I463" s="19" t="s">
        <v>10</v>
      </c>
      <c r="J463" s="19" t="s">
        <v>5</v>
      </c>
      <c r="K463" s="20">
        <v>2</v>
      </c>
      <c r="L463" s="21">
        <v>541.11</v>
      </c>
      <c r="M463" s="22">
        <v>0.28999999999999998</v>
      </c>
      <c r="N463" s="21">
        <f t="shared" si="39"/>
        <v>384.18810000000002</v>
      </c>
      <c r="O463" s="21">
        <v>768.38</v>
      </c>
      <c r="P463" s="19" t="s">
        <v>4</v>
      </c>
      <c r="Q463" s="23">
        <v>10</v>
      </c>
      <c r="R463" s="45">
        <v>4.5999999999999996</v>
      </c>
    </row>
    <row r="464" spans="2:18" x14ac:dyDescent="0.2">
      <c r="B464" s="25">
        <v>461</v>
      </c>
      <c r="C464" s="18">
        <v>44291</v>
      </c>
      <c r="D464" s="24">
        <f t="shared" si="35"/>
        <v>2021</v>
      </c>
      <c r="E464" s="24" t="str">
        <f t="shared" si="36"/>
        <v>Q2</v>
      </c>
      <c r="F464" s="24" t="str">
        <f t="shared" si="37"/>
        <v>Apr</v>
      </c>
      <c r="G464" s="24">
        <f t="shared" si="38"/>
        <v>4</v>
      </c>
      <c r="H464" s="19">
        <v>1546</v>
      </c>
      <c r="I464" s="19" t="s">
        <v>3</v>
      </c>
      <c r="J464" s="19" t="s">
        <v>1</v>
      </c>
      <c r="K464" s="20">
        <v>5</v>
      </c>
      <c r="L464" s="21">
        <v>582.41</v>
      </c>
      <c r="M464" s="22">
        <v>0.21</v>
      </c>
      <c r="N464" s="21">
        <f t="shared" si="39"/>
        <v>460.10389999999995</v>
      </c>
      <c r="O464" s="21">
        <v>2300.52</v>
      </c>
      <c r="P464" s="19" t="s">
        <v>6</v>
      </c>
      <c r="Q464" s="23">
        <v>10</v>
      </c>
      <c r="R464" s="45">
        <v>2.6</v>
      </c>
    </row>
    <row r="465" spans="2:18" x14ac:dyDescent="0.2">
      <c r="B465" s="25">
        <v>462</v>
      </c>
      <c r="C465" s="18">
        <v>44292</v>
      </c>
      <c r="D465" s="24">
        <f t="shared" si="35"/>
        <v>2021</v>
      </c>
      <c r="E465" s="24" t="str">
        <f t="shared" si="36"/>
        <v>Q2</v>
      </c>
      <c r="F465" s="24" t="str">
        <f t="shared" si="37"/>
        <v>Apr</v>
      </c>
      <c r="G465" s="24">
        <f t="shared" si="38"/>
        <v>4</v>
      </c>
      <c r="H465" s="19">
        <v>1191</v>
      </c>
      <c r="I465" s="19" t="s">
        <v>7</v>
      </c>
      <c r="J465" s="19" t="s">
        <v>9</v>
      </c>
      <c r="K465" s="20">
        <v>6</v>
      </c>
      <c r="L465" s="21">
        <v>386.16</v>
      </c>
      <c r="M465" s="22">
        <v>0.23</v>
      </c>
      <c r="N465" s="21">
        <f t="shared" si="39"/>
        <v>297.34320000000002</v>
      </c>
      <c r="O465" s="21">
        <v>1784.06</v>
      </c>
      <c r="P465" s="19" t="s">
        <v>6</v>
      </c>
      <c r="Q465" s="23">
        <v>9</v>
      </c>
      <c r="R465" s="45">
        <v>4.4000000000000004</v>
      </c>
    </row>
    <row r="466" spans="2:18" x14ac:dyDescent="0.2">
      <c r="B466" s="25">
        <v>463</v>
      </c>
      <c r="C466" s="18">
        <v>44293</v>
      </c>
      <c r="D466" s="24">
        <f t="shared" si="35"/>
        <v>2021</v>
      </c>
      <c r="E466" s="24" t="str">
        <f t="shared" si="36"/>
        <v>Q2</v>
      </c>
      <c r="F466" s="24" t="str">
        <f t="shared" si="37"/>
        <v>Apr</v>
      </c>
      <c r="G466" s="24">
        <f t="shared" si="38"/>
        <v>4</v>
      </c>
      <c r="H466" s="19">
        <v>1048</v>
      </c>
      <c r="I466" s="19" t="s">
        <v>3</v>
      </c>
      <c r="J466" s="19" t="s">
        <v>8</v>
      </c>
      <c r="K466" s="20">
        <v>2</v>
      </c>
      <c r="L466" s="21">
        <v>461.97</v>
      </c>
      <c r="M466" s="22">
        <v>0.23</v>
      </c>
      <c r="N466" s="21">
        <f t="shared" si="39"/>
        <v>355.71690000000001</v>
      </c>
      <c r="O466" s="21">
        <v>711.43</v>
      </c>
      <c r="P466" s="19" t="s">
        <v>4</v>
      </c>
      <c r="Q466" s="23">
        <v>3</v>
      </c>
      <c r="R466" s="45">
        <v>3.2</v>
      </c>
    </row>
    <row r="467" spans="2:18" x14ac:dyDescent="0.2">
      <c r="B467" s="25">
        <v>464</v>
      </c>
      <c r="C467" s="18">
        <v>44294</v>
      </c>
      <c r="D467" s="24">
        <f t="shared" si="35"/>
        <v>2021</v>
      </c>
      <c r="E467" s="24" t="str">
        <f t="shared" si="36"/>
        <v>Q2</v>
      </c>
      <c r="F467" s="24" t="str">
        <f t="shared" si="37"/>
        <v>Apr</v>
      </c>
      <c r="G467" s="24">
        <f t="shared" si="38"/>
        <v>4</v>
      </c>
      <c r="H467" s="19">
        <v>1511</v>
      </c>
      <c r="I467" s="19" t="s">
        <v>10</v>
      </c>
      <c r="J467" s="19" t="s">
        <v>5</v>
      </c>
      <c r="K467" s="20">
        <v>3</v>
      </c>
      <c r="L467" s="21">
        <v>64.03</v>
      </c>
      <c r="M467" s="22">
        <v>0.02</v>
      </c>
      <c r="N467" s="21">
        <f t="shared" si="39"/>
        <v>62.749400000000001</v>
      </c>
      <c r="O467" s="21">
        <v>188.25</v>
      </c>
      <c r="P467" s="19" t="s">
        <v>2</v>
      </c>
      <c r="Q467" s="23">
        <v>3</v>
      </c>
      <c r="R467" s="45">
        <v>2.9</v>
      </c>
    </row>
    <row r="468" spans="2:18" x14ac:dyDescent="0.2">
      <c r="B468" s="25">
        <v>465</v>
      </c>
      <c r="C468" s="18">
        <v>44295</v>
      </c>
      <c r="D468" s="24">
        <f t="shared" si="35"/>
        <v>2021</v>
      </c>
      <c r="E468" s="24" t="str">
        <f t="shared" si="36"/>
        <v>Q2</v>
      </c>
      <c r="F468" s="24" t="str">
        <f t="shared" si="37"/>
        <v>Apr</v>
      </c>
      <c r="G468" s="24">
        <f t="shared" si="38"/>
        <v>4</v>
      </c>
      <c r="H468" s="19">
        <v>1016</v>
      </c>
      <c r="I468" s="19" t="s">
        <v>7</v>
      </c>
      <c r="J468" s="19" t="s">
        <v>8</v>
      </c>
      <c r="K468" s="20">
        <v>7</v>
      </c>
      <c r="L468" s="21">
        <v>109.02</v>
      </c>
      <c r="M468" s="22">
        <v>0.08</v>
      </c>
      <c r="N468" s="21">
        <f t="shared" si="39"/>
        <v>100.2984</v>
      </c>
      <c r="O468" s="21">
        <v>702.09</v>
      </c>
      <c r="P468" s="19" t="s">
        <v>6</v>
      </c>
      <c r="Q468" s="23">
        <v>4</v>
      </c>
      <c r="R468" s="45">
        <v>3.8</v>
      </c>
    </row>
    <row r="469" spans="2:18" x14ac:dyDescent="0.2">
      <c r="B469" s="25">
        <v>466</v>
      </c>
      <c r="C469" s="18">
        <v>44296</v>
      </c>
      <c r="D469" s="24">
        <f t="shared" si="35"/>
        <v>2021</v>
      </c>
      <c r="E469" s="24" t="str">
        <f t="shared" si="36"/>
        <v>Q2</v>
      </c>
      <c r="F469" s="24" t="str">
        <f t="shared" si="37"/>
        <v>Apr</v>
      </c>
      <c r="G469" s="24">
        <f t="shared" si="38"/>
        <v>4</v>
      </c>
      <c r="H469" s="19">
        <v>1171</v>
      </c>
      <c r="I469" s="19" t="s">
        <v>7</v>
      </c>
      <c r="J469" s="19" t="s">
        <v>9</v>
      </c>
      <c r="K469" s="20">
        <v>4</v>
      </c>
      <c r="L469" s="21">
        <v>443.92</v>
      </c>
      <c r="M469" s="22">
        <v>0.34</v>
      </c>
      <c r="N469" s="21">
        <f t="shared" si="39"/>
        <v>292.98720000000003</v>
      </c>
      <c r="O469" s="21">
        <v>1171.95</v>
      </c>
      <c r="P469" s="19" t="s">
        <v>2</v>
      </c>
      <c r="Q469" s="23">
        <v>3</v>
      </c>
      <c r="R469" s="45">
        <v>1.4</v>
      </c>
    </row>
    <row r="470" spans="2:18" x14ac:dyDescent="0.2">
      <c r="B470" s="25">
        <v>467</v>
      </c>
      <c r="C470" s="18">
        <v>44297</v>
      </c>
      <c r="D470" s="24">
        <f t="shared" si="35"/>
        <v>2021</v>
      </c>
      <c r="E470" s="24" t="str">
        <f t="shared" si="36"/>
        <v>Q2</v>
      </c>
      <c r="F470" s="24" t="str">
        <f t="shared" si="37"/>
        <v>Apr</v>
      </c>
      <c r="G470" s="24">
        <f t="shared" si="38"/>
        <v>4</v>
      </c>
      <c r="H470" s="19">
        <v>1219</v>
      </c>
      <c r="I470" s="19" t="s">
        <v>7</v>
      </c>
      <c r="J470" s="19" t="s">
        <v>9</v>
      </c>
      <c r="K470" s="20">
        <v>7</v>
      </c>
      <c r="L470" s="21">
        <v>267.35000000000002</v>
      </c>
      <c r="M470" s="22">
        <v>0.19</v>
      </c>
      <c r="N470" s="21">
        <f t="shared" si="39"/>
        <v>216.55350000000001</v>
      </c>
      <c r="O470" s="21">
        <v>1515.87</v>
      </c>
      <c r="P470" s="19" t="s">
        <v>2</v>
      </c>
      <c r="Q470" s="23">
        <v>4</v>
      </c>
      <c r="R470" s="45">
        <v>2.1</v>
      </c>
    </row>
    <row r="471" spans="2:18" x14ac:dyDescent="0.2">
      <c r="B471" s="25">
        <v>468</v>
      </c>
      <c r="C471" s="18">
        <v>44298</v>
      </c>
      <c r="D471" s="24">
        <f t="shared" si="35"/>
        <v>2021</v>
      </c>
      <c r="E471" s="24" t="str">
        <f t="shared" si="36"/>
        <v>Q2</v>
      </c>
      <c r="F471" s="24" t="str">
        <f t="shared" si="37"/>
        <v>Apr</v>
      </c>
      <c r="G471" s="24">
        <f t="shared" si="38"/>
        <v>4</v>
      </c>
      <c r="H471" s="19">
        <v>1157</v>
      </c>
      <c r="I471" s="19" t="s">
        <v>3</v>
      </c>
      <c r="J471" s="19" t="s">
        <v>1</v>
      </c>
      <c r="K471" s="20">
        <v>1</v>
      </c>
      <c r="L471" s="21">
        <v>275.89</v>
      </c>
      <c r="M471" s="22">
        <v>0.13</v>
      </c>
      <c r="N471" s="21">
        <f t="shared" si="39"/>
        <v>240.02429999999998</v>
      </c>
      <c r="O471" s="21">
        <v>240.02</v>
      </c>
      <c r="P471" s="19" t="s">
        <v>2</v>
      </c>
      <c r="Q471" s="23">
        <v>6</v>
      </c>
      <c r="R471" s="45">
        <v>4.3</v>
      </c>
    </row>
    <row r="472" spans="2:18" x14ac:dyDescent="0.2">
      <c r="B472" s="25">
        <v>469</v>
      </c>
      <c r="C472" s="18">
        <v>44299</v>
      </c>
      <c r="D472" s="24">
        <f t="shared" si="35"/>
        <v>2021</v>
      </c>
      <c r="E472" s="24" t="str">
        <f t="shared" si="36"/>
        <v>Q2</v>
      </c>
      <c r="F472" s="24" t="str">
        <f t="shared" si="37"/>
        <v>Apr</v>
      </c>
      <c r="G472" s="24">
        <f t="shared" si="38"/>
        <v>4</v>
      </c>
      <c r="H472" s="19">
        <v>1476</v>
      </c>
      <c r="I472" s="19" t="s">
        <v>0</v>
      </c>
      <c r="J472" s="19" t="s">
        <v>9</v>
      </c>
      <c r="K472" s="20">
        <v>2</v>
      </c>
      <c r="L472" s="21">
        <v>195.54</v>
      </c>
      <c r="M472" s="22">
        <v>0.27</v>
      </c>
      <c r="N472" s="21">
        <f t="shared" si="39"/>
        <v>142.74419999999998</v>
      </c>
      <c r="O472" s="21">
        <v>285.49</v>
      </c>
      <c r="P472" s="19" t="s">
        <v>4</v>
      </c>
      <c r="Q472" s="23">
        <v>1</v>
      </c>
      <c r="R472" s="45">
        <v>3</v>
      </c>
    </row>
    <row r="473" spans="2:18" x14ac:dyDescent="0.2">
      <c r="B473" s="25">
        <v>470</v>
      </c>
      <c r="C473" s="18">
        <v>44300</v>
      </c>
      <c r="D473" s="24">
        <f t="shared" si="35"/>
        <v>2021</v>
      </c>
      <c r="E473" s="24" t="str">
        <f t="shared" si="36"/>
        <v>Q2</v>
      </c>
      <c r="F473" s="24" t="str">
        <f t="shared" si="37"/>
        <v>Apr</v>
      </c>
      <c r="G473" s="24">
        <f t="shared" si="38"/>
        <v>4</v>
      </c>
      <c r="H473" s="19">
        <v>1045</v>
      </c>
      <c r="I473" s="19" t="s">
        <v>7</v>
      </c>
      <c r="J473" s="19" t="s">
        <v>5</v>
      </c>
      <c r="K473" s="20">
        <v>6</v>
      </c>
      <c r="L473" s="21">
        <v>370.3</v>
      </c>
      <c r="M473" s="22">
        <v>0.18</v>
      </c>
      <c r="N473" s="21">
        <f t="shared" si="39"/>
        <v>303.64600000000002</v>
      </c>
      <c r="O473" s="21">
        <v>1821.88</v>
      </c>
      <c r="P473" s="19" t="s">
        <v>4</v>
      </c>
      <c r="Q473" s="23">
        <v>2</v>
      </c>
      <c r="R473" s="45">
        <v>4.5999999999999996</v>
      </c>
    </row>
    <row r="474" spans="2:18" x14ac:dyDescent="0.2">
      <c r="B474" s="25">
        <v>471</v>
      </c>
      <c r="C474" s="18">
        <v>44301</v>
      </c>
      <c r="D474" s="24">
        <f t="shared" si="35"/>
        <v>2021</v>
      </c>
      <c r="E474" s="24" t="str">
        <f t="shared" si="36"/>
        <v>Q2</v>
      </c>
      <c r="F474" s="24" t="str">
        <f t="shared" si="37"/>
        <v>Apr</v>
      </c>
      <c r="G474" s="24">
        <f t="shared" si="38"/>
        <v>4</v>
      </c>
      <c r="H474" s="19">
        <v>1372</v>
      </c>
      <c r="I474" s="19" t="s">
        <v>3</v>
      </c>
      <c r="J474" s="19" t="s">
        <v>8</v>
      </c>
      <c r="K474" s="20">
        <v>6</v>
      </c>
      <c r="L474" s="21">
        <v>123.32</v>
      </c>
      <c r="M474" s="22">
        <v>0</v>
      </c>
      <c r="N474" s="21">
        <f t="shared" si="39"/>
        <v>123.32</v>
      </c>
      <c r="O474" s="21">
        <v>739.92</v>
      </c>
      <c r="P474" s="19" t="s">
        <v>2</v>
      </c>
      <c r="Q474" s="23">
        <v>10</v>
      </c>
      <c r="R474" s="45">
        <v>1.4</v>
      </c>
    </row>
    <row r="475" spans="2:18" x14ac:dyDescent="0.2">
      <c r="B475" s="25">
        <v>472</v>
      </c>
      <c r="C475" s="18">
        <v>44302</v>
      </c>
      <c r="D475" s="24">
        <f t="shared" si="35"/>
        <v>2021</v>
      </c>
      <c r="E475" s="24" t="str">
        <f t="shared" si="36"/>
        <v>Q2</v>
      </c>
      <c r="F475" s="24" t="str">
        <f t="shared" si="37"/>
        <v>Apr</v>
      </c>
      <c r="G475" s="24">
        <f t="shared" si="38"/>
        <v>4</v>
      </c>
      <c r="H475" s="19">
        <v>1517</v>
      </c>
      <c r="I475" s="19" t="s">
        <v>7</v>
      </c>
      <c r="J475" s="19" t="s">
        <v>9</v>
      </c>
      <c r="K475" s="20">
        <v>4</v>
      </c>
      <c r="L475" s="21">
        <v>381.75</v>
      </c>
      <c r="M475" s="22">
        <v>0.26</v>
      </c>
      <c r="N475" s="21">
        <f t="shared" si="39"/>
        <v>282.495</v>
      </c>
      <c r="O475" s="21">
        <v>1129.98</v>
      </c>
      <c r="P475" s="19" t="s">
        <v>6</v>
      </c>
      <c r="Q475" s="23">
        <v>6</v>
      </c>
      <c r="R475" s="45">
        <v>2.2999999999999998</v>
      </c>
    </row>
    <row r="476" spans="2:18" x14ac:dyDescent="0.2">
      <c r="B476" s="25">
        <v>473</v>
      </c>
      <c r="C476" s="18">
        <v>44303</v>
      </c>
      <c r="D476" s="24">
        <f t="shared" si="35"/>
        <v>2021</v>
      </c>
      <c r="E476" s="24" t="str">
        <f t="shared" si="36"/>
        <v>Q2</v>
      </c>
      <c r="F476" s="24" t="str">
        <f t="shared" si="37"/>
        <v>Apr</v>
      </c>
      <c r="G476" s="24">
        <f t="shared" si="38"/>
        <v>4</v>
      </c>
      <c r="H476" s="19">
        <v>1098</v>
      </c>
      <c r="I476" s="19" t="s">
        <v>0</v>
      </c>
      <c r="J476" s="19" t="s">
        <v>9</v>
      </c>
      <c r="K476" s="20">
        <v>4</v>
      </c>
      <c r="L476" s="21">
        <v>116.67</v>
      </c>
      <c r="M476" s="22">
        <v>0.26</v>
      </c>
      <c r="N476" s="21">
        <f t="shared" si="39"/>
        <v>86.335800000000006</v>
      </c>
      <c r="O476" s="21">
        <v>345.34</v>
      </c>
      <c r="P476" s="19" t="s">
        <v>4</v>
      </c>
      <c r="Q476" s="23">
        <v>6</v>
      </c>
      <c r="R476" s="45">
        <v>2.4</v>
      </c>
    </row>
    <row r="477" spans="2:18" x14ac:dyDescent="0.2">
      <c r="B477" s="25">
        <v>474</v>
      </c>
      <c r="C477" s="18">
        <v>44304</v>
      </c>
      <c r="D477" s="24">
        <f t="shared" si="35"/>
        <v>2021</v>
      </c>
      <c r="E477" s="24" t="str">
        <f t="shared" si="36"/>
        <v>Q2</v>
      </c>
      <c r="F477" s="24" t="str">
        <f t="shared" si="37"/>
        <v>Apr</v>
      </c>
      <c r="G477" s="24">
        <f t="shared" si="38"/>
        <v>4</v>
      </c>
      <c r="H477" s="19">
        <v>1891</v>
      </c>
      <c r="I477" s="19" t="s">
        <v>7</v>
      </c>
      <c r="J477" s="19" t="s">
        <v>5</v>
      </c>
      <c r="K477" s="20">
        <v>7</v>
      </c>
      <c r="L477" s="21">
        <v>52.34</v>
      </c>
      <c r="M477" s="22">
        <v>0.06</v>
      </c>
      <c r="N477" s="21">
        <f t="shared" si="39"/>
        <v>49.199600000000004</v>
      </c>
      <c r="O477" s="21">
        <v>344.4</v>
      </c>
      <c r="P477" s="19" t="s">
        <v>6</v>
      </c>
      <c r="Q477" s="23">
        <v>1</v>
      </c>
      <c r="R477" s="45">
        <v>2.7</v>
      </c>
    </row>
    <row r="478" spans="2:18" x14ac:dyDescent="0.2">
      <c r="B478" s="25">
        <v>475</v>
      </c>
      <c r="C478" s="18">
        <v>44305</v>
      </c>
      <c r="D478" s="24">
        <f t="shared" si="35"/>
        <v>2021</v>
      </c>
      <c r="E478" s="24" t="str">
        <f t="shared" si="36"/>
        <v>Q2</v>
      </c>
      <c r="F478" s="24" t="str">
        <f t="shared" si="37"/>
        <v>Apr</v>
      </c>
      <c r="G478" s="24">
        <f t="shared" si="38"/>
        <v>4</v>
      </c>
      <c r="H478" s="19">
        <v>1744</v>
      </c>
      <c r="I478" s="19" t="s">
        <v>3</v>
      </c>
      <c r="J478" s="19" t="s">
        <v>8</v>
      </c>
      <c r="K478" s="20">
        <v>6</v>
      </c>
      <c r="L478" s="21">
        <v>208.26</v>
      </c>
      <c r="M478" s="22">
        <v>0.33</v>
      </c>
      <c r="N478" s="21">
        <f t="shared" si="39"/>
        <v>139.5342</v>
      </c>
      <c r="O478" s="21">
        <v>837.21</v>
      </c>
      <c r="P478" s="19" t="s">
        <v>4</v>
      </c>
      <c r="Q478" s="23">
        <v>6</v>
      </c>
      <c r="R478" s="45">
        <v>4.9000000000000004</v>
      </c>
    </row>
    <row r="479" spans="2:18" x14ac:dyDescent="0.2">
      <c r="B479" s="25">
        <v>476</v>
      </c>
      <c r="C479" s="18">
        <v>44306</v>
      </c>
      <c r="D479" s="24">
        <f t="shared" si="35"/>
        <v>2021</v>
      </c>
      <c r="E479" s="24" t="str">
        <f t="shared" si="36"/>
        <v>Q2</v>
      </c>
      <c r="F479" s="24" t="str">
        <f t="shared" si="37"/>
        <v>Apr</v>
      </c>
      <c r="G479" s="24">
        <f t="shared" si="38"/>
        <v>4</v>
      </c>
      <c r="H479" s="19">
        <v>1036</v>
      </c>
      <c r="I479" s="19" t="s">
        <v>10</v>
      </c>
      <c r="J479" s="19" t="s">
        <v>8</v>
      </c>
      <c r="K479" s="20">
        <v>6</v>
      </c>
      <c r="L479" s="21">
        <v>150.22</v>
      </c>
      <c r="M479" s="22">
        <v>0.08</v>
      </c>
      <c r="N479" s="21">
        <f t="shared" si="39"/>
        <v>138.20240000000001</v>
      </c>
      <c r="O479" s="21">
        <v>829.21</v>
      </c>
      <c r="P479" s="19" t="s">
        <v>6</v>
      </c>
      <c r="Q479" s="23">
        <v>11</v>
      </c>
      <c r="R479" s="45">
        <v>2.2000000000000002</v>
      </c>
    </row>
    <row r="480" spans="2:18" x14ac:dyDescent="0.2">
      <c r="B480" s="25">
        <v>477</v>
      </c>
      <c r="C480" s="18">
        <v>44307</v>
      </c>
      <c r="D480" s="24">
        <f t="shared" si="35"/>
        <v>2021</v>
      </c>
      <c r="E480" s="24" t="str">
        <f t="shared" si="36"/>
        <v>Q2</v>
      </c>
      <c r="F480" s="24" t="str">
        <f t="shared" si="37"/>
        <v>Apr</v>
      </c>
      <c r="G480" s="24">
        <f t="shared" si="38"/>
        <v>4</v>
      </c>
      <c r="H480" s="19">
        <v>1279</v>
      </c>
      <c r="I480" s="19" t="s">
        <v>10</v>
      </c>
      <c r="J480" s="19" t="s">
        <v>1</v>
      </c>
      <c r="K480" s="20">
        <v>6</v>
      </c>
      <c r="L480" s="21">
        <v>535.05999999999995</v>
      </c>
      <c r="M480" s="22">
        <v>0.16</v>
      </c>
      <c r="N480" s="21">
        <f t="shared" si="39"/>
        <v>449.45039999999995</v>
      </c>
      <c r="O480" s="21">
        <v>2696.7</v>
      </c>
      <c r="P480" s="19" t="s">
        <v>2</v>
      </c>
      <c r="Q480" s="23">
        <v>9</v>
      </c>
      <c r="R480" s="45">
        <v>3.1</v>
      </c>
    </row>
    <row r="481" spans="2:18" x14ac:dyDescent="0.2">
      <c r="B481" s="25">
        <v>478</v>
      </c>
      <c r="C481" s="18">
        <v>44308</v>
      </c>
      <c r="D481" s="24">
        <f t="shared" si="35"/>
        <v>2021</v>
      </c>
      <c r="E481" s="24" t="str">
        <f t="shared" si="36"/>
        <v>Q2</v>
      </c>
      <c r="F481" s="24" t="str">
        <f t="shared" si="37"/>
        <v>Apr</v>
      </c>
      <c r="G481" s="24">
        <f t="shared" si="38"/>
        <v>4</v>
      </c>
      <c r="H481" s="19">
        <v>1348</v>
      </c>
      <c r="I481" s="19" t="s">
        <v>3</v>
      </c>
      <c r="J481" s="19" t="s">
        <v>1</v>
      </c>
      <c r="K481" s="20">
        <v>2</v>
      </c>
      <c r="L481" s="21">
        <v>47.15</v>
      </c>
      <c r="M481" s="22">
        <v>0.04</v>
      </c>
      <c r="N481" s="21">
        <f t="shared" si="39"/>
        <v>45.263999999999996</v>
      </c>
      <c r="O481" s="21">
        <v>90.53</v>
      </c>
      <c r="P481" s="19" t="s">
        <v>6</v>
      </c>
      <c r="Q481" s="23">
        <v>8</v>
      </c>
      <c r="R481" s="45">
        <v>3.1</v>
      </c>
    </row>
    <row r="482" spans="2:18" x14ac:dyDescent="0.2">
      <c r="B482" s="25">
        <v>479</v>
      </c>
      <c r="C482" s="18">
        <v>44309</v>
      </c>
      <c r="D482" s="24">
        <f t="shared" si="35"/>
        <v>2021</v>
      </c>
      <c r="E482" s="24" t="str">
        <f t="shared" si="36"/>
        <v>Q2</v>
      </c>
      <c r="F482" s="24" t="str">
        <f t="shared" si="37"/>
        <v>Apr</v>
      </c>
      <c r="G482" s="24">
        <f t="shared" si="38"/>
        <v>4</v>
      </c>
      <c r="H482" s="19">
        <v>1496</v>
      </c>
      <c r="I482" s="19" t="s">
        <v>7</v>
      </c>
      <c r="J482" s="19" t="s">
        <v>8</v>
      </c>
      <c r="K482" s="20">
        <v>6</v>
      </c>
      <c r="L482" s="21">
        <v>118.32</v>
      </c>
      <c r="M482" s="22">
        <v>0.21</v>
      </c>
      <c r="N482" s="21">
        <f t="shared" si="39"/>
        <v>93.472799999999992</v>
      </c>
      <c r="O482" s="21">
        <v>560.84</v>
      </c>
      <c r="P482" s="19" t="s">
        <v>4</v>
      </c>
      <c r="Q482" s="23">
        <v>10</v>
      </c>
      <c r="R482" s="45">
        <v>4.0999999999999996</v>
      </c>
    </row>
    <row r="483" spans="2:18" x14ac:dyDescent="0.2">
      <c r="B483" s="25">
        <v>480</v>
      </c>
      <c r="C483" s="18">
        <v>44310</v>
      </c>
      <c r="D483" s="24">
        <f t="shared" si="35"/>
        <v>2021</v>
      </c>
      <c r="E483" s="24" t="str">
        <f t="shared" si="36"/>
        <v>Q2</v>
      </c>
      <c r="F483" s="24" t="str">
        <f t="shared" si="37"/>
        <v>Apr</v>
      </c>
      <c r="G483" s="24">
        <f t="shared" si="38"/>
        <v>4</v>
      </c>
      <c r="H483" s="19">
        <v>1301</v>
      </c>
      <c r="I483" s="19" t="s">
        <v>3</v>
      </c>
      <c r="J483" s="19" t="s">
        <v>5</v>
      </c>
      <c r="K483" s="20">
        <v>1</v>
      </c>
      <c r="L483" s="21">
        <v>336</v>
      </c>
      <c r="M483" s="22">
        <v>0.13</v>
      </c>
      <c r="N483" s="21">
        <f t="shared" si="39"/>
        <v>292.32</v>
      </c>
      <c r="O483" s="21">
        <v>292.32</v>
      </c>
      <c r="P483" s="19" t="s">
        <v>4</v>
      </c>
      <c r="Q483" s="23">
        <v>5</v>
      </c>
      <c r="R483" s="45">
        <v>3.1</v>
      </c>
    </row>
    <row r="484" spans="2:18" x14ac:dyDescent="0.2">
      <c r="B484" s="25">
        <v>481</v>
      </c>
      <c r="C484" s="18">
        <v>44311</v>
      </c>
      <c r="D484" s="24">
        <f t="shared" si="35"/>
        <v>2021</v>
      </c>
      <c r="E484" s="24" t="str">
        <f t="shared" si="36"/>
        <v>Q2</v>
      </c>
      <c r="F484" s="24" t="str">
        <f t="shared" si="37"/>
        <v>Apr</v>
      </c>
      <c r="G484" s="24">
        <f t="shared" si="38"/>
        <v>4</v>
      </c>
      <c r="H484" s="19">
        <v>1180</v>
      </c>
      <c r="I484" s="19" t="s">
        <v>7</v>
      </c>
      <c r="J484" s="19" t="s">
        <v>5</v>
      </c>
      <c r="K484" s="20">
        <v>6</v>
      </c>
      <c r="L484" s="21">
        <v>296.42</v>
      </c>
      <c r="M484" s="22">
        <v>0.12</v>
      </c>
      <c r="N484" s="21">
        <f t="shared" si="39"/>
        <v>260.84960000000001</v>
      </c>
      <c r="O484" s="21">
        <v>1565.1</v>
      </c>
      <c r="P484" s="19" t="s">
        <v>4</v>
      </c>
      <c r="Q484" s="23">
        <v>4</v>
      </c>
      <c r="R484" s="45">
        <v>3.4</v>
      </c>
    </row>
    <row r="485" spans="2:18" x14ac:dyDescent="0.2">
      <c r="B485" s="25">
        <v>482</v>
      </c>
      <c r="C485" s="18">
        <v>44312</v>
      </c>
      <c r="D485" s="24">
        <f t="shared" si="35"/>
        <v>2021</v>
      </c>
      <c r="E485" s="24" t="str">
        <f t="shared" si="36"/>
        <v>Q2</v>
      </c>
      <c r="F485" s="24" t="str">
        <f t="shared" si="37"/>
        <v>Apr</v>
      </c>
      <c r="G485" s="24">
        <f t="shared" si="38"/>
        <v>4</v>
      </c>
      <c r="H485" s="19">
        <v>1606</v>
      </c>
      <c r="I485" s="19" t="s">
        <v>7</v>
      </c>
      <c r="J485" s="19" t="s">
        <v>1</v>
      </c>
      <c r="K485" s="20">
        <v>1</v>
      </c>
      <c r="L485" s="21">
        <v>41.82</v>
      </c>
      <c r="M485" s="22">
        <v>0.28999999999999998</v>
      </c>
      <c r="N485" s="21">
        <f t="shared" si="39"/>
        <v>29.6922</v>
      </c>
      <c r="O485" s="21">
        <v>29.69</v>
      </c>
      <c r="P485" s="19" t="s">
        <v>6</v>
      </c>
      <c r="Q485" s="23">
        <v>6</v>
      </c>
      <c r="R485" s="45">
        <v>4</v>
      </c>
    </row>
    <row r="486" spans="2:18" x14ac:dyDescent="0.2">
      <c r="B486" s="25">
        <v>483</v>
      </c>
      <c r="C486" s="18">
        <v>44313</v>
      </c>
      <c r="D486" s="24">
        <f t="shared" si="35"/>
        <v>2021</v>
      </c>
      <c r="E486" s="24" t="str">
        <f t="shared" si="36"/>
        <v>Q2</v>
      </c>
      <c r="F486" s="24" t="str">
        <f t="shared" si="37"/>
        <v>Apr</v>
      </c>
      <c r="G486" s="24">
        <f t="shared" si="38"/>
        <v>4</v>
      </c>
      <c r="H486" s="19">
        <v>1098</v>
      </c>
      <c r="I486" s="19" t="s">
        <v>3</v>
      </c>
      <c r="J486" s="19" t="s">
        <v>9</v>
      </c>
      <c r="K486" s="20">
        <v>2</v>
      </c>
      <c r="L486" s="21">
        <v>19.239999999999998</v>
      </c>
      <c r="M486" s="22">
        <v>0</v>
      </c>
      <c r="N486" s="21">
        <f t="shared" si="39"/>
        <v>19.239999999999998</v>
      </c>
      <c r="O486" s="21">
        <v>38.479999999999997</v>
      </c>
      <c r="P486" s="19" t="s">
        <v>4</v>
      </c>
      <c r="Q486" s="23">
        <v>11</v>
      </c>
      <c r="R486" s="45">
        <v>1.4</v>
      </c>
    </row>
    <row r="487" spans="2:18" x14ac:dyDescent="0.2">
      <c r="B487" s="25">
        <v>484</v>
      </c>
      <c r="C487" s="18">
        <v>44314</v>
      </c>
      <c r="D487" s="24">
        <f t="shared" si="35"/>
        <v>2021</v>
      </c>
      <c r="E487" s="24" t="str">
        <f t="shared" si="36"/>
        <v>Q2</v>
      </c>
      <c r="F487" s="24" t="str">
        <f t="shared" si="37"/>
        <v>Apr</v>
      </c>
      <c r="G487" s="24">
        <f t="shared" si="38"/>
        <v>4</v>
      </c>
      <c r="H487" s="19">
        <v>1699</v>
      </c>
      <c r="I487" s="19" t="s">
        <v>7</v>
      </c>
      <c r="J487" s="19" t="s">
        <v>5</v>
      </c>
      <c r="K487" s="20">
        <v>4</v>
      </c>
      <c r="L487" s="21">
        <v>593.02</v>
      </c>
      <c r="M487" s="22">
        <v>0.28000000000000003</v>
      </c>
      <c r="N487" s="21">
        <f t="shared" si="39"/>
        <v>426.97439999999995</v>
      </c>
      <c r="O487" s="21">
        <v>1707.9</v>
      </c>
      <c r="P487" s="19" t="s">
        <v>6</v>
      </c>
      <c r="Q487" s="23">
        <v>5</v>
      </c>
      <c r="R487" s="45">
        <v>4.9000000000000004</v>
      </c>
    </row>
    <row r="488" spans="2:18" x14ac:dyDescent="0.2">
      <c r="B488" s="25">
        <v>485</v>
      </c>
      <c r="C488" s="18">
        <v>44315</v>
      </c>
      <c r="D488" s="24">
        <f t="shared" si="35"/>
        <v>2021</v>
      </c>
      <c r="E488" s="24" t="str">
        <f t="shared" si="36"/>
        <v>Q2</v>
      </c>
      <c r="F488" s="24" t="str">
        <f t="shared" si="37"/>
        <v>Apr</v>
      </c>
      <c r="G488" s="24">
        <f t="shared" si="38"/>
        <v>4</v>
      </c>
      <c r="H488" s="19">
        <v>1992</v>
      </c>
      <c r="I488" s="19" t="s">
        <v>7</v>
      </c>
      <c r="J488" s="19" t="s">
        <v>9</v>
      </c>
      <c r="K488" s="20">
        <v>1</v>
      </c>
      <c r="L488" s="21">
        <v>400.42</v>
      </c>
      <c r="M488" s="22">
        <v>0.2</v>
      </c>
      <c r="N488" s="21">
        <f t="shared" si="39"/>
        <v>320.33600000000001</v>
      </c>
      <c r="O488" s="21">
        <v>320.33999999999997</v>
      </c>
      <c r="P488" s="19" t="s">
        <v>6</v>
      </c>
      <c r="Q488" s="23">
        <v>6</v>
      </c>
      <c r="R488" s="45">
        <v>4.4000000000000004</v>
      </c>
    </row>
    <row r="489" spans="2:18" x14ac:dyDescent="0.2">
      <c r="B489" s="25">
        <v>486</v>
      </c>
      <c r="C489" s="18">
        <v>44316</v>
      </c>
      <c r="D489" s="24">
        <f t="shared" si="35"/>
        <v>2021</v>
      </c>
      <c r="E489" s="24" t="str">
        <f t="shared" si="36"/>
        <v>Q2</v>
      </c>
      <c r="F489" s="24" t="str">
        <f t="shared" si="37"/>
        <v>Apr</v>
      </c>
      <c r="G489" s="24">
        <f t="shared" si="38"/>
        <v>4</v>
      </c>
      <c r="H489" s="19">
        <v>1115</v>
      </c>
      <c r="I489" s="19" t="s">
        <v>10</v>
      </c>
      <c r="J489" s="19" t="s">
        <v>5</v>
      </c>
      <c r="K489" s="20">
        <v>2</v>
      </c>
      <c r="L489" s="21">
        <v>228.76</v>
      </c>
      <c r="M489" s="22">
        <v>0.35</v>
      </c>
      <c r="N489" s="21">
        <f t="shared" si="39"/>
        <v>148.69400000000002</v>
      </c>
      <c r="O489" s="21">
        <v>297.39</v>
      </c>
      <c r="P489" s="19" t="s">
        <v>6</v>
      </c>
      <c r="Q489" s="23">
        <v>10</v>
      </c>
      <c r="R489" s="45">
        <v>2.6</v>
      </c>
    </row>
    <row r="490" spans="2:18" x14ac:dyDescent="0.2">
      <c r="B490" s="25">
        <v>487</v>
      </c>
      <c r="C490" s="18">
        <v>44317</v>
      </c>
      <c r="D490" s="24">
        <f t="shared" si="35"/>
        <v>2021</v>
      </c>
      <c r="E490" s="24" t="str">
        <f t="shared" si="36"/>
        <v>Q2</v>
      </c>
      <c r="F490" s="24" t="str">
        <f t="shared" si="37"/>
        <v>May</v>
      </c>
      <c r="G490" s="24">
        <f t="shared" si="38"/>
        <v>5</v>
      </c>
      <c r="H490" s="19">
        <v>1190</v>
      </c>
      <c r="I490" s="19" t="s">
        <v>0</v>
      </c>
      <c r="J490" s="19" t="s">
        <v>8</v>
      </c>
      <c r="K490" s="20">
        <v>6</v>
      </c>
      <c r="L490" s="21">
        <v>290.2</v>
      </c>
      <c r="M490" s="22">
        <v>0.21</v>
      </c>
      <c r="N490" s="21">
        <f t="shared" si="39"/>
        <v>229.25799999999998</v>
      </c>
      <c r="O490" s="21">
        <v>1375.55</v>
      </c>
      <c r="P490" s="19" t="s">
        <v>2</v>
      </c>
      <c r="Q490" s="23">
        <v>11</v>
      </c>
      <c r="R490" s="45">
        <v>3.9</v>
      </c>
    </row>
    <row r="491" spans="2:18" x14ac:dyDescent="0.2">
      <c r="B491" s="25">
        <v>488</v>
      </c>
      <c r="C491" s="18">
        <v>44318</v>
      </c>
      <c r="D491" s="24">
        <f t="shared" si="35"/>
        <v>2021</v>
      </c>
      <c r="E491" s="24" t="str">
        <f t="shared" si="36"/>
        <v>Q2</v>
      </c>
      <c r="F491" s="24" t="str">
        <f t="shared" si="37"/>
        <v>May</v>
      </c>
      <c r="G491" s="24">
        <f t="shared" si="38"/>
        <v>5</v>
      </c>
      <c r="H491" s="19">
        <v>1252</v>
      </c>
      <c r="I491" s="19" t="s">
        <v>3</v>
      </c>
      <c r="J491" s="19" t="s">
        <v>1</v>
      </c>
      <c r="K491" s="20">
        <v>2</v>
      </c>
      <c r="L491" s="21">
        <v>170.93</v>
      </c>
      <c r="M491" s="22">
        <v>0.02</v>
      </c>
      <c r="N491" s="21">
        <f t="shared" si="39"/>
        <v>167.51140000000001</v>
      </c>
      <c r="O491" s="21">
        <v>335.02</v>
      </c>
      <c r="P491" s="19" t="s">
        <v>6</v>
      </c>
      <c r="Q491" s="23">
        <v>3</v>
      </c>
      <c r="R491" s="45">
        <v>4</v>
      </c>
    </row>
    <row r="492" spans="2:18" x14ac:dyDescent="0.2">
      <c r="B492" s="25">
        <v>489</v>
      </c>
      <c r="C492" s="18">
        <v>44319</v>
      </c>
      <c r="D492" s="24">
        <f t="shared" si="35"/>
        <v>2021</v>
      </c>
      <c r="E492" s="24" t="str">
        <f t="shared" si="36"/>
        <v>Q2</v>
      </c>
      <c r="F492" s="24" t="str">
        <f t="shared" si="37"/>
        <v>May</v>
      </c>
      <c r="G492" s="24">
        <f t="shared" si="38"/>
        <v>5</v>
      </c>
      <c r="H492" s="19">
        <v>1980</v>
      </c>
      <c r="I492" s="19" t="s">
        <v>7</v>
      </c>
      <c r="J492" s="19" t="s">
        <v>9</v>
      </c>
      <c r="K492" s="20">
        <v>6</v>
      </c>
      <c r="L492" s="21">
        <v>216.75</v>
      </c>
      <c r="M492" s="22">
        <v>0.02</v>
      </c>
      <c r="N492" s="21">
        <f t="shared" si="39"/>
        <v>212.41499999999999</v>
      </c>
      <c r="O492" s="21">
        <v>1274.49</v>
      </c>
      <c r="P492" s="19" t="s">
        <v>4</v>
      </c>
      <c r="Q492" s="23">
        <v>7</v>
      </c>
      <c r="R492" s="45">
        <v>4.4000000000000004</v>
      </c>
    </row>
    <row r="493" spans="2:18" x14ac:dyDescent="0.2">
      <c r="B493" s="25">
        <v>490</v>
      </c>
      <c r="C493" s="18">
        <v>44320</v>
      </c>
      <c r="D493" s="24">
        <f t="shared" si="35"/>
        <v>2021</v>
      </c>
      <c r="E493" s="24" t="str">
        <f t="shared" si="36"/>
        <v>Q2</v>
      </c>
      <c r="F493" s="24" t="str">
        <f t="shared" si="37"/>
        <v>May</v>
      </c>
      <c r="G493" s="24">
        <f t="shared" si="38"/>
        <v>5</v>
      </c>
      <c r="H493" s="19">
        <v>1927</v>
      </c>
      <c r="I493" s="19" t="s">
        <v>7</v>
      </c>
      <c r="J493" s="19" t="s">
        <v>9</v>
      </c>
      <c r="K493" s="20">
        <v>7</v>
      </c>
      <c r="L493" s="21">
        <v>394.69</v>
      </c>
      <c r="M493" s="22">
        <v>0.31</v>
      </c>
      <c r="N493" s="21">
        <f t="shared" si="39"/>
        <v>272.33609999999999</v>
      </c>
      <c r="O493" s="21">
        <v>1906.35</v>
      </c>
      <c r="P493" s="19" t="s">
        <v>6</v>
      </c>
      <c r="Q493" s="23">
        <v>8</v>
      </c>
      <c r="R493" s="45">
        <v>1.8</v>
      </c>
    </row>
    <row r="494" spans="2:18" x14ac:dyDescent="0.2">
      <c r="B494" s="25">
        <v>491</v>
      </c>
      <c r="C494" s="18">
        <v>44321</v>
      </c>
      <c r="D494" s="24">
        <f t="shared" si="35"/>
        <v>2021</v>
      </c>
      <c r="E494" s="24" t="str">
        <f t="shared" si="36"/>
        <v>Q2</v>
      </c>
      <c r="F494" s="24" t="str">
        <f t="shared" si="37"/>
        <v>May</v>
      </c>
      <c r="G494" s="24">
        <f t="shared" si="38"/>
        <v>5</v>
      </c>
      <c r="H494" s="19">
        <v>1982</v>
      </c>
      <c r="I494" s="19" t="s">
        <v>0</v>
      </c>
      <c r="J494" s="19" t="s">
        <v>8</v>
      </c>
      <c r="K494" s="20">
        <v>2</v>
      </c>
      <c r="L494" s="21">
        <v>531.44000000000005</v>
      </c>
      <c r="M494" s="22">
        <v>0.28999999999999998</v>
      </c>
      <c r="N494" s="21">
        <f t="shared" si="39"/>
        <v>377.32240000000002</v>
      </c>
      <c r="O494" s="21">
        <v>754.64</v>
      </c>
      <c r="P494" s="19" t="s">
        <v>6</v>
      </c>
      <c r="Q494" s="23">
        <v>5</v>
      </c>
      <c r="R494" s="45">
        <v>3.8</v>
      </c>
    </row>
    <row r="495" spans="2:18" x14ac:dyDescent="0.2">
      <c r="B495" s="25">
        <v>492</v>
      </c>
      <c r="C495" s="18">
        <v>44322</v>
      </c>
      <c r="D495" s="24">
        <f t="shared" si="35"/>
        <v>2021</v>
      </c>
      <c r="E495" s="24" t="str">
        <f t="shared" si="36"/>
        <v>Q2</v>
      </c>
      <c r="F495" s="24" t="str">
        <f t="shared" si="37"/>
        <v>May</v>
      </c>
      <c r="G495" s="24">
        <f t="shared" si="38"/>
        <v>5</v>
      </c>
      <c r="H495" s="19">
        <v>1160</v>
      </c>
      <c r="I495" s="19" t="s">
        <v>7</v>
      </c>
      <c r="J495" s="19" t="s">
        <v>5</v>
      </c>
      <c r="K495" s="20">
        <v>4</v>
      </c>
      <c r="L495" s="21">
        <v>122.72</v>
      </c>
      <c r="M495" s="22">
        <v>0.12</v>
      </c>
      <c r="N495" s="21">
        <f t="shared" si="39"/>
        <v>107.9936</v>
      </c>
      <c r="O495" s="21">
        <v>431.97</v>
      </c>
      <c r="P495" s="19" t="s">
        <v>4</v>
      </c>
      <c r="Q495" s="23">
        <v>5</v>
      </c>
      <c r="R495" s="45">
        <v>1.1000000000000001</v>
      </c>
    </row>
    <row r="496" spans="2:18" x14ac:dyDescent="0.2">
      <c r="B496" s="25">
        <v>493</v>
      </c>
      <c r="C496" s="18">
        <v>44323</v>
      </c>
      <c r="D496" s="24">
        <f t="shared" si="35"/>
        <v>2021</v>
      </c>
      <c r="E496" s="24" t="str">
        <f t="shared" si="36"/>
        <v>Q2</v>
      </c>
      <c r="F496" s="24" t="str">
        <f t="shared" si="37"/>
        <v>May</v>
      </c>
      <c r="G496" s="24">
        <f t="shared" si="38"/>
        <v>5</v>
      </c>
      <c r="H496" s="19">
        <v>1255</v>
      </c>
      <c r="I496" s="19" t="s">
        <v>7</v>
      </c>
      <c r="J496" s="19" t="s">
        <v>9</v>
      </c>
      <c r="K496" s="20">
        <v>1</v>
      </c>
      <c r="L496" s="21">
        <v>506.61</v>
      </c>
      <c r="M496" s="22">
        <v>0.22</v>
      </c>
      <c r="N496" s="21">
        <f t="shared" si="39"/>
        <v>395.1558</v>
      </c>
      <c r="O496" s="21">
        <v>395.16</v>
      </c>
      <c r="P496" s="19" t="s">
        <v>6</v>
      </c>
      <c r="Q496" s="23">
        <v>4</v>
      </c>
      <c r="R496" s="45">
        <v>1.5</v>
      </c>
    </row>
    <row r="497" spans="2:18" x14ac:dyDescent="0.2">
      <c r="B497" s="25">
        <v>494</v>
      </c>
      <c r="C497" s="18">
        <v>44324</v>
      </c>
      <c r="D497" s="24">
        <f t="shared" si="35"/>
        <v>2021</v>
      </c>
      <c r="E497" s="24" t="str">
        <f t="shared" si="36"/>
        <v>Q2</v>
      </c>
      <c r="F497" s="24" t="str">
        <f t="shared" si="37"/>
        <v>May</v>
      </c>
      <c r="G497" s="24">
        <f t="shared" si="38"/>
        <v>5</v>
      </c>
      <c r="H497" s="19">
        <v>1322</v>
      </c>
      <c r="I497" s="19" t="s">
        <v>3</v>
      </c>
      <c r="J497" s="19" t="s">
        <v>5</v>
      </c>
      <c r="K497" s="20">
        <v>7</v>
      </c>
      <c r="L497" s="21">
        <v>86.11</v>
      </c>
      <c r="M497" s="22">
        <v>0.17</v>
      </c>
      <c r="N497" s="21">
        <f t="shared" si="39"/>
        <v>71.471299999999999</v>
      </c>
      <c r="O497" s="21">
        <v>500.3</v>
      </c>
      <c r="P497" s="19" t="s">
        <v>4</v>
      </c>
      <c r="Q497" s="23">
        <v>10</v>
      </c>
      <c r="R497" s="45">
        <v>4.0999999999999996</v>
      </c>
    </row>
    <row r="498" spans="2:18" x14ac:dyDescent="0.2">
      <c r="B498" s="25">
        <v>495</v>
      </c>
      <c r="C498" s="18">
        <v>44325</v>
      </c>
      <c r="D498" s="24">
        <f t="shared" si="35"/>
        <v>2021</v>
      </c>
      <c r="E498" s="24" t="str">
        <f t="shared" si="36"/>
        <v>Q2</v>
      </c>
      <c r="F498" s="24" t="str">
        <f t="shared" si="37"/>
        <v>May</v>
      </c>
      <c r="G498" s="24">
        <f t="shared" si="38"/>
        <v>5</v>
      </c>
      <c r="H498" s="19">
        <v>1127</v>
      </c>
      <c r="I498" s="19" t="s">
        <v>3</v>
      </c>
      <c r="J498" s="19" t="s">
        <v>8</v>
      </c>
      <c r="K498" s="20">
        <v>4</v>
      </c>
      <c r="L498" s="21">
        <v>140.77000000000001</v>
      </c>
      <c r="M498" s="22">
        <v>0.34</v>
      </c>
      <c r="N498" s="21">
        <f t="shared" si="39"/>
        <v>92.908199999999994</v>
      </c>
      <c r="O498" s="21">
        <v>371.63</v>
      </c>
      <c r="P498" s="19" t="s">
        <v>4</v>
      </c>
      <c r="Q498" s="23">
        <v>5</v>
      </c>
      <c r="R498" s="45">
        <v>4.3</v>
      </c>
    </row>
    <row r="499" spans="2:18" x14ac:dyDescent="0.2">
      <c r="B499" s="25">
        <v>496</v>
      </c>
      <c r="C499" s="18">
        <v>44326</v>
      </c>
      <c r="D499" s="24">
        <f t="shared" si="35"/>
        <v>2021</v>
      </c>
      <c r="E499" s="24" t="str">
        <f t="shared" si="36"/>
        <v>Q2</v>
      </c>
      <c r="F499" s="24" t="str">
        <f t="shared" si="37"/>
        <v>May</v>
      </c>
      <c r="G499" s="24">
        <f t="shared" si="38"/>
        <v>5</v>
      </c>
      <c r="H499" s="19">
        <v>1017</v>
      </c>
      <c r="I499" s="19" t="s">
        <v>3</v>
      </c>
      <c r="J499" s="19" t="s">
        <v>1</v>
      </c>
      <c r="K499" s="20">
        <v>3</v>
      </c>
      <c r="L499" s="21">
        <v>36.75</v>
      </c>
      <c r="M499" s="22">
        <v>0.33</v>
      </c>
      <c r="N499" s="21">
        <f t="shared" si="39"/>
        <v>24.622499999999999</v>
      </c>
      <c r="O499" s="21">
        <v>73.87</v>
      </c>
      <c r="P499" s="19" t="s">
        <v>2</v>
      </c>
      <c r="Q499" s="23">
        <v>10</v>
      </c>
      <c r="R499" s="45">
        <v>3.4</v>
      </c>
    </row>
    <row r="500" spans="2:18" x14ac:dyDescent="0.2">
      <c r="B500" s="25">
        <v>497</v>
      </c>
      <c r="C500" s="18">
        <v>44327</v>
      </c>
      <c r="D500" s="24">
        <f t="shared" si="35"/>
        <v>2021</v>
      </c>
      <c r="E500" s="24" t="str">
        <f t="shared" si="36"/>
        <v>Q2</v>
      </c>
      <c r="F500" s="24" t="str">
        <f t="shared" si="37"/>
        <v>May</v>
      </c>
      <c r="G500" s="24">
        <f t="shared" si="38"/>
        <v>5</v>
      </c>
      <c r="H500" s="19">
        <v>1792</v>
      </c>
      <c r="I500" s="19" t="s">
        <v>7</v>
      </c>
      <c r="J500" s="19" t="s">
        <v>9</v>
      </c>
      <c r="K500" s="20">
        <v>6</v>
      </c>
      <c r="L500" s="21">
        <v>97.37</v>
      </c>
      <c r="M500" s="22">
        <v>0.34</v>
      </c>
      <c r="N500" s="21">
        <f t="shared" si="39"/>
        <v>64.264200000000002</v>
      </c>
      <c r="O500" s="21">
        <v>385.59</v>
      </c>
      <c r="P500" s="19" t="s">
        <v>2</v>
      </c>
      <c r="Q500" s="23">
        <v>11</v>
      </c>
      <c r="R500" s="45">
        <v>3.3</v>
      </c>
    </row>
    <row r="501" spans="2:18" x14ac:dyDescent="0.2">
      <c r="B501" s="25">
        <v>498</v>
      </c>
      <c r="C501" s="18">
        <v>44328</v>
      </c>
      <c r="D501" s="24">
        <f t="shared" si="35"/>
        <v>2021</v>
      </c>
      <c r="E501" s="24" t="str">
        <f t="shared" si="36"/>
        <v>Q2</v>
      </c>
      <c r="F501" s="24" t="str">
        <f t="shared" si="37"/>
        <v>May</v>
      </c>
      <c r="G501" s="24">
        <f t="shared" si="38"/>
        <v>5</v>
      </c>
      <c r="H501" s="19">
        <v>1734</v>
      </c>
      <c r="I501" s="19" t="s">
        <v>7</v>
      </c>
      <c r="J501" s="19" t="s">
        <v>5</v>
      </c>
      <c r="K501" s="20">
        <v>1</v>
      </c>
      <c r="L501" s="21">
        <v>551.62</v>
      </c>
      <c r="M501" s="22">
        <v>0.3</v>
      </c>
      <c r="N501" s="21">
        <f t="shared" si="39"/>
        <v>386.13400000000001</v>
      </c>
      <c r="O501" s="21">
        <v>386.13</v>
      </c>
      <c r="P501" s="19" t="s">
        <v>6</v>
      </c>
      <c r="Q501" s="23">
        <v>8</v>
      </c>
      <c r="R501" s="45">
        <v>4</v>
      </c>
    </row>
    <row r="502" spans="2:18" x14ac:dyDescent="0.2">
      <c r="B502" s="25">
        <v>499</v>
      </c>
      <c r="C502" s="18">
        <v>44329</v>
      </c>
      <c r="D502" s="24">
        <f t="shared" si="35"/>
        <v>2021</v>
      </c>
      <c r="E502" s="24" t="str">
        <f t="shared" si="36"/>
        <v>Q2</v>
      </c>
      <c r="F502" s="24" t="str">
        <f t="shared" si="37"/>
        <v>May</v>
      </c>
      <c r="G502" s="24">
        <f t="shared" si="38"/>
        <v>5</v>
      </c>
      <c r="H502" s="19">
        <v>1565</v>
      </c>
      <c r="I502" s="19" t="s">
        <v>0</v>
      </c>
      <c r="J502" s="19" t="s">
        <v>9</v>
      </c>
      <c r="K502" s="20">
        <v>4</v>
      </c>
      <c r="L502" s="21">
        <v>283.77</v>
      </c>
      <c r="M502" s="22">
        <v>0.32</v>
      </c>
      <c r="N502" s="21">
        <f t="shared" si="39"/>
        <v>192.96359999999999</v>
      </c>
      <c r="O502" s="21">
        <v>771.85</v>
      </c>
      <c r="P502" s="19" t="s">
        <v>6</v>
      </c>
      <c r="Q502" s="23">
        <v>5</v>
      </c>
      <c r="R502" s="45">
        <v>4.5999999999999996</v>
      </c>
    </row>
    <row r="503" spans="2:18" x14ac:dyDescent="0.2">
      <c r="B503" s="25">
        <v>500</v>
      </c>
      <c r="C503" s="18">
        <v>44330</v>
      </c>
      <c r="D503" s="24">
        <f t="shared" si="35"/>
        <v>2021</v>
      </c>
      <c r="E503" s="24" t="str">
        <f t="shared" si="36"/>
        <v>Q2</v>
      </c>
      <c r="F503" s="24" t="str">
        <f t="shared" si="37"/>
        <v>May</v>
      </c>
      <c r="G503" s="24">
        <f t="shared" si="38"/>
        <v>5</v>
      </c>
      <c r="H503" s="19">
        <v>1569</v>
      </c>
      <c r="I503" s="19" t="s">
        <v>7</v>
      </c>
      <c r="J503" s="19" t="s">
        <v>5</v>
      </c>
      <c r="K503" s="20">
        <v>1</v>
      </c>
      <c r="L503" s="21">
        <v>60.43</v>
      </c>
      <c r="M503" s="22">
        <v>0.08</v>
      </c>
      <c r="N503" s="21">
        <f t="shared" si="39"/>
        <v>55.595599999999997</v>
      </c>
      <c r="O503" s="21">
        <v>55.6</v>
      </c>
      <c r="P503" s="19" t="s">
        <v>2</v>
      </c>
      <c r="Q503" s="23">
        <v>9</v>
      </c>
      <c r="R503" s="45">
        <v>2.7</v>
      </c>
    </row>
    <row r="504" spans="2:18" x14ac:dyDescent="0.2">
      <c r="B504" s="25">
        <v>501</v>
      </c>
      <c r="C504" s="18">
        <v>44331</v>
      </c>
      <c r="D504" s="24">
        <f t="shared" si="35"/>
        <v>2021</v>
      </c>
      <c r="E504" s="24" t="str">
        <f t="shared" si="36"/>
        <v>Q2</v>
      </c>
      <c r="F504" s="24" t="str">
        <f t="shared" si="37"/>
        <v>May</v>
      </c>
      <c r="G504" s="24">
        <f t="shared" si="38"/>
        <v>5</v>
      </c>
      <c r="H504" s="19">
        <v>1322</v>
      </c>
      <c r="I504" s="19" t="s">
        <v>10</v>
      </c>
      <c r="J504" s="19" t="s">
        <v>5</v>
      </c>
      <c r="K504" s="20">
        <v>3</v>
      </c>
      <c r="L504" s="21">
        <v>576.44000000000005</v>
      </c>
      <c r="M504" s="22">
        <v>0.28999999999999998</v>
      </c>
      <c r="N504" s="21">
        <f t="shared" si="39"/>
        <v>409.27240000000006</v>
      </c>
      <c r="O504" s="21">
        <v>1227.82</v>
      </c>
      <c r="P504" s="19" t="s">
        <v>2</v>
      </c>
      <c r="Q504" s="23">
        <v>1</v>
      </c>
      <c r="R504" s="45">
        <v>1.5</v>
      </c>
    </row>
    <row r="505" spans="2:18" x14ac:dyDescent="0.2">
      <c r="B505" s="25">
        <v>502</v>
      </c>
      <c r="C505" s="18">
        <v>44332</v>
      </c>
      <c r="D505" s="24">
        <f t="shared" si="35"/>
        <v>2021</v>
      </c>
      <c r="E505" s="24" t="str">
        <f t="shared" si="36"/>
        <v>Q2</v>
      </c>
      <c r="F505" s="24" t="str">
        <f t="shared" si="37"/>
        <v>May</v>
      </c>
      <c r="G505" s="24">
        <f t="shared" si="38"/>
        <v>5</v>
      </c>
      <c r="H505" s="19">
        <v>1871</v>
      </c>
      <c r="I505" s="19" t="s">
        <v>10</v>
      </c>
      <c r="J505" s="19" t="s">
        <v>5</v>
      </c>
      <c r="K505" s="20">
        <v>5</v>
      </c>
      <c r="L505" s="21">
        <v>529.21</v>
      </c>
      <c r="M505" s="22">
        <v>0.25</v>
      </c>
      <c r="N505" s="21">
        <f t="shared" si="39"/>
        <v>396.90750000000003</v>
      </c>
      <c r="O505" s="21">
        <v>1984.54</v>
      </c>
      <c r="P505" s="19" t="s">
        <v>6</v>
      </c>
      <c r="Q505" s="23">
        <v>7</v>
      </c>
      <c r="R505" s="45">
        <v>4.4000000000000004</v>
      </c>
    </row>
    <row r="506" spans="2:18" x14ac:dyDescent="0.2">
      <c r="B506" s="25">
        <v>503</v>
      </c>
      <c r="C506" s="18">
        <v>44333</v>
      </c>
      <c r="D506" s="24">
        <f t="shared" si="35"/>
        <v>2021</v>
      </c>
      <c r="E506" s="24" t="str">
        <f t="shared" si="36"/>
        <v>Q2</v>
      </c>
      <c r="F506" s="24" t="str">
        <f t="shared" si="37"/>
        <v>May</v>
      </c>
      <c r="G506" s="24">
        <f t="shared" si="38"/>
        <v>5</v>
      </c>
      <c r="H506" s="19">
        <v>1685</v>
      </c>
      <c r="I506" s="19" t="s">
        <v>3</v>
      </c>
      <c r="J506" s="19" t="s">
        <v>8</v>
      </c>
      <c r="K506" s="20">
        <v>6</v>
      </c>
      <c r="L506" s="21">
        <v>456.49</v>
      </c>
      <c r="M506" s="22">
        <v>0.34</v>
      </c>
      <c r="N506" s="21">
        <f t="shared" si="39"/>
        <v>301.28340000000003</v>
      </c>
      <c r="O506" s="21">
        <v>1807.7</v>
      </c>
      <c r="P506" s="19" t="s">
        <v>6</v>
      </c>
      <c r="Q506" s="23">
        <v>5</v>
      </c>
      <c r="R506" s="45">
        <v>2.4</v>
      </c>
    </row>
    <row r="507" spans="2:18" x14ac:dyDescent="0.2">
      <c r="B507" s="25">
        <v>504</v>
      </c>
      <c r="C507" s="18">
        <v>44334</v>
      </c>
      <c r="D507" s="24">
        <f t="shared" si="35"/>
        <v>2021</v>
      </c>
      <c r="E507" s="24" t="str">
        <f t="shared" si="36"/>
        <v>Q2</v>
      </c>
      <c r="F507" s="24" t="str">
        <f t="shared" si="37"/>
        <v>May</v>
      </c>
      <c r="G507" s="24">
        <f t="shared" si="38"/>
        <v>5</v>
      </c>
      <c r="H507" s="19">
        <v>1791</v>
      </c>
      <c r="I507" s="19" t="s">
        <v>7</v>
      </c>
      <c r="J507" s="19" t="s">
        <v>1</v>
      </c>
      <c r="K507" s="20">
        <v>6</v>
      </c>
      <c r="L507" s="21">
        <v>561.08000000000004</v>
      </c>
      <c r="M507" s="22">
        <v>0.2</v>
      </c>
      <c r="N507" s="21">
        <f t="shared" si="39"/>
        <v>448.86400000000003</v>
      </c>
      <c r="O507" s="21">
        <v>2693.18</v>
      </c>
      <c r="P507" s="19" t="s">
        <v>4</v>
      </c>
      <c r="Q507" s="23">
        <v>4</v>
      </c>
      <c r="R507" s="45">
        <v>1.5</v>
      </c>
    </row>
    <row r="508" spans="2:18" x14ac:dyDescent="0.2">
      <c r="B508" s="25">
        <v>505</v>
      </c>
      <c r="C508" s="18">
        <v>44335</v>
      </c>
      <c r="D508" s="24">
        <f t="shared" si="35"/>
        <v>2021</v>
      </c>
      <c r="E508" s="24" t="str">
        <f t="shared" si="36"/>
        <v>Q2</v>
      </c>
      <c r="F508" s="24" t="str">
        <f t="shared" si="37"/>
        <v>May</v>
      </c>
      <c r="G508" s="24">
        <f t="shared" si="38"/>
        <v>5</v>
      </c>
      <c r="H508" s="19">
        <v>1625</v>
      </c>
      <c r="I508" s="19" t="s">
        <v>7</v>
      </c>
      <c r="J508" s="19" t="s">
        <v>9</v>
      </c>
      <c r="K508" s="20">
        <v>2</v>
      </c>
      <c r="L508" s="21">
        <v>143.78</v>
      </c>
      <c r="M508" s="22">
        <v>0.03</v>
      </c>
      <c r="N508" s="21">
        <f t="shared" si="39"/>
        <v>139.4666</v>
      </c>
      <c r="O508" s="21">
        <v>278.93</v>
      </c>
      <c r="P508" s="19" t="s">
        <v>4</v>
      </c>
      <c r="Q508" s="23">
        <v>3</v>
      </c>
      <c r="R508" s="45">
        <v>3.5</v>
      </c>
    </row>
    <row r="509" spans="2:18" x14ac:dyDescent="0.2">
      <c r="B509" s="25">
        <v>506</v>
      </c>
      <c r="C509" s="18">
        <v>44336</v>
      </c>
      <c r="D509" s="24">
        <f t="shared" si="35"/>
        <v>2021</v>
      </c>
      <c r="E509" s="24" t="str">
        <f t="shared" si="36"/>
        <v>Q2</v>
      </c>
      <c r="F509" s="24" t="str">
        <f t="shared" si="37"/>
        <v>May</v>
      </c>
      <c r="G509" s="24">
        <f t="shared" si="38"/>
        <v>5</v>
      </c>
      <c r="H509" s="19">
        <v>1287</v>
      </c>
      <c r="I509" s="19" t="s">
        <v>3</v>
      </c>
      <c r="J509" s="19" t="s">
        <v>1</v>
      </c>
      <c r="K509" s="20">
        <v>6</v>
      </c>
      <c r="L509" s="21">
        <v>504.28</v>
      </c>
      <c r="M509" s="22">
        <v>0.21</v>
      </c>
      <c r="N509" s="21">
        <f t="shared" si="39"/>
        <v>398.38119999999998</v>
      </c>
      <c r="O509" s="21">
        <v>2390.29</v>
      </c>
      <c r="P509" s="19" t="s">
        <v>4</v>
      </c>
      <c r="Q509" s="23">
        <v>10</v>
      </c>
      <c r="R509" s="45">
        <v>3.3</v>
      </c>
    </row>
    <row r="510" spans="2:18" x14ac:dyDescent="0.2">
      <c r="B510" s="25">
        <v>507</v>
      </c>
      <c r="C510" s="18">
        <v>44337</v>
      </c>
      <c r="D510" s="24">
        <f t="shared" si="35"/>
        <v>2021</v>
      </c>
      <c r="E510" s="24" t="str">
        <f t="shared" si="36"/>
        <v>Q2</v>
      </c>
      <c r="F510" s="24" t="str">
        <f t="shared" si="37"/>
        <v>May</v>
      </c>
      <c r="G510" s="24">
        <f t="shared" si="38"/>
        <v>5</v>
      </c>
      <c r="H510" s="19">
        <v>1942</v>
      </c>
      <c r="I510" s="19" t="s">
        <v>0</v>
      </c>
      <c r="J510" s="19" t="s">
        <v>5</v>
      </c>
      <c r="K510" s="20">
        <v>6</v>
      </c>
      <c r="L510" s="21">
        <v>418.64</v>
      </c>
      <c r="M510" s="22">
        <v>0.24</v>
      </c>
      <c r="N510" s="21">
        <f t="shared" si="39"/>
        <v>318.16640000000001</v>
      </c>
      <c r="O510" s="21">
        <v>1909</v>
      </c>
      <c r="P510" s="19" t="s">
        <v>6</v>
      </c>
      <c r="Q510" s="23">
        <v>7</v>
      </c>
      <c r="R510" s="45">
        <v>2.9</v>
      </c>
    </row>
    <row r="511" spans="2:18" x14ac:dyDescent="0.2">
      <c r="B511" s="25">
        <v>508</v>
      </c>
      <c r="C511" s="18">
        <v>44338</v>
      </c>
      <c r="D511" s="24">
        <f t="shared" si="35"/>
        <v>2021</v>
      </c>
      <c r="E511" s="24" t="str">
        <f t="shared" si="36"/>
        <v>Q2</v>
      </c>
      <c r="F511" s="24" t="str">
        <f t="shared" si="37"/>
        <v>May</v>
      </c>
      <c r="G511" s="24">
        <f t="shared" si="38"/>
        <v>5</v>
      </c>
      <c r="H511" s="19">
        <v>1853</v>
      </c>
      <c r="I511" s="19" t="s">
        <v>0</v>
      </c>
      <c r="J511" s="19" t="s">
        <v>5</v>
      </c>
      <c r="K511" s="20">
        <v>4</v>
      </c>
      <c r="L511" s="21">
        <v>523.80999999999995</v>
      </c>
      <c r="M511" s="22">
        <v>0.08</v>
      </c>
      <c r="N511" s="21">
        <f t="shared" si="39"/>
        <v>481.90519999999992</v>
      </c>
      <c r="O511" s="21">
        <v>1927.62</v>
      </c>
      <c r="P511" s="19" t="s">
        <v>2</v>
      </c>
      <c r="Q511" s="23">
        <v>2</v>
      </c>
      <c r="R511" s="45">
        <v>4.4000000000000004</v>
      </c>
    </row>
    <row r="512" spans="2:18" x14ac:dyDescent="0.2">
      <c r="B512" s="25">
        <v>509</v>
      </c>
      <c r="C512" s="18">
        <v>44339</v>
      </c>
      <c r="D512" s="24">
        <f t="shared" si="35"/>
        <v>2021</v>
      </c>
      <c r="E512" s="24" t="str">
        <f t="shared" si="36"/>
        <v>Q2</v>
      </c>
      <c r="F512" s="24" t="str">
        <f t="shared" si="37"/>
        <v>May</v>
      </c>
      <c r="G512" s="24">
        <f t="shared" si="38"/>
        <v>5</v>
      </c>
      <c r="H512" s="19">
        <v>1662</v>
      </c>
      <c r="I512" s="19" t="s">
        <v>7</v>
      </c>
      <c r="J512" s="19" t="s">
        <v>1</v>
      </c>
      <c r="K512" s="20">
        <v>7</v>
      </c>
      <c r="L512" s="21">
        <v>481.19</v>
      </c>
      <c r="M512" s="22">
        <v>0.14000000000000001</v>
      </c>
      <c r="N512" s="21">
        <f t="shared" si="39"/>
        <v>413.82339999999999</v>
      </c>
      <c r="O512" s="21">
        <v>2896.76</v>
      </c>
      <c r="P512" s="19" t="s">
        <v>2</v>
      </c>
      <c r="Q512" s="23">
        <v>5</v>
      </c>
      <c r="R512" s="45">
        <v>2.1</v>
      </c>
    </row>
    <row r="513" spans="2:18" x14ac:dyDescent="0.2">
      <c r="B513" s="25">
        <v>510</v>
      </c>
      <c r="C513" s="18">
        <v>44340</v>
      </c>
      <c r="D513" s="24">
        <f t="shared" si="35"/>
        <v>2021</v>
      </c>
      <c r="E513" s="24" t="str">
        <f t="shared" si="36"/>
        <v>Q2</v>
      </c>
      <c r="F513" s="24" t="str">
        <f t="shared" si="37"/>
        <v>May</v>
      </c>
      <c r="G513" s="24">
        <f t="shared" si="38"/>
        <v>5</v>
      </c>
      <c r="H513" s="19">
        <v>1961</v>
      </c>
      <c r="I513" s="19" t="s">
        <v>7</v>
      </c>
      <c r="J513" s="19" t="s">
        <v>1</v>
      </c>
      <c r="K513" s="20">
        <v>6</v>
      </c>
      <c r="L513" s="21">
        <v>217.7</v>
      </c>
      <c r="M513" s="22">
        <v>0.21</v>
      </c>
      <c r="N513" s="21">
        <f t="shared" si="39"/>
        <v>171.983</v>
      </c>
      <c r="O513" s="21">
        <v>1031.9000000000001</v>
      </c>
      <c r="P513" s="19" t="s">
        <v>4</v>
      </c>
      <c r="Q513" s="23">
        <v>2</v>
      </c>
      <c r="R513" s="45">
        <v>1.1000000000000001</v>
      </c>
    </row>
    <row r="514" spans="2:18" x14ac:dyDescent="0.2">
      <c r="B514" s="25">
        <v>511</v>
      </c>
      <c r="C514" s="18">
        <v>44341</v>
      </c>
      <c r="D514" s="24">
        <f t="shared" si="35"/>
        <v>2021</v>
      </c>
      <c r="E514" s="24" t="str">
        <f t="shared" si="36"/>
        <v>Q2</v>
      </c>
      <c r="F514" s="24" t="str">
        <f t="shared" si="37"/>
        <v>May</v>
      </c>
      <c r="G514" s="24">
        <f t="shared" si="38"/>
        <v>5</v>
      </c>
      <c r="H514" s="19">
        <v>1638</v>
      </c>
      <c r="I514" s="19" t="s">
        <v>0</v>
      </c>
      <c r="J514" s="19" t="s">
        <v>9</v>
      </c>
      <c r="K514" s="20">
        <v>6</v>
      </c>
      <c r="L514" s="21">
        <v>468.02</v>
      </c>
      <c r="M514" s="22">
        <v>0.13</v>
      </c>
      <c r="N514" s="21">
        <f t="shared" si="39"/>
        <v>407.17739999999998</v>
      </c>
      <c r="O514" s="21">
        <v>2443.06</v>
      </c>
      <c r="P514" s="19" t="s">
        <v>6</v>
      </c>
      <c r="Q514" s="23">
        <v>7</v>
      </c>
      <c r="R514" s="45">
        <v>2.2999999999999998</v>
      </c>
    </row>
    <row r="515" spans="2:18" x14ac:dyDescent="0.2">
      <c r="B515" s="25">
        <v>512</v>
      </c>
      <c r="C515" s="18">
        <v>44342</v>
      </c>
      <c r="D515" s="24">
        <f t="shared" si="35"/>
        <v>2021</v>
      </c>
      <c r="E515" s="24" t="str">
        <f t="shared" si="36"/>
        <v>Q2</v>
      </c>
      <c r="F515" s="24" t="str">
        <f t="shared" si="37"/>
        <v>May</v>
      </c>
      <c r="G515" s="24">
        <f t="shared" si="38"/>
        <v>5</v>
      </c>
      <c r="H515" s="19">
        <v>1154</v>
      </c>
      <c r="I515" s="19" t="s">
        <v>10</v>
      </c>
      <c r="J515" s="19" t="s">
        <v>5</v>
      </c>
      <c r="K515" s="20">
        <v>3</v>
      </c>
      <c r="L515" s="21">
        <v>168.54</v>
      </c>
      <c r="M515" s="22">
        <v>0.13</v>
      </c>
      <c r="N515" s="21">
        <f t="shared" si="39"/>
        <v>146.62979999999999</v>
      </c>
      <c r="O515" s="21">
        <v>439.89</v>
      </c>
      <c r="P515" s="19" t="s">
        <v>4</v>
      </c>
      <c r="Q515" s="23">
        <v>6</v>
      </c>
      <c r="R515" s="45">
        <v>1</v>
      </c>
    </row>
    <row r="516" spans="2:18" x14ac:dyDescent="0.2">
      <c r="B516" s="25">
        <v>513</v>
      </c>
      <c r="C516" s="18">
        <v>44343</v>
      </c>
      <c r="D516" s="24">
        <f t="shared" ref="D516:D579" si="40">YEAR(C516)</f>
        <v>2021</v>
      </c>
      <c r="E516" s="24" t="str">
        <f t="shared" ref="E516:E579" si="41">"Q"&amp;ROUNDUP(MONTH(C516)/3,0)</f>
        <v>Q2</v>
      </c>
      <c r="F516" s="24" t="str">
        <f t="shared" ref="F516:F579" si="42">TEXT(C516,"mmm")</f>
        <v>May</v>
      </c>
      <c r="G516" s="24">
        <f t="shared" ref="G516:G579" si="43">MONTH(C516)</f>
        <v>5</v>
      </c>
      <c r="H516" s="19">
        <v>1489</v>
      </c>
      <c r="I516" s="19" t="s">
        <v>0</v>
      </c>
      <c r="J516" s="19" t="s">
        <v>1</v>
      </c>
      <c r="K516" s="20">
        <v>7</v>
      </c>
      <c r="L516" s="21">
        <v>207.23</v>
      </c>
      <c r="M516" s="22">
        <v>0.05</v>
      </c>
      <c r="N516" s="21">
        <f t="shared" si="39"/>
        <v>196.86849999999998</v>
      </c>
      <c r="O516" s="21">
        <v>1378.08</v>
      </c>
      <c r="P516" s="19" t="s">
        <v>4</v>
      </c>
      <c r="Q516" s="23">
        <v>10</v>
      </c>
      <c r="R516" s="45">
        <v>3.2</v>
      </c>
    </row>
    <row r="517" spans="2:18" x14ac:dyDescent="0.2">
      <c r="B517" s="25">
        <v>514</v>
      </c>
      <c r="C517" s="18">
        <v>44344</v>
      </c>
      <c r="D517" s="24">
        <f t="shared" si="40"/>
        <v>2021</v>
      </c>
      <c r="E517" s="24" t="str">
        <f t="shared" si="41"/>
        <v>Q2</v>
      </c>
      <c r="F517" s="24" t="str">
        <f t="shared" si="42"/>
        <v>May</v>
      </c>
      <c r="G517" s="24">
        <f t="shared" si="43"/>
        <v>5</v>
      </c>
      <c r="H517" s="19">
        <v>1385</v>
      </c>
      <c r="I517" s="19" t="s">
        <v>7</v>
      </c>
      <c r="J517" s="19" t="s">
        <v>8</v>
      </c>
      <c r="K517" s="20">
        <v>3</v>
      </c>
      <c r="L517" s="21">
        <v>78.12</v>
      </c>
      <c r="M517" s="22">
        <v>0.33</v>
      </c>
      <c r="N517" s="21">
        <f t="shared" ref="N517:N580" si="44">L517-(L517*M517)</f>
        <v>52.340400000000002</v>
      </c>
      <c r="O517" s="21">
        <v>157.02000000000001</v>
      </c>
      <c r="P517" s="19" t="s">
        <v>2</v>
      </c>
      <c r="Q517" s="23">
        <v>7</v>
      </c>
      <c r="R517" s="45">
        <v>2.5</v>
      </c>
    </row>
    <row r="518" spans="2:18" x14ac:dyDescent="0.2">
      <c r="B518" s="25">
        <v>515</v>
      </c>
      <c r="C518" s="18">
        <v>44345</v>
      </c>
      <c r="D518" s="24">
        <f t="shared" si="40"/>
        <v>2021</v>
      </c>
      <c r="E518" s="24" t="str">
        <f t="shared" si="41"/>
        <v>Q2</v>
      </c>
      <c r="F518" s="24" t="str">
        <f t="shared" si="42"/>
        <v>May</v>
      </c>
      <c r="G518" s="24">
        <f t="shared" si="43"/>
        <v>5</v>
      </c>
      <c r="H518" s="19">
        <v>1985</v>
      </c>
      <c r="I518" s="19" t="s">
        <v>3</v>
      </c>
      <c r="J518" s="19" t="s">
        <v>5</v>
      </c>
      <c r="K518" s="20">
        <v>1</v>
      </c>
      <c r="L518" s="21">
        <v>562.02</v>
      </c>
      <c r="M518" s="22">
        <v>0.26</v>
      </c>
      <c r="N518" s="21">
        <f t="shared" si="44"/>
        <v>415.89479999999998</v>
      </c>
      <c r="O518" s="21">
        <v>415.89</v>
      </c>
      <c r="P518" s="19" t="s">
        <v>6</v>
      </c>
      <c r="Q518" s="23">
        <v>9</v>
      </c>
      <c r="R518" s="45">
        <v>4.3</v>
      </c>
    </row>
    <row r="519" spans="2:18" x14ac:dyDescent="0.2">
      <c r="B519" s="25">
        <v>516</v>
      </c>
      <c r="C519" s="18">
        <v>44346</v>
      </c>
      <c r="D519" s="24">
        <f t="shared" si="40"/>
        <v>2021</v>
      </c>
      <c r="E519" s="24" t="str">
        <f t="shared" si="41"/>
        <v>Q2</v>
      </c>
      <c r="F519" s="24" t="str">
        <f t="shared" si="42"/>
        <v>May</v>
      </c>
      <c r="G519" s="24">
        <f t="shared" si="43"/>
        <v>5</v>
      </c>
      <c r="H519" s="19">
        <v>1784</v>
      </c>
      <c r="I519" s="19" t="s">
        <v>10</v>
      </c>
      <c r="J519" s="19" t="s">
        <v>5</v>
      </c>
      <c r="K519" s="20">
        <v>1</v>
      </c>
      <c r="L519" s="21">
        <v>185.24</v>
      </c>
      <c r="M519" s="22">
        <v>0</v>
      </c>
      <c r="N519" s="21">
        <f t="shared" si="44"/>
        <v>185.24</v>
      </c>
      <c r="O519" s="21">
        <v>185.24</v>
      </c>
      <c r="P519" s="19" t="s">
        <v>6</v>
      </c>
      <c r="Q519" s="23">
        <v>2</v>
      </c>
      <c r="R519" s="45">
        <v>4.2</v>
      </c>
    </row>
    <row r="520" spans="2:18" x14ac:dyDescent="0.2">
      <c r="B520" s="25">
        <v>517</v>
      </c>
      <c r="C520" s="18">
        <v>44347</v>
      </c>
      <c r="D520" s="24">
        <f t="shared" si="40"/>
        <v>2021</v>
      </c>
      <c r="E520" s="24" t="str">
        <f t="shared" si="41"/>
        <v>Q2</v>
      </c>
      <c r="F520" s="24" t="str">
        <f t="shared" si="42"/>
        <v>May</v>
      </c>
      <c r="G520" s="24">
        <f t="shared" si="43"/>
        <v>5</v>
      </c>
      <c r="H520" s="19">
        <v>1103</v>
      </c>
      <c r="I520" s="19" t="s">
        <v>10</v>
      </c>
      <c r="J520" s="19" t="s">
        <v>9</v>
      </c>
      <c r="K520" s="20">
        <v>6</v>
      </c>
      <c r="L520" s="21">
        <v>319.56</v>
      </c>
      <c r="M520" s="22">
        <v>0.27</v>
      </c>
      <c r="N520" s="21">
        <f t="shared" si="44"/>
        <v>233.27879999999999</v>
      </c>
      <c r="O520" s="21">
        <v>1399.67</v>
      </c>
      <c r="P520" s="19" t="s">
        <v>4</v>
      </c>
      <c r="Q520" s="23">
        <v>9</v>
      </c>
      <c r="R520" s="45">
        <v>2.7</v>
      </c>
    </row>
    <row r="521" spans="2:18" x14ac:dyDescent="0.2">
      <c r="B521" s="25">
        <v>518</v>
      </c>
      <c r="C521" s="18">
        <v>44348</v>
      </c>
      <c r="D521" s="24">
        <f t="shared" si="40"/>
        <v>2021</v>
      </c>
      <c r="E521" s="24" t="str">
        <f t="shared" si="41"/>
        <v>Q2</v>
      </c>
      <c r="F521" s="24" t="str">
        <f t="shared" si="42"/>
        <v>Jun</v>
      </c>
      <c r="G521" s="24">
        <f t="shared" si="43"/>
        <v>6</v>
      </c>
      <c r="H521" s="19">
        <v>1928</v>
      </c>
      <c r="I521" s="19" t="s">
        <v>3</v>
      </c>
      <c r="J521" s="19" t="s">
        <v>8</v>
      </c>
      <c r="K521" s="20">
        <v>6</v>
      </c>
      <c r="L521" s="21">
        <v>243.93</v>
      </c>
      <c r="M521" s="22">
        <v>0.26</v>
      </c>
      <c r="N521" s="21">
        <f t="shared" si="44"/>
        <v>180.50819999999999</v>
      </c>
      <c r="O521" s="21">
        <v>1083.05</v>
      </c>
      <c r="P521" s="19" t="s">
        <v>4</v>
      </c>
      <c r="Q521" s="23">
        <v>7</v>
      </c>
      <c r="R521" s="45">
        <v>1.9</v>
      </c>
    </row>
    <row r="522" spans="2:18" x14ac:dyDescent="0.2">
      <c r="B522" s="25">
        <v>519</v>
      </c>
      <c r="C522" s="18">
        <v>44349</v>
      </c>
      <c r="D522" s="24">
        <f t="shared" si="40"/>
        <v>2021</v>
      </c>
      <c r="E522" s="24" t="str">
        <f t="shared" si="41"/>
        <v>Q2</v>
      </c>
      <c r="F522" s="24" t="str">
        <f t="shared" si="42"/>
        <v>Jun</v>
      </c>
      <c r="G522" s="24">
        <f t="shared" si="43"/>
        <v>6</v>
      </c>
      <c r="H522" s="19">
        <v>1392</v>
      </c>
      <c r="I522" s="19" t="s">
        <v>7</v>
      </c>
      <c r="J522" s="19" t="s">
        <v>9</v>
      </c>
      <c r="K522" s="20">
        <v>2</v>
      </c>
      <c r="L522" s="21">
        <v>576.55999999999995</v>
      </c>
      <c r="M522" s="22">
        <v>0</v>
      </c>
      <c r="N522" s="21">
        <f t="shared" si="44"/>
        <v>576.55999999999995</v>
      </c>
      <c r="O522" s="21">
        <v>1153.1199999999999</v>
      </c>
      <c r="P522" s="19" t="s">
        <v>6</v>
      </c>
      <c r="Q522" s="23">
        <v>2</v>
      </c>
      <c r="R522" s="45">
        <v>2.7</v>
      </c>
    </row>
    <row r="523" spans="2:18" x14ac:dyDescent="0.2">
      <c r="B523" s="25">
        <v>520</v>
      </c>
      <c r="C523" s="18">
        <v>44350</v>
      </c>
      <c r="D523" s="24">
        <f t="shared" si="40"/>
        <v>2021</v>
      </c>
      <c r="E523" s="24" t="str">
        <f t="shared" si="41"/>
        <v>Q2</v>
      </c>
      <c r="F523" s="24" t="str">
        <f t="shared" si="42"/>
        <v>Jun</v>
      </c>
      <c r="G523" s="24">
        <f t="shared" si="43"/>
        <v>6</v>
      </c>
      <c r="H523" s="19">
        <v>1810</v>
      </c>
      <c r="I523" s="19" t="s">
        <v>3</v>
      </c>
      <c r="J523" s="19" t="s">
        <v>8</v>
      </c>
      <c r="K523" s="20">
        <v>1</v>
      </c>
      <c r="L523" s="21">
        <v>211</v>
      </c>
      <c r="M523" s="22">
        <v>0.13</v>
      </c>
      <c r="N523" s="21">
        <f t="shared" si="44"/>
        <v>183.57</v>
      </c>
      <c r="O523" s="21">
        <v>183.57</v>
      </c>
      <c r="P523" s="19" t="s">
        <v>4</v>
      </c>
      <c r="Q523" s="23">
        <v>10</v>
      </c>
      <c r="R523" s="45">
        <v>3.6</v>
      </c>
    </row>
    <row r="524" spans="2:18" x14ac:dyDescent="0.2">
      <c r="B524" s="25">
        <v>521</v>
      </c>
      <c r="C524" s="18">
        <v>44351</v>
      </c>
      <c r="D524" s="24">
        <f t="shared" si="40"/>
        <v>2021</v>
      </c>
      <c r="E524" s="24" t="str">
        <f t="shared" si="41"/>
        <v>Q2</v>
      </c>
      <c r="F524" s="24" t="str">
        <f t="shared" si="42"/>
        <v>Jun</v>
      </c>
      <c r="G524" s="24">
        <f t="shared" si="43"/>
        <v>6</v>
      </c>
      <c r="H524" s="19">
        <v>1245</v>
      </c>
      <c r="I524" s="19" t="s">
        <v>7</v>
      </c>
      <c r="J524" s="19" t="s">
        <v>9</v>
      </c>
      <c r="K524" s="20">
        <v>4</v>
      </c>
      <c r="L524" s="21">
        <v>470.45</v>
      </c>
      <c r="M524" s="22">
        <v>0.21</v>
      </c>
      <c r="N524" s="21">
        <f t="shared" si="44"/>
        <v>371.65549999999996</v>
      </c>
      <c r="O524" s="21">
        <v>1486.62</v>
      </c>
      <c r="P524" s="19" t="s">
        <v>4</v>
      </c>
      <c r="Q524" s="23">
        <v>2</v>
      </c>
      <c r="R524" s="45">
        <v>1.8</v>
      </c>
    </row>
    <row r="525" spans="2:18" x14ac:dyDescent="0.2">
      <c r="B525" s="25">
        <v>522</v>
      </c>
      <c r="C525" s="18">
        <v>44352</v>
      </c>
      <c r="D525" s="24">
        <f t="shared" si="40"/>
        <v>2021</v>
      </c>
      <c r="E525" s="24" t="str">
        <f t="shared" si="41"/>
        <v>Q2</v>
      </c>
      <c r="F525" s="24" t="str">
        <f t="shared" si="42"/>
        <v>Jun</v>
      </c>
      <c r="G525" s="24">
        <f t="shared" si="43"/>
        <v>6</v>
      </c>
      <c r="H525" s="19">
        <v>1175</v>
      </c>
      <c r="I525" s="19" t="s">
        <v>3</v>
      </c>
      <c r="J525" s="19" t="s">
        <v>8</v>
      </c>
      <c r="K525" s="20">
        <v>6</v>
      </c>
      <c r="L525" s="21">
        <v>515.41999999999996</v>
      </c>
      <c r="M525" s="22">
        <v>0.16</v>
      </c>
      <c r="N525" s="21">
        <f t="shared" si="44"/>
        <v>432.95279999999997</v>
      </c>
      <c r="O525" s="21">
        <v>2597.7199999999998</v>
      </c>
      <c r="P525" s="19" t="s">
        <v>4</v>
      </c>
      <c r="Q525" s="23">
        <v>4</v>
      </c>
      <c r="R525" s="45">
        <v>4.0999999999999996</v>
      </c>
    </row>
    <row r="526" spans="2:18" x14ac:dyDescent="0.2">
      <c r="B526" s="25">
        <v>523</v>
      </c>
      <c r="C526" s="18">
        <v>44353</v>
      </c>
      <c r="D526" s="24">
        <f t="shared" si="40"/>
        <v>2021</v>
      </c>
      <c r="E526" s="24" t="str">
        <f t="shared" si="41"/>
        <v>Q2</v>
      </c>
      <c r="F526" s="24" t="str">
        <f t="shared" si="42"/>
        <v>Jun</v>
      </c>
      <c r="G526" s="24">
        <f t="shared" si="43"/>
        <v>6</v>
      </c>
      <c r="H526" s="19">
        <v>1038</v>
      </c>
      <c r="I526" s="19" t="s">
        <v>0</v>
      </c>
      <c r="J526" s="19" t="s">
        <v>8</v>
      </c>
      <c r="K526" s="20">
        <v>4</v>
      </c>
      <c r="L526" s="21">
        <v>269.83</v>
      </c>
      <c r="M526" s="22">
        <v>0.27</v>
      </c>
      <c r="N526" s="21">
        <f t="shared" si="44"/>
        <v>196.97589999999997</v>
      </c>
      <c r="O526" s="21">
        <v>787.9</v>
      </c>
      <c r="P526" s="19" t="s">
        <v>6</v>
      </c>
      <c r="Q526" s="23">
        <v>2</v>
      </c>
      <c r="R526" s="45">
        <v>2.2999999999999998</v>
      </c>
    </row>
    <row r="527" spans="2:18" x14ac:dyDescent="0.2">
      <c r="B527" s="25">
        <v>524</v>
      </c>
      <c r="C527" s="18">
        <v>44354</v>
      </c>
      <c r="D527" s="24">
        <f t="shared" si="40"/>
        <v>2021</v>
      </c>
      <c r="E527" s="24" t="str">
        <f t="shared" si="41"/>
        <v>Q2</v>
      </c>
      <c r="F527" s="24" t="str">
        <f t="shared" si="42"/>
        <v>Jun</v>
      </c>
      <c r="G527" s="24">
        <f t="shared" si="43"/>
        <v>6</v>
      </c>
      <c r="H527" s="19">
        <v>1476</v>
      </c>
      <c r="I527" s="19" t="s">
        <v>3</v>
      </c>
      <c r="J527" s="19" t="s">
        <v>8</v>
      </c>
      <c r="K527" s="20">
        <v>6</v>
      </c>
      <c r="L527" s="21">
        <v>236.23</v>
      </c>
      <c r="M527" s="22">
        <v>0.15</v>
      </c>
      <c r="N527" s="21">
        <f t="shared" si="44"/>
        <v>200.7955</v>
      </c>
      <c r="O527" s="21">
        <v>1204.77</v>
      </c>
      <c r="P527" s="19" t="s">
        <v>2</v>
      </c>
      <c r="Q527" s="23">
        <v>1</v>
      </c>
      <c r="R527" s="45">
        <v>4.7</v>
      </c>
    </row>
    <row r="528" spans="2:18" x14ac:dyDescent="0.2">
      <c r="B528" s="25">
        <v>525</v>
      </c>
      <c r="C528" s="18">
        <v>44355</v>
      </c>
      <c r="D528" s="24">
        <f t="shared" si="40"/>
        <v>2021</v>
      </c>
      <c r="E528" s="24" t="str">
        <f t="shared" si="41"/>
        <v>Q2</v>
      </c>
      <c r="F528" s="24" t="str">
        <f t="shared" si="42"/>
        <v>Jun</v>
      </c>
      <c r="G528" s="24">
        <f t="shared" si="43"/>
        <v>6</v>
      </c>
      <c r="H528" s="19">
        <v>1681</v>
      </c>
      <c r="I528" s="19" t="s">
        <v>10</v>
      </c>
      <c r="J528" s="19" t="s">
        <v>1</v>
      </c>
      <c r="K528" s="20">
        <v>4</v>
      </c>
      <c r="L528" s="21">
        <v>452.43</v>
      </c>
      <c r="M528" s="22">
        <v>0.05</v>
      </c>
      <c r="N528" s="21">
        <f t="shared" si="44"/>
        <v>429.80849999999998</v>
      </c>
      <c r="O528" s="21">
        <v>1719.23</v>
      </c>
      <c r="P528" s="19" t="s">
        <v>2</v>
      </c>
      <c r="Q528" s="23">
        <v>6</v>
      </c>
      <c r="R528" s="45">
        <v>3</v>
      </c>
    </row>
    <row r="529" spans="2:18" x14ac:dyDescent="0.2">
      <c r="B529" s="25">
        <v>526</v>
      </c>
      <c r="C529" s="18">
        <v>44356</v>
      </c>
      <c r="D529" s="24">
        <f t="shared" si="40"/>
        <v>2021</v>
      </c>
      <c r="E529" s="24" t="str">
        <f t="shared" si="41"/>
        <v>Q2</v>
      </c>
      <c r="F529" s="24" t="str">
        <f t="shared" si="42"/>
        <v>Jun</v>
      </c>
      <c r="G529" s="24">
        <f t="shared" si="43"/>
        <v>6</v>
      </c>
      <c r="H529" s="19">
        <v>1758</v>
      </c>
      <c r="I529" s="19" t="s">
        <v>7</v>
      </c>
      <c r="J529" s="19" t="s">
        <v>5</v>
      </c>
      <c r="K529" s="20">
        <v>5</v>
      </c>
      <c r="L529" s="21">
        <v>549.04</v>
      </c>
      <c r="M529" s="22">
        <v>0.34</v>
      </c>
      <c r="N529" s="21">
        <f t="shared" si="44"/>
        <v>362.3664</v>
      </c>
      <c r="O529" s="21">
        <v>1811.83</v>
      </c>
      <c r="P529" s="19" t="s">
        <v>2</v>
      </c>
      <c r="Q529" s="23">
        <v>10</v>
      </c>
      <c r="R529" s="45">
        <v>4.4000000000000004</v>
      </c>
    </row>
    <row r="530" spans="2:18" x14ac:dyDescent="0.2">
      <c r="B530" s="25">
        <v>527</v>
      </c>
      <c r="C530" s="18">
        <v>44357</v>
      </c>
      <c r="D530" s="24">
        <f t="shared" si="40"/>
        <v>2021</v>
      </c>
      <c r="E530" s="24" t="str">
        <f t="shared" si="41"/>
        <v>Q2</v>
      </c>
      <c r="F530" s="24" t="str">
        <f t="shared" si="42"/>
        <v>Jun</v>
      </c>
      <c r="G530" s="24">
        <f t="shared" si="43"/>
        <v>6</v>
      </c>
      <c r="H530" s="19">
        <v>1537</v>
      </c>
      <c r="I530" s="19" t="s">
        <v>10</v>
      </c>
      <c r="J530" s="19" t="s">
        <v>8</v>
      </c>
      <c r="K530" s="20">
        <v>4</v>
      </c>
      <c r="L530" s="21">
        <v>456.64</v>
      </c>
      <c r="M530" s="22">
        <v>0.08</v>
      </c>
      <c r="N530" s="21">
        <f t="shared" si="44"/>
        <v>420.10879999999997</v>
      </c>
      <c r="O530" s="21">
        <v>1680.44</v>
      </c>
      <c r="P530" s="19" t="s">
        <v>2</v>
      </c>
      <c r="Q530" s="23">
        <v>11</v>
      </c>
      <c r="R530" s="45">
        <v>3.5</v>
      </c>
    </row>
    <row r="531" spans="2:18" x14ac:dyDescent="0.2">
      <c r="B531" s="25">
        <v>528</v>
      </c>
      <c r="C531" s="18">
        <v>44358</v>
      </c>
      <c r="D531" s="24">
        <f t="shared" si="40"/>
        <v>2021</v>
      </c>
      <c r="E531" s="24" t="str">
        <f t="shared" si="41"/>
        <v>Q2</v>
      </c>
      <c r="F531" s="24" t="str">
        <f t="shared" si="42"/>
        <v>Jun</v>
      </c>
      <c r="G531" s="24">
        <f t="shared" si="43"/>
        <v>6</v>
      </c>
      <c r="H531" s="19">
        <v>1866</v>
      </c>
      <c r="I531" s="19" t="s">
        <v>0</v>
      </c>
      <c r="J531" s="19" t="s">
        <v>1</v>
      </c>
      <c r="K531" s="20">
        <v>7</v>
      </c>
      <c r="L531" s="21">
        <v>147.87</v>
      </c>
      <c r="M531" s="22">
        <v>0.25</v>
      </c>
      <c r="N531" s="21">
        <f t="shared" si="44"/>
        <v>110.9025</v>
      </c>
      <c r="O531" s="21">
        <v>776.32</v>
      </c>
      <c r="P531" s="19" t="s">
        <v>2</v>
      </c>
      <c r="Q531" s="23">
        <v>5</v>
      </c>
      <c r="R531" s="45">
        <v>3.2</v>
      </c>
    </row>
    <row r="532" spans="2:18" x14ac:dyDescent="0.2">
      <c r="B532" s="25">
        <v>529</v>
      </c>
      <c r="C532" s="18">
        <v>44359</v>
      </c>
      <c r="D532" s="24">
        <f t="shared" si="40"/>
        <v>2021</v>
      </c>
      <c r="E532" s="24" t="str">
        <f t="shared" si="41"/>
        <v>Q2</v>
      </c>
      <c r="F532" s="24" t="str">
        <f t="shared" si="42"/>
        <v>Jun</v>
      </c>
      <c r="G532" s="24">
        <f t="shared" si="43"/>
        <v>6</v>
      </c>
      <c r="H532" s="19">
        <v>1817</v>
      </c>
      <c r="I532" s="19" t="s">
        <v>7</v>
      </c>
      <c r="J532" s="19" t="s">
        <v>1</v>
      </c>
      <c r="K532" s="20">
        <v>1</v>
      </c>
      <c r="L532" s="21">
        <v>534.66</v>
      </c>
      <c r="M532" s="22">
        <v>0.05</v>
      </c>
      <c r="N532" s="21">
        <f t="shared" si="44"/>
        <v>507.92699999999996</v>
      </c>
      <c r="O532" s="21">
        <v>507.93</v>
      </c>
      <c r="P532" s="19" t="s">
        <v>6</v>
      </c>
      <c r="Q532" s="23">
        <v>3</v>
      </c>
      <c r="R532" s="45">
        <v>3.7</v>
      </c>
    </row>
    <row r="533" spans="2:18" x14ac:dyDescent="0.2">
      <c r="B533" s="25">
        <v>530</v>
      </c>
      <c r="C533" s="18">
        <v>44360</v>
      </c>
      <c r="D533" s="24">
        <f t="shared" si="40"/>
        <v>2021</v>
      </c>
      <c r="E533" s="24" t="str">
        <f t="shared" si="41"/>
        <v>Q2</v>
      </c>
      <c r="F533" s="24" t="str">
        <f t="shared" si="42"/>
        <v>Jun</v>
      </c>
      <c r="G533" s="24">
        <f t="shared" si="43"/>
        <v>6</v>
      </c>
      <c r="H533" s="19">
        <v>1920</v>
      </c>
      <c r="I533" s="19" t="s">
        <v>7</v>
      </c>
      <c r="J533" s="19" t="s">
        <v>9</v>
      </c>
      <c r="K533" s="20">
        <v>6</v>
      </c>
      <c r="L533" s="21">
        <v>241.74</v>
      </c>
      <c r="M533" s="22">
        <v>0.12</v>
      </c>
      <c r="N533" s="21">
        <f t="shared" si="44"/>
        <v>212.7312</v>
      </c>
      <c r="O533" s="21">
        <v>1276.3900000000001</v>
      </c>
      <c r="P533" s="19" t="s">
        <v>6</v>
      </c>
      <c r="Q533" s="23">
        <v>11</v>
      </c>
      <c r="R533" s="45">
        <v>4.2</v>
      </c>
    </row>
    <row r="534" spans="2:18" x14ac:dyDescent="0.2">
      <c r="B534" s="25">
        <v>531</v>
      </c>
      <c r="C534" s="18">
        <v>44361</v>
      </c>
      <c r="D534" s="24">
        <f t="shared" si="40"/>
        <v>2021</v>
      </c>
      <c r="E534" s="24" t="str">
        <f t="shared" si="41"/>
        <v>Q2</v>
      </c>
      <c r="F534" s="24" t="str">
        <f t="shared" si="42"/>
        <v>Jun</v>
      </c>
      <c r="G534" s="24">
        <f t="shared" si="43"/>
        <v>6</v>
      </c>
      <c r="H534" s="19">
        <v>1407</v>
      </c>
      <c r="I534" s="19" t="s">
        <v>3</v>
      </c>
      <c r="J534" s="19" t="s">
        <v>5</v>
      </c>
      <c r="K534" s="20">
        <v>1</v>
      </c>
      <c r="L534" s="21">
        <v>352.09</v>
      </c>
      <c r="M534" s="22">
        <v>0.15</v>
      </c>
      <c r="N534" s="21">
        <f t="shared" si="44"/>
        <v>299.2765</v>
      </c>
      <c r="O534" s="21">
        <v>299.27999999999997</v>
      </c>
      <c r="P534" s="19" t="s">
        <v>4</v>
      </c>
      <c r="Q534" s="23">
        <v>1</v>
      </c>
      <c r="R534" s="45">
        <v>3.6</v>
      </c>
    </row>
    <row r="535" spans="2:18" x14ac:dyDescent="0.2">
      <c r="B535" s="25">
        <v>532</v>
      </c>
      <c r="C535" s="18">
        <v>44362</v>
      </c>
      <c r="D535" s="24">
        <f t="shared" si="40"/>
        <v>2021</v>
      </c>
      <c r="E535" s="24" t="str">
        <f t="shared" si="41"/>
        <v>Q2</v>
      </c>
      <c r="F535" s="24" t="str">
        <f t="shared" si="42"/>
        <v>Jun</v>
      </c>
      <c r="G535" s="24">
        <f t="shared" si="43"/>
        <v>6</v>
      </c>
      <c r="H535" s="19">
        <v>1524</v>
      </c>
      <c r="I535" s="19" t="s">
        <v>7</v>
      </c>
      <c r="J535" s="19" t="s">
        <v>5</v>
      </c>
      <c r="K535" s="20">
        <v>7</v>
      </c>
      <c r="L535" s="21">
        <v>501.39</v>
      </c>
      <c r="M535" s="22">
        <v>7.0000000000000007E-2</v>
      </c>
      <c r="N535" s="21">
        <f t="shared" si="44"/>
        <v>466.29269999999997</v>
      </c>
      <c r="O535" s="21">
        <v>3264.05</v>
      </c>
      <c r="P535" s="19" t="s">
        <v>2</v>
      </c>
      <c r="Q535" s="23">
        <v>9</v>
      </c>
      <c r="R535" s="45">
        <v>4.2</v>
      </c>
    </row>
    <row r="536" spans="2:18" x14ac:dyDescent="0.2">
      <c r="B536" s="25">
        <v>533</v>
      </c>
      <c r="C536" s="18">
        <v>44363</v>
      </c>
      <c r="D536" s="24">
        <f t="shared" si="40"/>
        <v>2021</v>
      </c>
      <c r="E536" s="24" t="str">
        <f t="shared" si="41"/>
        <v>Q2</v>
      </c>
      <c r="F536" s="24" t="str">
        <f t="shared" si="42"/>
        <v>Jun</v>
      </c>
      <c r="G536" s="24">
        <f t="shared" si="43"/>
        <v>6</v>
      </c>
      <c r="H536" s="19">
        <v>1827</v>
      </c>
      <c r="I536" s="19" t="s">
        <v>10</v>
      </c>
      <c r="J536" s="19" t="s">
        <v>9</v>
      </c>
      <c r="K536" s="20">
        <v>7</v>
      </c>
      <c r="L536" s="21">
        <v>125.21</v>
      </c>
      <c r="M536" s="22">
        <v>0.16</v>
      </c>
      <c r="N536" s="21">
        <f t="shared" si="44"/>
        <v>105.1764</v>
      </c>
      <c r="O536" s="21">
        <v>736.23</v>
      </c>
      <c r="P536" s="19" t="s">
        <v>4</v>
      </c>
      <c r="Q536" s="23">
        <v>8</v>
      </c>
      <c r="R536" s="45">
        <v>1.8</v>
      </c>
    </row>
    <row r="537" spans="2:18" x14ac:dyDescent="0.2">
      <c r="B537" s="25">
        <v>534</v>
      </c>
      <c r="C537" s="18">
        <v>44364</v>
      </c>
      <c r="D537" s="24">
        <f t="shared" si="40"/>
        <v>2021</v>
      </c>
      <c r="E537" s="24" t="str">
        <f t="shared" si="41"/>
        <v>Q2</v>
      </c>
      <c r="F537" s="24" t="str">
        <f t="shared" si="42"/>
        <v>Jun</v>
      </c>
      <c r="G537" s="24">
        <f t="shared" si="43"/>
        <v>6</v>
      </c>
      <c r="H537" s="19">
        <v>1505</v>
      </c>
      <c r="I537" s="19" t="s">
        <v>0</v>
      </c>
      <c r="J537" s="19" t="s">
        <v>5</v>
      </c>
      <c r="K537" s="20">
        <v>4</v>
      </c>
      <c r="L537" s="21">
        <v>473.94</v>
      </c>
      <c r="M537" s="22">
        <v>0.06</v>
      </c>
      <c r="N537" s="21">
        <f t="shared" si="44"/>
        <v>445.50360000000001</v>
      </c>
      <c r="O537" s="21">
        <v>1782.01</v>
      </c>
      <c r="P537" s="19" t="s">
        <v>4</v>
      </c>
      <c r="Q537" s="23">
        <v>6</v>
      </c>
      <c r="R537" s="45">
        <v>2.1</v>
      </c>
    </row>
    <row r="538" spans="2:18" x14ac:dyDescent="0.2">
      <c r="B538" s="25">
        <v>535</v>
      </c>
      <c r="C538" s="18">
        <v>44365</v>
      </c>
      <c r="D538" s="24">
        <f t="shared" si="40"/>
        <v>2021</v>
      </c>
      <c r="E538" s="24" t="str">
        <f t="shared" si="41"/>
        <v>Q2</v>
      </c>
      <c r="F538" s="24" t="str">
        <f t="shared" si="42"/>
        <v>Jun</v>
      </c>
      <c r="G538" s="24">
        <f t="shared" si="43"/>
        <v>6</v>
      </c>
      <c r="H538" s="19">
        <v>1902</v>
      </c>
      <c r="I538" s="19" t="s">
        <v>3</v>
      </c>
      <c r="J538" s="19" t="s">
        <v>9</v>
      </c>
      <c r="K538" s="20">
        <v>3</v>
      </c>
      <c r="L538" s="21">
        <v>363.76</v>
      </c>
      <c r="M538" s="22">
        <v>0.2</v>
      </c>
      <c r="N538" s="21">
        <f t="shared" si="44"/>
        <v>291.00799999999998</v>
      </c>
      <c r="O538" s="21">
        <v>873.02</v>
      </c>
      <c r="P538" s="19" t="s">
        <v>2</v>
      </c>
      <c r="Q538" s="23">
        <v>6</v>
      </c>
      <c r="R538" s="45">
        <v>1.9</v>
      </c>
    </row>
    <row r="539" spans="2:18" x14ac:dyDescent="0.2">
      <c r="B539" s="25">
        <v>536</v>
      </c>
      <c r="C539" s="18">
        <v>44366</v>
      </c>
      <c r="D539" s="24">
        <f t="shared" si="40"/>
        <v>2021</v>
      </c>
      <c r="E539" s="24" t="str">
        <f t="shared" si="41"/>
        <v>Q2</v>
      </c>
      <c r="F539" s="24" t="str">
        <f t="shared" si="42"/>
        <v>Jun</v>
      </c>
      <c r="G539" s="24">
        <f t="shared" si="43"/>
        <v>6</v>
      </c>
      <c r="H539" s="19">
        <v>1824</v>
      </c>
      <c r="I539" s="19" t="s">
        <v>7</v>
      </c>
      <c r="J539" s="19" t="s">
        <v>1</v>
      </c>
      <c r="K539" s="20">
        <v>3</v>
      </c>
      <c r="L539" s="21">
        <v>537.6</v>
      </c>
      <c r="M539" s="22">
        <v>0.23</v>
      </c>
      <c r="N539" s="21">
        <f t="shared" si="44"/>
        <v>413.952</v>
      </c>
      <c r="O539" s="21">
        <v>1241.8599999999999</v>
      </c>
      <c r="P539" s="19" t="s">
        <v>4</v>
      </c>
      <c r="Q539" s="23">
        <v>4</v>
      </c>
      <c r="R539" s="45">
        <v>4.2</v>
      </c>
    </row>
    <row r="540" spans="2:18" x14ac:dyDescent="0.2">
      <c r="B540" s="25">
        <v>537</v>
      </c>
      <c r="C540" s="18">
        <v>44367</v>
      </c>
      <c r="D540" s="24">
        <f t="shared" si="40"/>
        <v>2021</v>
      </c>
      <c r="E540" s="24" t="str">
        <f t="shared" si="41"/>
        <v>Q2</v>
      </c>
      <c r="F540" s="24" t="str">
        <f t="shared" si="42"/>
        <v>Jun</v>
      </c>
      <c r="G540" s="24">
        <f t="shared" si="43"/>
        <v>6</v>
      </c>
      <c r="H540" s="19">
        <v>1035</v>
      </c>
      <c r="I540" s="19" t="s">
        <v>3</v>
      </c>
      <c r="J540" s="19" t="s">
        <v>1</v>
      </c>
      <c r="K540" s="20">
        <v>7</v>
      </c>
      <c r="L540" s="21">
        <v>115.6</v>
      </c>
      <c r="M540" s="22">
        <v>0.02</v>
      </c>
      <c r="N540" s="21">
        <f t="shared" si="44"/>
        <v>113.288</v>
      </c>
      <c r="O540" s="21">
        <v>793.02</v>
      </c>
      <c r="P540" s="19" t="s">
        <v>2</v>
      </c>
      <c r="Q540" s="23">
        <v>2</v>
      </c>
      <c r="R540" s="45">
        <v>1.3</v>
      </c>
    </row>
    <row r="541" spans="2:18" x14ac:dyDescent="0.2">
      <c r="B541" s="25">
        <v>538</v>
      </c>
      <c r="C541" s="18">
        <v>44368</v>
      </c>
      <c r="D541" s="24">
        <f t="shared" si="40"/>
        <v>2021</v>
      </c>
      <c r="E541" s="24" t="str">
        <f t="shared" si="41"/>
        <v>Q2</v>
      </c>
      <c r="F541" s="24" t="str">
        <f t="shared" si="42"/>
        <v>Jun</v>
      </c>
      <c r="G541" s="24">
        <f t="shared" si="43"/>
        <v>6</v>
      </c>
      <c r="H541" s="19">
        <v>1684</v>
      </c>
      <c r="I541" s="19" t="s">
        <v>10</v>
      </c>
      <c r="J541" s="19" t="s">
        <v>8</v>
      </c>
      <c r="K541" s="20">
        <v>3</v>
      </c>
      <c r="L541" s="21">
        <v>261.10000000000002</v>
      </c>
      <c r="M541" s="22">
        <v>0.3</v>
      </c>
      <c r="N541" s="21">
        <f t="shared" si="44"/>
        <v>182.77000000000004</v>
      </c>
      <c r="O541" s="21">
        <v>548.30999999999995</v>
      </c>
      <c r="P541" s="19" t="s">
        <v>6</v>
      </c>
      <c r="Q541" s="23">
        <v>4</v>
      </c>
      <c r="R541" s="45">
        <v>4.2</v>
      </c>
    </row>
    <row r="542" spans="2:18" x14ac:dyDescent="0.2">
      <c r="B542" s="25">
        <v>539</v>
      </c>
      <c r="C542" s="18">
        <v>44369</v>
      </c>
      <c r="D542" s="24">
        <f t="shared" si="40"/>
        <v>2021</v>
      </c>
      <c r="E542" s="24" t="str">
        <f t="shared" si="41"/>
        <v>Q2</v>
      </c>
      <c r="F542" s="24" t="str">
        <f t="shared" si="42"/>
        <v>Jun</v>
      </c>
      <c r="G542" s="24">
        <f t="shared" si="43"/>
        <v>6</v>
      </c>
      <c r="H542" s="19">
        <v>1019</v>
      </c>
      <c r="I542" s="19" t="s">
        <v>7</v>
      </c>
      <c r="J542" s="19" t="s">
        <v>9</v>
      </c>
      <c r="K542" s="20">
        <v>6</v>
      </c>
      <c r="L542" s="21">
        <v>502.21</v>
      </c>
      <c r="M542" s="22">
        <v>0.06</v>
      </c>
      <c r="N542" s="21">
        <f t="shared" si="44"/>
        <v>472.07740000000001</v>
      </c>
      <c r="O542" s="21">
        <v>2832.46</v>
      </c>
      <c r="P542" s="19" t="s">
        <v>4</v>
      </c>
      <c r="Q542" s="23">
        <v>2</v>
      </c>
      <c r="R542" s="45">
        <v>2.6</v>
      </c>
    </row>
    <row r="543" spans="2:18" x14ac:dyDescent="0.2">
      <c r="B543" s="25">
        <v>540</v>
      </c>
      <c r="C543" s="18">
        <v>44370</v>
      </c>
      <c r="D543" s="24">
        <f t="shared" si="40"/>
        <v>2021</v>
      </c>
      <c r="E543" s="24" t="str">
        <f t="shared" si="41"/>
        <v>Q2</v>
      </c>
      <c r="F543" s="24" t="str">
        <f t="shared" si="42"/>
        <v>Jun</v>
      </c>
      <c r="G543" s="24">
        <f t="shared" si="43"/>
        <v>6</v>
      </c>
      <c r="H543" s="19">
        <v>1320</v>
      </c>
      <c r="I543" s="19" t="s">
        <v>3</v>
      </c>
      <c r="J543" s="19" t="s">
        <v>1</v>
      </c>
      <c r="K543" s="20">
        <v>2</v>
      </c>
      <c r="L543" s="21">
        <v>26.25</v>
      </c>
      <c r="M543" s="22">
        <v>0.08</v>
      </c>
      <c r="N543" s="21">
        <f t="shared" si="44"/>
        <v>24.15</v>
      </c>
      <c r="O543" s="21">
        <v>48.3</v>
      </c>
      <c r="P543" s="19" t="s">
        <v>6</v>
      </c>
      <c r="Q543" s="23">
        <v>7</v>
      </c>
      <c r="R543" s="45">
        <v>1.3</v>
      </c>
    </row>
    <row r="544" spans="2:18" x14ac:dyDescent="0.2">
      <c r="B544" s="25">
        <v>541</v>
      </c>
      <c r="C544" s="18">
        <v>44371</v>
      </c>
      <c r="D544" s="24">
        <f t="shared" si="40"/>
        <v>2021</v>
      </c>
      <c r="E544" s="24" t="str">
        <f t="shared" si="41"/>
        <v>Q2</v>
      </c>
      <c r="F544" s="24" t="str">
        <f t="shared" si="42"/>
        <v>Jun</v>
      </c>
      <c r="G544" s="24">
        <f t="shared" si="43"/>
        <v>6</v>
      </c>
      <c r="H544" s="19">
        <v>1775</v>
      </c>
      <c r="I544" s="19" t="s">
        <v>3</v>
      </c>
      <c r="J544" s="19" t="s">
        <v>1</v>
      </c>
      <c r="K544" s="20">
        <v>5</v>
      </c>
      <c r="L544" s="21">
        <v>80.64</v>
      </c>
      <c r="M544" s="22">
        <v>0.23</v>
      </c>
      <c r="N544" s="21">
        <f t="shared" si="44"/>
        <v>62.092799999999997</v>
      </c>
      <c r="O544" s="21">
        <v>310.45999999999998</v>
      </c>
      <c r="P544" s="19" t="s">
        <v>2</v>
      </c>
      <c r="Q544" s="23">
        <v>9</v>
      </c>
      <c r="R544" s="45">
        <v>2.7</v>
      </c>
    </row>
    <row r="545" spans="2:18" x14ac:dyDescent="0.2">
      <c r="B545" s="25">
        <v>542</v>
      </c>
      <c r="C545" s="18">
        <v>44372</v>
      </c>
      <c r="D545" s="24">
        <f t="shared" si="40"/>
        <v>2021</v>
      </c>
      <c r="E545" s="24" t="str">
        <f t="shared" si="41"/>
        <v>Q2</v>
      </c>
      <c r="F545" s="24" t="str">
        <f t="shared" si="42"/>
        <v>Jun</v>
      </c>
      <c r="G545" s="24">
        <f t="shared" si="43"/>
        <v>6</v>
      </c>
      <c r="H545" s="19">
        <v>1511</v>
      </c>
      <c r="I545" s="19" t="s">
        <v>3</v>
      </c>
      <c r="J545" s="19" t="s">
        <v>9</v>
      </c>
      <c r="K545" s="20">
        <v>4</v>
      </c>
      <c r="L545" s="21">
        <v>594.48</v>
      </c>
      <c r="M545" s="22">
        <v>0.16</v>
      </c>
      <c r="N545" s="21">
        <f t="shared" si="44"/>
        <v>499.36320000000001</v>
      </c>
      <c r="O545" s="21">
        <v>1997.45</v>
      </c>
      <c r="P545" s="19" t="s">
        <v>4</v>
      </c>
      <c r="Q545" s="23">
        <v>2</v>
      </c>
      <c r="R545" s="45">
        <v>2.2000000000000002</v>
      </c>
    </row>
    <row r="546" spans="2:18" x14ac:dyDescent="0.2">
      <c r="B546" s="25">
        <v>543</v>
      </c>
      <c r="C546" s="18">
        <v>44373</v>
      </c>
      <c r="D546" s="24">
        <f t="shared" si="40"/>
        <v>2021</v>
      </c>
      <c r="E546" s="24" t="str">
        <f t="shared" si="41"/>
        <v>Q2</v>
      </c>
      <c r="F546" s="24" t="str">
        <f t="shared" si="42"/>
        <v>Jun</v>
      </c>
      <c r="G546" s="24">
        <f t="shared" si="43"/>
        <v>6</v>
      </c>
      <c r="H546" s="19">
        <v>1399</v>
      </c>
      <c r="I546" s="19" t="s">
        <v>7</v>
      </c>
      <c r="J546" s="19" t="s">
        <v>1</v>
      </c>
      <c r="K546" s="20">
        <v>2</v>
      </c>
      <c r="L546" s="21">
        <v>179.03</v>
      </c>
      <c r="M546" s="22">
        <v>0.17</v>
      </c>
      <c r="N546" s="21">
        <f t="shared" si="44"/>
        <v>148.5949</v>
      </c>
      <c r="O546" s="21">
        <v>297.19</v>
      </c>
      <c r="P546" s="19" t="s">
        <v>6</v>
      </c>
      <c r="Q546" s="23">
        <v>9</v>
      </c>
      <c r="R546" s="45">
        <v>3.4</v>
      </c>
    </row>
    <row r="547" spans="2:18" x14ac:dyDescent="0.2">
      <c r="B547" s="25">
        <v>544</v>
      </c>
      <c r="C547" s="18">
        <v>44374</v>
      </c>
      <c r="D547" s="24">
        <f t="shared" si="40"/>
        <v>2021</v>
      </c>
      <c r="E547" s="24" t="str">
        <f t="shared" si="41"/>
        <v>Q2</v>
      </c>
      <c r="F547" s="24" t="str">
        <f t="shared" si="42"/>
        <v>Jun</v>
      </c>
      <c r="G547" s="24">
        <f t="shared" si="43"/>
        <v>6</v>
      </c>
      <c r="H547" s="19">
        <v>1653</v>
      </c>
      <c r="I547" s="19" t="s">
        <v>10</v>
      </c>
      <c r="J547" s="19" t="s">
        <v>5</v>
      </c>
      <c r="K547" s="20">
        <v>3</v>
      </c>
      <c r="L547" s="21">
        <v>585.69000000000005</v>
      </c>
      <c r="M547" s="22">
        <v>0.04</v>
      </c>
      <c r="N547" s="21">
        <f t="shared" si="44"/>
        <v>562.26240000000007</v>
      </c>
      <c r="O547" s="21">
        <v>1686.79</v>
      </c>
      <c r="P547" s="19" t="s">
        <v>2</v>
      </c>
      <c r="Q547" s="23">
        <v>9</v>
      </c>
      <c r="R547" s="45">
        <v>2.9</v>
      </c>
    </row>
    <row r="548" spans="2:18" x14ac:dyDescent="0.2">
      <c r="B548" s="25">
        <v>545</v>
      </c>
      <c r="C548" s="18">
        <v>44375</v>
      </c>
      <c r="D548" s="24">
        <f t="shared" si="40"/>
        <v>2021</v>
      </c>
      <c r="E548" s="24" t="str">
        <f t="shared" si="41"/>
        <v>Q2</v>
      </c>
      <c r="F548" s="24" t="str">
        <f t="shared" si="42"/>
        <v>Jun</v>
      </c>
      <c r="G548" s="24">
        <f t="shared" si="43"/>
        <v>6</v>
      </c>
      <c r="H548" s="19">
        <v>1971</v>
      </c>
      <c r="I548" s="19" t="s">
        <v>7</v>
      </c>
      <c r="J548" s="19" t="s">
        <v>1</v>
      </c>
      <c r="K548" s="20">
        <v>4</v>
      </c>
      <c r="L548" s="21">
        <v>121.78</v>
      </c>
      <c r="M548" s="22">
        <v>0.28000000000000003</v>
      </c>
      <c r="N548" s="21">
        <f t="shared" si="44"/>
        <v>87.681600000000003</v>
      </c>
      <c r="O548" s="21">
        <v>350.73</v>
      </c>
      <c r="P548" s="19" t="s">
        <v>4</v>
      </c>
      <c r="Q548" s="23">
        <v>8</v>
      </c>
      <c r="R548" s="45">
        <v>2.2000000000000002</v>
      </c>
    </row>
    <row r="549" spans="2:18" x14ac:dyDescent="0.2">
      <c r="B549" s="25">
        <v>546</v>
      </c>
      <c r="C549" s="18">
        <v>44376</v>
      </c>
      <c r="D549" s="24">
        <f t="shared" si="40"/>
        <v>2021</v>
      </c>
      <c r="E549" s="24" t="str">
        <f t="shared" si="41"/>
        <v>Q2</v>
      </c>
      <c r="F549" s="24" t="str">
        <f t="shared" si="42"/>
        <v>Jun</v>
      </c>
      <c r="G549" s="24">
        <f t="shared" si="43"/>
        <v>6</v>
      </c>
      <c r="H549" s="19">
        <v>1882</v>
      </c>
      <c r="I549" s="19" t="s">
        <v>7</v>
      </c>
      <c r="J549" s="19" t="s">
        <v>9</v>
      </c>
      <c r="K549" s="20">
        <v>2</v>
      </c>
      <c r="L549" s="21">
        <v>226.24</v>
      </c>
      <c r="M549" s="22">
        <v>0.22</v>
      </c>
      <c r="N549" s="21">
        <f t="shared" si="44"/>
        <v>176.46719999999999</v>
      </c>
      <c r="O549" s="21">
        <v>352.93</v>
      </c>
      <c r="P549" s="19" t="s">
        <v>4</v>
      </c>
      <c r="Q549" s="23">
        <v>1</v>
      </c>
      <c r="R549" s="45">
        <v>4.4000000000000004</v>
      </c>
    </row>
    <row r="550" spans="2:18" x14ac:dyDescent="0.2">
      <c r="B550" s="25">
        <v>547</v>
      </c>
      <c r="C550" s="18">
        <v>44377</v>
      </c>
      <c r="D550" s="24">
        <f t="shared" si="40"/>
        <v>2021</v>
      </c>
      <c r="E550" s="24" t="str">
        <f t="shared" si="41"/>
        <v>Q2</v>
      </c>
      <c r="F550" s="24" t="str">
        <f t="shared" si="42"/>
        <v>Jun</v>
      </c>
      <c r="G550" s="24">
        <f t="shared" si="43"/>
        <v>6</v>
      </c>
      <c r="H550" s="19">
        <v>1470</v>
      </c>
      <c r="I550" s="19" t="s">
        <v>0</v>
      </c>
      <c r="J550" s="19" t="s">
        <v>5</v>
      </c>
      <c r="K550" s="20">
        <v>1</v>
      </c>
      <c r="L550" s="21">
        <v>455.43</v>
      </c>
      <c r="M550" s="22">
        <v>0.05</v>
      </c>
      <c r="N550" s="21">
        <f t="shared" si="44"/>
        <v>432.6585</v>
      </c>
      <c r="O550" s="21">
        <v>432.66</v>
      </c>
      <c r="P550" s="19" t="s">
        <v>4</v>
      </c>
      <c r="Q550" s="23">
        <v>5</v>
      </c>
      <c r="R550" s="45">
        <v>2.6</v>
      </c>
    </row>
    <row r="551" spans="2:18" x14ac:dyDescent="0.2">
      <c r="B551" s="25">
        <v>548</v>
      </c>
      <c r="C551" s="18">
        <v>44378</v>
      </c>
      <c r="D551" s="24">
        <f t="shared" si="40"/>
        <v>2021</v>
      </c>
      <c r="E551" s="24" t="str">
        <f t="shared" si="41"/>
        <v>Q3</v>
      </c>
      <c r="F551" s="24" t="str">
        <f t="shared" si="42"/>
        <v>Jul</v>
      </c>
      <c r="G551" s="24">
        <f t="shared" si="43"/>
        <v>7</v>
      </c>
      <c r="H551" s="19">
        <v>1142</v>
      </c>
      <c r="I551" s="19" t="s">
        <v>10</v>
      </c>
      <c r="J551" s="19" t="s">
        <v>5</v>
      </c>
      <c r="K551" s="20">
        <v>3</v>
      </c>
      <c r="L551" s="21">
        <v>399.8</v>
      </c>
      <c r="M551" s="22">
        <v>0.13</v>
      </c>
      <c r="N551" s="21">
        <f t="shared" si="44"/>
        <v>347.82600000000002</v>
      </c>
      <c r="O551" s="21">
        <v>1043.48</v>
      </c>
      <c r="P551" s="19" t="s">
        <v>4</v>
      </c>
      <c r="Q551" s="23">
        <v>10</v>
      </c>
      <c r="R551" s="45">
        <v>2.9</v>
      </c>
    </row>
    <row r="552" spans="2:18" x14ac:dyDescent="0.2">
      <c r="B552" s="25">
        <v>549</v>
      </c>
      <c r="C552" s="18">
        <v>44379</v>
      </c>
      <c r="D552" s="24">
        <f t="shared" si="40"/>
        <v>2021</v>
      </c>
      <c r="E552" s="24" t="str">
        <f t="shared" si="41"/>
        <v>Q3</v>
      </c>
      <c r="F552" s="24" t="str">
        <f t="shared" si="42"/>
        <v>Jul</v>
      </c>
      <c r="G552" s="24">
        <f t="shared" si="43"/>
        <v>7</v>
      </c>
      <c r="H552" s="19">
        <v>1091</v>
      </c>
      <c r="I552" s="19" t="s">
        <v>7</v>
      </c>
      <c r="J552" s="19" t="s">
        <v>1</v>
      </c>
      <c r="K552" s="20">
        <v>2</v>
      </c>
      <c r="L552" s="21">
        <v>354.96</v>
      </c>
      <c r="M552" s="22">
        <v>0.28000000000000003</v>
      </c>
      <c r="N552" s="21">
        <f t="shared" si="44"/>
        <v>255.57119999999998</v>
      </c>
      <c r="O552" s="21">
        <v>511.14</v>
      </c>
      <c r="P552" s="19" t="s">
        <v>4</v>
      </c>
      <c r="Q552" s="23">
        <v>11</v>
      </c>
      <c r="R552" s="45">
        <v>4.4000000000000004</v>
      </c>
    </row>
    <row r="553" spans="2:18" x14ac:dyDescent="0.2">
      <c r="B553" s="25">
        <v>550</v>
      </c>
      <c r="C553" s="18">
        <v>44380</v>
      </c>
      <c r="D553" s="24">
        <f t="shared" si="40"/>
        <v>2021</v>
      </c>
      <c r="E553" s="24" t="str">
        <f t="shared" si="41"/>
        <v>Q3</v>
      </c>
      <c r="F553" s="24" t="str">
        <f t="shared" si="42"/>
        <v>Jul</v>
      </c>
      <c r="G553" s="24">
        <f t="shared" si="43"/>
        <v>7</v>
      </c>
      <c r="H553" s="19">
        <v>1353</v>
      </c>
      <c r="I553" s="19" t="s">
        <v>7</v>
      </c>
      <c r="J553" s="19" t="s">
        <v>8</v>
      </c>
      <c r="K553" s="20">
        <v>6</v>
      </c>
      <c r="L553" s="21">
        <v>324.99</v>
      </c>
      <c r="M553" s="22">
        <v>0.2</v>
      </c>
      <c r="N553" s="21">
        <f t="shared" si="44"/>
        <v>259.99200000000002</v>
      </c>
      <c r="O553" s="21">
        <v>1559.95</v>
      </c>
      <c r="P553" s="19" t="s">
        <v>6</v>
      </c>
      <c r="Q553" s="23">
        <v>4</v>
      </c>
      <c r="R553" s="45">
        <v>1.4</v>
      </c>
    </row>
    <row r="554" spans="2:18" x14ac:dyDescent="0.2">
      <c r="B554" s="25">
        <v>551</v>
      </c>
      <c r="C554" s="18">
        <v>44381</v>
      </c>
      <c r="D554" s="24">
        <f t="shared" si="40"/>
        <v>2021</v>
      </c>
      <c r="E554" s="24" t="str">
        <f t="shared" si="41"/>
        <v>Q3</v>
      </c>
      <c r="F554" s="24" t="str">
        <f t="shared" si="42"/>
        <v>Jul</v>
      </c>
      <c r="G554" s="24">
        <f t="shared" si="43"/>
        <v>7</v>
      </c>
      <c r="H554" s="19">
        <v>1833</v>
      </c>
      <c r="I554" s="19" t="s">
        <v>7</v>
      </c>
      <c r="J554" s="19" t="s">
        <v>5</v>
      </c>
      <c r="K554" s="20">
        <v>1</v>
      </c>
      <c r="L554" s="21">
        <v>508.41</v>
      </c>
      <c r="M554" s="22">
        <v>0.04</v>
      </c>
      <c r="N554" s="21">
        <f t="shared" si="44"/>
        <v>488.0736</v>
      </c>
      <c r="O554" s="21">
        <v>488.07</v>
      </c>
      <c r="P554" s="19" t="s">
        <v>4</v>
      </c>
      <c r="Q554" s="23">
        <v>7</v>
      </c>
      <c r="R554" s="45">
        <v>2.6</v>
      </c>
    </row>
    <row r="555" spans="2:18" x14ac:dyDescent="0.2">
      <c r="B555" s="25">
        <v>552</v>
      </c>
      <c r="C555" s="18">
        <v>44382</v>
      </c>
      <c r="D555" s="24">
        <f t="shared" si="40"/>
        <v>2021</v>
      </c>
      <c r="E555" s="24" t="str">
        <f t="shared" si="41"/>
        <v>Q3</v>
      </c>
      <c r="F555" s="24" t="str">
        <f t="shared" si="42"/>
        <v>Jul</v>
      </c>
      <c r="G555" s="24">
        <f t="shared" si="43"/>
        <v>7</v>
      </c>
      <c r="H555" s="19">
        <v>1799</v>
      </c>
      <c r="I555" s="19" t="s">
        <v>7</v>
      </c>
      <c r="J555" s="19" t="s">
        <v>9</v>
      </c>
      <c r="K555" s="20">
        <v>3</v>
      </c>
      <c r="L555" s="21">
        <v>152.44</v>
      </c>
      <c r="M555" s="22">
        <v>0.13</v>
      </c>
      <c r="N555" s="21">
        <f t="shared" si="44"/>
        <v>132.62279999999998</v>
      </c>
      <c r="O555" s="21">
        <v>397.87</v>
      </c>
      <c r="P555" s="19" t="s">
        <v>2</v>
      </c>
      <c r="Q555" s="23">
        <v>11</v>
      </c>
      <c r="R555" s="45">
        <v>2.6</v>
      </c>
    </row>
    <row r="556" spans="2:18" x14ac:dyDescent="0.2">
      <c r="B556" s="25">
        <v>553</v>
      </c>
      <c r="C556" s="18">
        <v>44383</v>
      </c>
      <c r="D556" s="24">
        <f t="shared" si="40"/>
        <v>2021</v>
      </c>
      <c r="E556" s="24" t="str">
        <f t="shared" si="41"/>
        <v>Q3</v>
      </c>
      <c r="F556" s="24" t="str">
        <f t="shared" si="42"/>
        <v>Jul</v>
      </c>
      <c r="G556" s="24">
        <f t="shared" si="43"/>
        <v>7</v>
      </c>
      <c r="H556" s="19">
        <v>1726</v>
      </c>
      <c r="I556" s="19" t="s">
        <v>7</v>
      </c>
      <c r="J556" s="19" t="s">
        <v>8</v>
      </c>
      <c r="K556" s="20">
        <v>5</v>
      </c>
      <c r="L556" s="21">
        <v>273.85000000000002</v>
      </c>
      <c r="M556" s="22">
        <v>0.08</v>
      </c>
      <c r="N556" s="21">
        <f t="shared" si="44"/>
        <v>251.94200000000001</v>
      </c>
      <c r="O556" s="21">
        <v>1259.71</v>
      </c>
      <c r="P556" s="19" t="s">
        <v>4</v>
      </c>
      <c r="Q556" s="23">
        <v>8</v>
      </c>
      <c r="R556" s="45">
        <v>3</v>
      </c>
    </row>
    <row r="557" spans="2:18" x14ac:dyDescent="0.2">
      <c r="B557" s="25">
        <v>554</v>
      </c>
      <c r="C557" s="18">
        <v>44384</v>
      </c>
      <c r="D557" s="24">
        <f t="shared" si="40"/>
        <v>2021</v>
      </c>
      <c r="E557" s="24" t="str">
        <f t="shared" si="41"/>
        <v>Q3</v>
      </c>
      <c r="F557" s="24" t="str">
        <f t="shared" si="42"/>
        <v>Jul</v>
      </c>
      <c r="G557" s="24">
        <f t="shared" si="43"/>
        <v>7</v>
      </c>
      <c r="H557" s="19">
        <v>1958</v>
      </c>
      <c r="I557" s="19" t="s">
        <v>7</v>
      </c>
      <c r="J557" s="19" t="s">
        <v>8</v>
      </c>
      <c r="K557" s="20">
        <v>7</v>
      </c>
      <c r="L557" s="21">
        <v>105.94</v>
      </c>
      <c r="M557" s="22">
        <v>0.18</v>
      </c>
      <c r="N557" s="21">
        <f t="shared" si="44"/>
        <v>86.870800000000003</v>
      </c>
      <c r="O557" s="21">
        <v>608.1</v>
      </c>
      <c r="P557" s="19" t="s">
        <v>6</v>
      </c>
      <c r="Q557" s="23">
        <v>10</v>
      </c>
      <c r="R557" s="45">
        <v>1.4</v>
      </c>
    </row>
    <row r="558" spans="2:18" x14ac:dyDescent="0.2">
      <c r="B558" s="25">
        <v>555</v>
      </c>
      <c r="C558" s="18">
        <v>44385</v>
      </c>
      <c r="D558" s="24">
        <f t="shared" si="40"/>
        <v>2021</v>
      </c>
      <c r="E558" s="24" t="str">
        <f t="shared" si="41"/>
        <v>Q3</v>
      </c>
      <c r="F558" s="24" t="str">
        <f t="shared" si="42"/>
        <v>Jul</v>
      </c>
      <c r="G558" s="24">
        <f t="shared" si="43"/>
        <v>7</v>
      </c>
      <c r="H558" s="19">
        <v>1853</v>
      </c>
      <c r="I558" s="19" t="s">
        <v>3</v>
      </c>
      <c r="J558" s="19" t="s">
        <v>5</v>
      </c>
      <c r="K558" s="20">
        <v>3</v>
      </c>
      <c r="L558" s="21">
        <v>363.63</v>
      </c>
      <c r="M558" s="22">
        <v>0.3</v>
      </c>
      <c r="N558" s="21">
        <f t="shared" si="44"/>
        <v>254.541</v>
      </c>
      <c r="O558" s="21">
        <v>763.62</v>
      </c>
      <c r="P558" s="19" t="s">
        <v>6</v>
      </c>
      <c r="Q558" s="23">
        <v>11</v>
      </c>
      <c r="R558" s="45">
        <v>1.4</v>
      </c>
    </row>
    <row r="559" spans="2:18" x14ac:dyDescent="0.2">
      <c r="B559" s="25">
        <v>556</v>
      </c>
      <c r="C559" s="18">
        <v>44386</v>
      </c>
      <c r="D559" s="24">
        <f t="shared" si="40"/>
        <v>2021</v>
      </c>
      <c r="E559" s="24" t="str">
        <f t="shared" si="41"/>
        <v>Q3</v>
      </c>
      <c r="F559" s="24" t="str">
        <f t="shared" si="42"/>
        <v>Jul</v>
      </c>
      <c r="G559" s="24">
        <f t="shared" si="43"/>
        <v>7</v>
      </c>
      <c r="H559" s="19">
        <v>1050</v>
      </c>
      <c r="I559" s="19" t="s">
        <v>10</v>
      </c>
      <c r="J559" s="19" t="s">
        <v>1</v>
      </c>
      <c r="K559" s="20">
        <v>6</v>
      </c>
      <c r="L559" s="21">
        <v>161.57</v>
      </c>
      <c r="M559" s="22">
        <v>0.15</v>
      </c>
      <c r="N559" s="21">
        <f t="shared" si="44"/>
        <v>137.33449999999999</v>
      </c>
      <c r="O559" s="21">
        <v>824.01</v>
      </c>
      <c r="P559" s="19" t="s">
        <v>2</v>
      </c>
      <c r="Q559" s="23">
        <v>8</v>
      </c>
      <c r="R559" s="45">
        <v>2.7</v>
      </c>
    </row>
    <row r="560" spans="2:18" x14ac:dyDescent="0.2">
      <c r="B560" s="25">
        <v>557</v>
      </c>
      <c r="C560" s="18">
        <v>44387</v>
      </c>
      <c r="D560" s="24">
        <f t="shared" si="40"/>
        <v>2021</v>
      </c>
      <c r="E560" s="24" t="str">
        <f t="shared" si="41"/>
        <v>Q3</v>
      </c>
      <c r="F560" s="24" t="str">
        <f t="shared" si="42"/>
        <v>Jul</v>
      </c>
      <c r="G560" s="24">
        <f t="shared" si="43"/>
        <v>7</v>
      </c>
      <c r="H560" s="19">
        <v>1664</v>
      </c>
      <c r="I560" s="19" t="s">
        <v>3</v>
      </c>
      <c r="J560" s="19" t="s">
        <v>8</v>
      </c>
      <c r="K560" s="20">
        <v>5</v>
      </c>
      <c r="L560" s="21">
        <v>210.3</v>
      </c>
      <c r="M560" s="22">
        <v>0.15</v>
      </c>
      <c r="N560" s="21">
        <f t="shared" si="44"/>
        <v>178.755</v>
      </c>
      <c r="O560" s="21">
        <v>893.78</v>
      </c>
      <c r="P560" s="19" t="s">
        <v>6</v>
      </c>
      <c r="Q560" s="23">
        <v>2</v>
      </c>
      <c r="R560" s="45">
        <v>1.1000000000000001</v>
      </c>
    </row>
    <row r="561" spans="2:18" x14ac:dyDescent="0.2">
      <c r="B561" s="25">
        <v>558</v>
      </c>
      <c r="C561" s="18">
        <v>44388</v>
      </c>
      <c r="D561" s="24">
        <f t="shared" si="40"/>
        <v>2021</v>
      </c>
      <c r="E561" s="24" t="str">
        <f t="shared" si="41"/>
        <v>Q3</v>
      </c>
      <c r="F561" s="24" t="str">
        <f t="shared" si="42"/>
        <v>Jul</v>
      </c>
      <c r="G561" s="24">
        <f t="shared" si="43"/>
        <v>7</v>
      </c>
      <c r="H561" s="19">
        <v>1697</v>
      </c>
      <c r="I561" s="19" t="s">
        <v>10</v>
      </c>
      <c r="J561" s="19" t="s">
        <v>1</v>
      </c>
      <c r="K561" s="20">
        <v>5</v>
      </c>
      <c r="L561" s="21">
        <v>290.68</v>
      </c>
      <c r="M561" s="22">
        <v>0.32</v>
      </c>
      <c r="N561" s="21">
        <f t="shared" si="44"/>
        <v>197.66239999999999</v>
      </c>
      <c r="O561" s="21">
        <v>988.31</v>
      </c>
      <c r="P561" s="19" t="s">
        <v>4</v>
      </c>
      <c r="Q561" s="23">
        <v>3</v>
      </c>
      <c r="R561" s="45">
        <v>2</v>
      </c>
    </row>
    <row r="562" spans="2:18" x14ac:dyDescent="0.2">
      <c r="B562" s="25">
        <v>559</v>
      </c>
      <c r="C562" s="18">
        <v>44389</v>
      </c>
      <c r="D562" s="24">
        <f t="shared" si="40"/>
        <v>2021</v>
      </c>
      <c r="E562" s="24" t="str">
        <f t="shared" si="41"/>
        <v>Q3</v>
      </c>
      <c r="F562" s="24" t="str">
        <f t="shared" si="42"/>
        <v>Jul</v>
      </c>
      <c r="G562" s="24">
        <f t="shared" si="43"/>
        <v>7</v>
      </c>
      <c r="H562" s="19">
        <v>1574</v>
      </c>
      <c r="I562" s="19" t="s">
        <v>7</v>
      </c>
      <c r="J562" s="19" t="s">
        <v>5</v>
      </c>
      <c r="K562" s="20">
        <v>5</v>
      </c>
      <c r="L562" s="21">
        <v>30.66</v>
      </c>
      <c r="M562" s="22">
        <v>0.2</v>
      </c>
      <c r="N562" s="21">
        <f t="shared" si="44"/>
        <v>24.527999999999999</v>
      </c>
      <c r="O562" s="21">
        <v>122.64</v>
      </c>
      <c r="P562" s="19" t="s">
        <v>2</v>
      </c>
      <c r="Q562" s="23">
        <v>10</v>
      </c>
      <c r="R562" s="45">
        <v>1.8</v>
      </c>
    </row>
    <row r="563" spans="2:18" x14ac:dyDescent="0.2">
      <c r="B563" s="25">
        <v>560</v>
      </c>
      <c r="C563" s="18">
        <v>44390</v>
      </c>
      <c r="D563" s="24">
        <f t="shared" si="40"/>
        <v>2021</v>
      </c>
      <c r="E563" s="24" t="str">
        <f t="shared" si="41"/>
        <v>Q3</v>
      </c>
      <c r="F563" s="24" t="str">
        <f t="shared" si="42"/>
        <v>Jul</v>
      </c>
      <c r="G563" s="24">
        <f t="shared" si="43"/>
        <v>7</v>
      </c>
      <c r="H563" s="19">
        <v>1189</v>
      </c>
      <c r="I563" s="19" t="s">
        <v>0</v>
      </c>
      <c r="J563" s="19" t="s">
        <v>9</v>
      </c>
      <c r="K563" s="20">
        <v>4</v>
      </c>
      <c r="L563" s="21">
        <v>68.78</v>
      </c>
      <c r="M563" s="22">
        <v>0.2</v>
      </c>
      <c r="N563" s="21">
        <f t="shared" si="44"/>
        <v>55.024000000000001</v>
      </c>
      <c r="O563" s="21">
        <v>220.1</v>
      </c>
      <c r="P563" s="19" t="s">
        <v>4</v>
      </c>
      <c r="Q563" s="23">
        <v>10</v>
      </c>
      <c r="R563" s="45">
        <v>3</v>
      </c>
    </row>
    <row r="564" spans="2:18" x14ac:dyDescent="0.2">
      <c r="B564" s="25">
        <v>561</v>
      </c>
      <c r="C564" s="18">
        <v>44391</v>
      </c>
      <c r="D564" s="24">
        <f t="shared" si="40"/>
        <v>2021</v>
      </c>
      <c r="E564" s="24" t="str">
        <f t="shared" si="41"/>
        <v>Q3</v>
      </c>
      <c r="F564" s="24" t="str">
        <f t="shared" si="42"/>
        <v>Jul</v>
      </c>
      <c r="G564" s="24">
        <f t="shared" si="43"/>
        <v>7</v>
      </c>
      <c r="H564" s="19">
        <v>1124</v>
      </c>
      <c r="I564" s="19" t="s">
        <v>10</v>
      </c>
      <c r="J564" s="19" t="s">
        <v>8</v>
      </c>
      <c r="K564" s="20">
        <v>4</v>
      </c>
      <c r="L564" s="21">
        <v>416.27</v>
      </c>
      <c r="M564" s="22">
        <v>0.09</v>
      </c>
      <c r="N564" s="21">
        <f t="shared" si="44"/>
        <v>378.8057</v>
      </c>
      <c r="O564" s="21">
        <v>1515.22</v>
      </c>
      <c r="P564" s="19" t="s">
        <v>4</v>
      </c>
      <c r="Q564" s="23">
        <v>7</v>
      </c>
      <c r="R564" s="45">
        <v>1</v>
      </c>
    </row>
    <row r="565" spans="2:18" x14ac:dyDescent="0.2">
      <c r="B565" s="25">
        <v>562</v>
      </c>
      <c r="C565" s="18">
        <v>44392</v>
      </c>
      <c r="D565" s="24">
        <f t="shared" si="40"/>
        <v>2021</v>
      </c>
      <c r="E565" s="24" t="str">
        <f t="shared" si="41"/>
        <v>Q3</v>
      </c>
      <c r="F565" s="24" t="str">
        <f t="shared" si="42"/>
        <v>Jul</v>
      </c>
      <c r="G565" s="24">
        <f t="shared" si="43"/>
        <v>7</v>
      </c>
      <c r="H565" s="19">
        <v>1149</v>
      </c>
      <c r="I565" s="19" t="s">
        <v>10</v>
      </c>
      <c r="J565" s="19" t="s">
        <v>9</v>
      </c>
      <c r="K565" s="20">
        <v>7</v>
      </c>
      <c r="L565" s="21">
        <v>265.95</v>
      </c>
      <c r="M565" s="22">
        <v>0.21</v>
      </c>
      <c r="N565" s="21">
        <f t="shared" si="44"/>
        <v>210.10049999999998</v>
      </c>
      <c r="O565" s="21">
        <v>1470.7</v>
      </c>
      <c r="P565" s="19" t="s">
        <v>4</v>
      </c>
      <c r="Q565" s="23">
        <v>4</v>
      </c>
      <c r="R565" s="45">
        <v>3.7</v>
      </c>
    </row>
    <row r="566" spans="2:18" x14ac:dyDescent="0.2">
      <c r="B566" s="25">
        <v>563</v>
      </c>
      <c r="C566" s="18">
        <v>44393</v>
      </c>
      <c r="D566" s="24">
        <f t="shared" si="40"/>
        <v>2021</v>
      </c>
      <c r="E566" s="24" t="str">
        <f t="shared" si="41"/>
        <v>Q3</v>
      </c>
      <c r="F566" s="24" t="str">
        <f t="shared" si="42"/>
        <v>Jul</v>
      </c>
      <c r="G566" s="24">
        <f t="shared" si="43"/>
        <v>7</v>
      </c>
      <c r="H566" s="19">
        <v>1313</v>
      </c>
      <c r="I566" s="19" t="s">
        <v>10</v>
      </c>
      <c r="J566" s="19" t="s">
        <v>1</v>
      </c>
      <c r="K566" s="20">
        <v>5</v>
      </c>
      <c r="L566" s="21">
        <v>520.9</v>
      </c>
      <c r="M566" s="22">
        <v>0.2</v>
      </c>
      <c r="N566" s="21">
        <f t="shared" si="44"/>
        <v>416.71999999999997</v>
      </c>
      <c r="O566" s="21">
        <v>2083.6</v>
      </c>
      <c r="P566" s="19" t="s">
        <v>6</v>
      </c>
      <c r="Q566" s="23">
        <v>6</v>
      </c>
      <c r="R566" s="45">
        <v>4.4000000000000004</v>
      </c>
    </row>
    <row r="567" spans="2:18" x14ac:dyDescent="0.2">
      <c r="B567" s="25">
        <v>564</v>
      </c>
      <c r="C567" s="18">
        <v>44394</v>
      </c>
      <c r="D567" s="24">
        <f t="shared" si="40"/>
        <v>2021</v>
      </c>
      <c r="E567" s="24" t="str">
        <f t="shared" si="41"/>
        <v>Q3</v>
      </c>
      <c r="F567" s="24" t="str">
        <f t="shared" si="42"/>
        <v>Jul</v>
      </c>
      <c r="G567" s="24">
        <f t="shared" si="43"/>
        <v>7</v>
      </c>
      <c r="H567" s="19">
        <v>1569</v>
      </c>
      <c r="I567" s="19" t="s">
        <v>0</v>
      </c>
      <c r="J567" s="19" t="s">
        <v>1</v>
      </c>
      <c r="K567" s="20">
        <v>7</v>
      </c>
      <c r="L567" s="21">
        <v>421.38</v>
      </c>
      <c r="M567" s="22">
        <v>0.14000000000000001</v>
      </c>
      <c r="N567" s="21">
        <f t="shared" si="44"/>
        <v>362.38679999999999</v>
      </c>
      <c r="O567" s="21">
        <v>2536.71</v>
      </c>
      <c r="P567" s="19" t="s">
        <v>4</v>
      </c>
      <c r="Q567" s="23">
        <v>8</v>
      </c>
      <c r="R567" s="45">
        <v>3.8</v>
      </c>
    </row>
    <row r="568" spans="2:18" x14ac:dyDescent="0.2">
      <c r="B568" s="25">
        <v>565</v>
      </c>
      <c r="C568" s="18">
        <v>44395</v>
      </c>
      <c r="D568" s="24">
        <f t="shared" si="40"/>
        <v>2021</v>
      </c>
      <c r="E568" s="24" t="str">
        <f t="shared" si="41"/>
        <v>Q3</v>
      </c>
      <c r="F568" s="24" t="str">
        <f t="shared" si="42"/>
        <v>Jul</v>
      </c>
      <c r="G568" s="24">
        <f t="shared" si="43"/>
        <v>7</v>
      </c>
      <c r="H568" s="19">
        <v>1341</v>
      </c>
      <c r="I568" s="19" t="s">
        <v>3</v>
      </c>
      <c r="J568" s="19" t="s">
        <v>9</v>
      </c>
      <c r="K568" s="20">
        <v>1</v>
      </c>
      <c r="L568" s="21">
        <v>19.739999999999998</v>
      </c>
      <c r="M568" s="22">
        <v>0.35</v>
      </c>
      <c r="N568" s="21">
        <f t="shared" si="44"/>
        <v>12.831</v>
      </c>
      <c r="O568" s="21">
        <v>12.83</v>
      </c>
      <c r="P568" s="19" t="s">
        <v>6</v>
      </c>
      <c r="Q568" s="23">
        <v>8</v>
      </c>
      <c r="R568" s="45">
        <v>4.3</v>
      </c>
    </row>
    <row r="569" spans="2:18" x14ac:dyDescent="0.2">
      <c r="B569" s="25">
        <v>566</v>
      </c>
      <c r="C569" s="18">
        <v>44396</v>
      </c>
      <c r="D569" s="24">
        <f t="shared" si="40"/>
        <v>2021</v>
      </c>
      <c r="E569" s="24" t="str">
        <f t="shared" si="41"/>
        <v>Q3</v>
      </c>
      <c r="F569" s="24" t="str">
        <f t="shared" si="42"/>
        <v>Jul</v>
      </c>
      <c r="G569" s="24">
        <f t="shared" si="43"/>
        <v>7</v>
      </c>
      <c r="H569" s="19">
        <v>1304</v>
      </c>
      <c r="I569" s="19" t="s">
        <v>7</v>
      </c>
      <c r="J569" s="19" t="s">
        <v>5</v>
      </c>
      <c r="K569" s="20">
        <v>5</v>
      </c>
      <c r="L569" s="21">
        <v>375.78</v>
      </c>
      <c r="M569" s="22">
        <v>0.31</v>
      </c>
      <c r="N569" s="21">
        <f t="shared" si="44"/>
        <v>259.28819999999996</v>
      </c>
      <c r="O569" s="21">
        <v>1296.44</v>
      </c>
      <c r="P569" s="19" t="s">
        <v>6</v>
      </c>
      <c r="Q569" s="23">
        <v>7</v>
      </c>
      <c r="R569" s="45">
        <v>3.6</v>
      </c>
    </row>
    <row r="570" spans="2:18" x14ac:dyDescent="0.2">
      <c r="B570" s="25">
        <v>567</v>
      </c>
      <c r="C570" s="18">
        <v>44397</v>
      </c>
      <c r="D570" s="24">
        <f t="shared" si="40"/>
        <v>2021</v>
      </c>
      <c r="E570" s="24" t="str">
        <f t="shared" si="41"/>
        <v>Q3</v>
      </c>
      <c r="F570" s="24" t="str">
        <f t="shared" si="42"/>
        <v>Jul</v>
      </c>
      <c r="G570" s="24">
        <f t="shared" si="43"/>
        <v>7</v>
      </c>
      <c r="H570" s="19">
        <v>1691</v>
      </c>
      <c r="I570" s="19" t="s">
        <v>3</v>
      </c>
      <c r="J570" s="19" t="s">
        <v>5</v>
      </c>
      <c r="K570" s="20">
        <v>2</v>
      </c>
      <c r="L570" s="21">
        <v>69.83</v>
      </c>
      <c r="M570" s="22">
        <v>0.26</v>
      </c>
      <c r="N570" s="21">
        <f t="shared" si="44"/>
        <v>51.674199999999999</v>
      </c>
      <c r="O570" s="21">
        <v>103.35</v>
      </c>
      <c r="P570" s="19" t="s">
        <v>2</v>
      </c>
      <c r="Q570" s="23">
        <v>2</v>
      </c>
      <c r="R570" s="45">
        <v>3</v>
      </c>
    </row>
    <row r="571" spans="2:18" x14ac:dyDescent="0.2">
      <c r="B571" s="25">
        <v>568</v>
      </c>
      <c r="C571" s="18">
        <v>44398</v>
      </c>
      <c r="D571" s="24">
        <f t="shared" si="40"/>
        <v>2021</v>
      </c>
      <c r="E571" s="24" t="str">
        <f t="shared" si="41"/>
        <v>Q3</v>
      </c>
      <c r="F571" s="24" t="str">
        <f t="shared" si="42"/>
        <v>Jul</v>
      </c>
      <c r="G571" s="24">
        <f t="shared" si="43"/>
        <v>7</v>
      </c>
      <c r="H571" s="19">
        <v>1681</v>
      </c>
      <c r="I571" s="19" t="s">
        <v>10</v>
      </c>
      <c r="J571" s="19" t="s">
        <v>8</v>
      </c>
      <c r="K571" s="20">
        <v>5</v>
      </c>
      <c r="L571" s="21">
        <v>471.85</v>
      </c>
      <c r="M571" s="22">
        <v>0.19</v>
      </c>
      <c r="N571" s="21">
        <f t="shared" si="44"/>
        <v>382.19850000000002</v>
      </c>
      <c r="O571" s="21">
        <v>1910.99</v>
      </c>
      <c r="P571" s="19" t="s">
        <v>4</v>
      </c>
      <c r="Q571" s="23">
        <v>2</v>
      </c>
      <c r="R571" s="45">
        <v>1.9</v>
      </c>
    </row>
    <row r="572" spans="2:18" x14ac:dyDescent="0.2">
      <c r="B572" s="25">
        <v>569</v>
      </c>
      <c r="C572" s="18">
        <v>44399</v>
      </c>
      <c r="D572" s="24">
        <f t="shared" si="40"/>
        <v>2021</v>
      </c>
      <c r="E572" s="24" t="str">
        <f t="shared" si="41"/>
        <v>Q3</v>
      </c>
      <c r="F572" s="24" t="str">
        <f t="shared" si="42"/>
        <v>Jul</v>
      </c>
      <c r="G572" s="24">
        <f t="shared" si="43"/>
        <v>7</v>
      </c>
      <c r="H572" s="19">
        <v>1837</v>
      </c>
      <c r="I572" s="19" t="s">
        <v>10</v>
      </c>
      <c r="J572" s="19" t="s">
        <v>8</v>
      </c>
      <c r="K572" s="20">
        <v>4</v>
      </c>
      <c r="L572" s="21">
        <v>595.03</v>
      </c>
      <c r="M572" s="22">
        <v>0.16</v>
      </c>
      <c r="N572" s="21">
        <f t="shared" si="44"/>
        <v>499.8252</v>
      </c>
      <c r="O572" s="21">
        <v>1999.3</v>
      </c>
      <c r="P572" s="19" t="s">
        <v>4</v>
      </c>
      <c r="Q572" s="23">
        <v>3</v>
      </c>
      <c r="R572" s="45">
        <v>2.1</v>
      </c>
    </row>
    <row r="573" spans="2:18" x14ac:dyDescent="0.2">
      <c r="B573" s="25">
        <v>570</v>
      </c>
      <c r="C573" s="18">
        <v>44400</v>
      </c>
      <c r="D573" s="24">
        <f t="shared" si="40"/>
        <v>2021</v>
      </c>
      <c r="E573" s="24" t="str">
        <f t="shared" si="41"/>
        <v>Q3</v>
      </c>
      <c r="F573" s="24" t="str">
        <f t="shared" si="42"/>
        <v>Jul</v>
      </c>
      <c r="G573" s="24">
        <f t="shared" si="43"/>
        <v>7</v>
      </c>
      <c r="H573" s="19">
        <v>1782</v>
      </c>
      <c r="I573" s="19" t="s">
        <v>3</v>
      </c>
      <c r="J573" s="19" t="s">
        <v>5</v>
      </c>
      <c r="K573" s="20">
        <v>4</v>
      </c>
      <c r="L573" s="21">
        <v>325.75</v>
      </c>
      <c r="M573" s="22">
        <v>0.06</v>
      </c>
      <c r="N573" s="21">
        <f t="shared" si="44"/>
        <v>306.20499999999998</v>
      </c>
      <c r="O573" s="21">
        <v>1224.82</v>
      </c>
      <c r="P573" s="19" t="s">
        <v>4</v>
      </c>
      <c r="Q573" s="23">
        <v>4</v>
      </c>
      <c r="R573" s="45">
        <v>2.2999999999999998</v>
      </c>
    </row>
    <row r="574" spans="2:18" x14ac:dyDescent="0.2">
      <c r="B574" s="25">
        <v>571</v>
      </c>
      <c r="C574" s="18">
        <v>44401</v>
      </c>
      <c r="D574" s="24">
        <f t="shared" si="40"/>
        <v>2021</v>
      </c>
      <c r="E574" s="24" t="str">
        <f t="shared" si="41"/>
        <v>Q3</v>
      </c>
      <c r="F574" s="24" t="str">
        <f t="shared" si="42"/>
        <v>Jul</v>
      </c>
      <c r="G574" s="24">
        <f t="shared" si="43"/>
        <v>7</v>
      </c>
      <c r="H574" s="19">
        <v>1053</v>
      </c>
      <c r="I574" s="19" t="s">
        <v>7</v>
      </c>
      <c r="J574" s="19" t="s">
        <v>5</v>
      </c>
      <c r="K574" s="20">
        <v>2</v>
      </c>
      <c r="L574" s="21">
        <v>414.43</v>
      </c>
      <c r="M574" s="22">
        <v>0.11</v>
      </c>
      <c r="N574" s="21">
        <f t="shared" si="44"/>
        <v>368.84270000000004</v>
      </c>
      <c r="O574" s="21">
        <v>737.69</v>
      </c>
      <c r="P574" s="19" t="s">
        <v>4</v>
      </c>
      <c r="Q574" s="23">
        <v>1</v>
      </c>
      <c r="R574" s="45">
        <v>1.2</v>
      </c>
    </row>
    <row r="575" spans="2:18" x14ac:dyDescent="0.2">
      <c r="B575" s="25">
        <v>572</v>
      </c>
      <c r="C575" s="18">
        <v>44402</v>
      </c>
      <c r="D575" s="24">
        <f t="shared" si="40"/>
        <v>2021</v>
      </c>
      <c r="E575" s="24" t="str">
        <f t="shared" si="41"/>
        <v>Q3</v>
      </c>
      <c r="F575" s="24" t="str">
        <f t="shared" si="42"/>
        <v>Jul</v>
      </c>
      <c r="G575" s="24">
        <f t="shared" si="43"/>
        <v>7</v>
      </c>
      <c r="H575" s="19">
        <v>1443</v>
      </c>
      <c r="I575" s="19" t="s">
        <v>3</v>
      </c>
      <c r="J575" s="19" t="s">
        <v>9</v>
      </c>
      <c r="K575" s="20">
        <v>2</v>
      </c>
      <c r="L575" s="21">
        <v>153.83000000000001</v>
      </c>
      <c r="M575" s="22">
        <v>0.27</v>
      </c>
      <c r="N575" s="21">
        <f t="shared" si="44"/>
        <v>112.2959</v>
      </c>
      <c r="O575" s="21">
        <v>224.59</v>
      </c>
      <c r="P575" s="19" t="s">
        <v>6</v>
      </c>
      <c r="Q575" s="23">
        <v>5</v>
      </c>
      <c r="R575" s="45">
        <v>4.7</v>
      </c>
    </row>
    <row r="576" spans="2:18" x14ac:dyDescent="0.2">
      <c r="B576" s="25">
        <v>573</v>
      </c>
      <c r="C576" s="18">
        <v>44403</v>
      </c>
      <c r="D576" s="24">
        <f t="shared" si="40"/>
        <v>2021</v>
      </c>
      <c r="E576" s="24" t="str">
        <f t="shared" si="41"/>
        <v>Q3</v>
      </c>
      <c r="F576" s="24" t="str">
        <f t="shared" si="42"/>
        <v>Jul</v>
      </c>
      <c r="G576" s="24">
        <f t="shared" si="43"/>
        <v>7</v>
      </c>
      <c r="H576" s="19">
        <v>1612</v>
      </c>
      <c r="I576" s="19" t="s">
        <v>0</v>
      </c>
      <c r="J576" s="19" t="s">
        <v>1</v>
      </c>
      <c r="K576" s="20">
        <v>3</v>
      </c>
      <c r="L576" s="21">
        <v>270.99</v>
      </c>
      <c r="M576" s="22">
        <v>0.16</v>
      </c>
      <c r="N576" s="21">
        <f t="shared" si="44"/>
        <v>227.63159999999999</v>
      </c>
      <c r="O576" s="21">
        <v>682.89</v>
      </c>
      <c r="P576" s="19" t="s">
        <v>6</v>
      </c>
      <c r="Q576" s="23">
        <v>7</v>
      </c>
      <c r="R576" s="45">
        <v>4.5999999999999996</v>
      </c>
    </row>
    <row r="577" spans="2:18" x14ac:dyDescent="0.2">
      <c r="B577" s="25">
        <v>574</v>
      </c>
      <c r="C577" s="18">
        <v>44404</v>
      </c>
      <c r="D577" s="24">
        <f t="shared" si="40"/>
        <v>2021</v>
      </c>
      <c r="E577" s="24" t="str">
        <f t="shared" si="41"/>
        <v>Q3</v>
      </c>
      <c r="F577" s="24" t="str">
        <f t="shared" si="42"/>
        <v>Jul</v>
      </c>
      <c r="G577" s="24">
        <f t="shared" si="43"/>
        <v>7</v>
      </c>
      <c r="H577" s="19">
        <v>1992</v>
      </c>
      <c r="I577" s="19" t="s">
        <v>3</v>
      </c>
      <c r="J577" s="19" t="s">
        <v>1</v>
      </c>
      <c r="K577" s="20">
        <v>1</v>
      </c>
      <c r="L577" s="21">
        <v>515.82000000000005</v>
      </c>
      <c r="M577" s="22">
        <v>0.31</v>
      </c>
      <c r="N577" s="21">
        <f t="shared" si="44"/>
        <v>355.91580000000005</v>
      </c>
      <c r="O577" s="21">
        <v>355.92</v>
      </c>
      <c r="P577" s="19" t="s">
        <v>6</v>
      </c>
      <c r="Q577" s="23">
        <v>10</v>
      </c>
      <c r="R577" s="45">
        <v>1.4</v>
      </c>
    </row>
    <row r="578" spans="2:18" x14ac:dyDescent="0.2">
      <c r="B578" s="25">
        <v>575</v>
      </c>
      <c r="C578" s="18">
        <v>44405</v>
      </c>
      <c r="D578" s="24">
        <f t="shared" si="40"/>
        <v>2021</v>
      </c>
      <c r="E578" s="24" t="str">
        <f t="shared" si="41"/>
        <v>Q3</v>
      </c>
      <c r="F578" s="24" t="str">
        <f t="shared" si="42"/>
        <v>Jul</v>
      </c>
      <c r="G578" s="24">
        <f t="shared" si="43"/>
        <v>7</v>
      </c>
      <c r="H578" s="19">
        <v>1263</v>
      </c>
      <c r="I578" s="19" t="s">
        <v>3</v>
      </c>
      <c r="J578" s="19" t="s">
        <v>8</v>
      </c>
      <c r="K578" s="20">
        <v>1</v>
      </c>
      <c r="L578" s="21">
        <v>112.94</v>
      </c>
      <c r="M578" s="22">
        <v>0.05</v>
      </c>
      <c r="N578" s="21">
        <f t="shared" si="44"/>
        <v>107.29299999999999</v>
      </c>
      <c r="O578" s="21">
        <v>107.29</v>
      </c>
      <c r="P578" s="19" t="s">
        <v>2</v>
      </c>
      <c r="Q578" s="23">
        <v>11</v>
      </c>
      <c r="R578" s="45">
        <v>3.2</v>
      </c>
    </row>
    <row r="579" spans="2:18" x14ac:dyDescent="0.2">
      <c r="B579" s="25">
        <v>576</v>
      </c>
      <c r="C579" s="18">
        <v>44406</v>
      </c>
      <c r="D579" s="24">
        <f t="shared" si="40"/>
        <v>2021</v>
      </c>
      <c r="E579" s="24" t="str">
        <f t="shared" si="41"/>
        <v>Q3</v>
      </c>
      <c r="F579" s="24" t="str">
        <f t="shared" si="42"/>
        <v>Jul</v>
      </c>
      <c r="G579" s="24">
        <f t="shared" si="43"/>
        <v>7</v>
      </c>
      <c r="H579" s="19">
        <v>1052</v>
      </c>
      <c r="I579" s="19" t="s">
        <v>7</v>
      </c>
      <c r="J579" s="19" t="s">
        <v>5</v>
      </c>
      <c r="K579" s="20">
        <v>1</v>
      </c>
      <c r="L579" s="21">
        <v>170.34</v>
      </c>
      <c r="M579" s="22">
        <v>0.18</v>
      </c>
      <c r="N579" s="21">
        <f t="shared" si="44"/>
        <v>139.6788</v>
      </c>
      <c r="O579" s="21">
        <v>139.68</v>
      </c>
      <c r="P579" s="19" t="s">
        <v>2</v>
      </c>
      <c r="Q579" s="23">
        <v>5</v>
      </c>
      <c r="R579" s="45">
        <v>2.9</v>
      </c>
    </row>
    <row r="580" spans="2:18" x14ac:dyDescent="0.2">
      <c r="B580" s="25">
        <v>577</v>
      </c>
      <c r="C580" s="18">
        <v>44407</v>
      </c>
      <c r="D580" s="24">
        <f t="shared" ref="D580:D643" si="45">YEAR(C580)</f>
        <v>2021</v>
      </c>
      <c r="E580" s="24" t="str">
        <f t="shared" ref="E580:E643" si="46">"Q"&amp;ROUNDUP(MONTH(C580)/3,0)</f>
        <v>Q3</v>
      </c>
      <c r="F580" s="24" t="str">
        <f t="shared" ref="F580:F643" si="47">TEXT(C580,"mmm")</f>
        <v>Jul</v>
      </c>
      <c r="G580" s="24">
        <f t="shared" ref="G580:G643" si="48">MONTH(C580)</f>
        <v>7</v>
      </c>
      <c r="H580" s="19">
        <v>1571</v>
      </c>
      <c r="I580" s="19" t="s">
        <v>3</v>
      </c>
      <c r="J580" s="19" t="s">
        <v>9</v>
      </c>
      <c r="K580" s="20">
        <v>6</v>
      </c>
      <c r="L580" s="21">
        <v>275.58</v>
      </c>
      <c r="M580" s="22">
        <v>0.23</v>
      </c>
      <c r="N580" s="21">
        <f t="shared" si="44"/>
        <v>212.19659999999999</v>
      </c>
      <c r="O580" s="21">
        <v>1273.18</v>
      </c>
      <c r="P580" s="19" t="s">
        <v>4</v>
      </c>
      <c r="Q580" s="23">
        <v>7</v>
      </c>
      <c r="R580" s="45">
        <v>3.7</v>
      </c>
    </row>
    <row r="581" spans="2:18" x14ac:dyDescent="0.2">
      <c r="B581" s="25">
        <v>578</v>
      </c>
      <c r="C581" s="18">
        <v>44408</v>
      </c>
      <c r="D581" s="24">
        <f t="shared" si="45"/>
        <v>2021</v>
      </c>
      <c r="E581" s="24" t="str">
        <f t="shared" si="46"/>
        <v>Q3</v>
      </c>
      <c r="F581" s="24" t="str">
        <f t="shared" si="47"/>
        <v>Jul</v>
      </c>
      <c r="G581" s="24">
        <f t="shared" si="48"/>
        <v>7</v>
      </c>
      <c r="H581" s="19">
        <v>1619</v>
      </c>
      <c r="I581" s="19" t="s">
        <v>0</v>
      </c>
      <c r="J581" s="19" t="s">
        <v>8</v>
      </c>
      <c r="K581" s="20">
        <v>4</v>
      </c>
      <c r="L581" s="21">
        <v>431.67</v>
      </c>
      <c r="M581" s="22">
        <v>0.18</v>
      </c>
      <c r="N581" s="21">
        <f t="shared" ref="N581:N644" si="49">L581-(L581*M581)</f>
        <v>353.96940000000001</v>
      </c>
      <c r="O581" s="21">
        <v>1415.88</v>
      </c>
      <c r="P581" s="19" t="s">
        <v>2</v>
      </c>
      <c r="Q581" s="23">
        <v>5</v>
      </c>
      <c r="R581" s="45">
        <v>3.4</v>
      </c>
    </row>
    <row r="582" spans="2:18" x14ac:dyDescent="0.2">
      <c r="B582" s="25">
        <v>579</v>
      </c>
      <c r="C582" s="18">
        <v>44409</v>
      </c>
      <c r="D582" s="24">
        <f t="shared" si="45"/>
        <v>2021</v>
      </c>
      <c r="E582" s="24" t="str">
        <f t="shared" si="46"/>
        <v>Q3</v>
      </c>
      <c r="F582" s="24" t="str">
        <f t="shared" si="47"/>
        <v>Aug</v>
      </c>
      <c r="G582" s="24">
        <f t="shared" si="48"/>
        <v>8</v>
      </c>
      <c r="H582" s="19">
        <v>1004</v>
      </c>
      <c r="I582" s="19" t="s">
        <v>10</v>
      </c>
      <c r="J582" s="19" t="s">
        <v>9</v>
      </c>
      <c r="K582" s="20">
        <v>1</v>
      </c>
      <c r="L582" s="21">
        <v>234.89</v>
      </c>
      <c r="M582" s="22">
        <v>0.31</v>
      </c>
      <c r="N582" s="21">
        <f t="shared" si="49"/>
        <v>162.07409999999999</v>
      </c>
      <c r="O582" s="21">
        <v>162.07</v>
      </c>
      <c r="P582" s="19" t="s">
        <v>4</v>
      </c>
      <c r="Q582" s="23">
        <v>11</v>
      </c>
      <c r="R582" s="45">
        <v>1.5</v>
      </c>
    </row>
    <row r="583" spans="2:18" x14ac:dyDescent="0.2">
      <c r="B583" s="25">
        <v>580</v>
      </c>
      <c r="C583" s="18">
        <v>44410</v>
      </c>
      <c r="D583" s="24">
        <f t="shared" si="45"/>
        <v>2021</v>
      </c>
      <c r="E583" s="24" t="str">
        <f t="shared" si="46"/>
        <v>Q3</v>
      </c>
      <c r="F583" s="24" t="str">
        <f t="shared" si="47"/>
        <v>Aug</v>
      </c>
      <c r="G583" s="24">
        <f t="shared" si="48"/>
        <v>8</v>
      </c>
      <c r="H583" s="19">
        <v>1102</v>
      </c>
      <c r="I583" s="19" t="s">
        <v>10</v>
      </c>
      <c r="J583" s="19" t="s">
        <v>5</v>
      </c>
      <c r="K583" s="20">
        <v>3</v>
      </c>
      <c r="L583" s="21">
        <v>557.72</v>
      </c>
      <c r="M583" s="22">
        <v>0.35</v>
      </c>
      <c r="N583" s="21">
        <f t="shared" si="49"/>
        <v>362.51800000000003</v>
      </c>
      <c r="O583" s="21">
        <v>1087.55</v>
      </c>
      <c r="P583" s="19" t="s">
        <v>6</v>
      </c>
      <c r="Q583" s="23">
        <v>10</v>
      </c>
      <c r="R583" s="45">
        <v>3.6</v>
      </c>
    </row>
    <row r="584" spans="2:18" x14ac:dyDescent="0.2">
      <c r="B584" s="25">
        <v>581</v>
      </c>
      <c r="C584" s="18">
        <v>44411</v>
      </c>
      <c r="D584" s="24">
        <f t="shared" si="45"/>
        <v>2021</v>
      </c>
      <c r="E584" s="24" t="str">
        <f t="shared" si="46"/>
        <v>Q3</v>
      </c>
      <c r="F584" s="24" t="str">
        <f t="shared" si="47"/>
        <v>Aug</v>
      </c>
      <c r="G584" s="24">
        <f t="shared" si="48"/>
        <v>8</v>
      </c>
      <c r="H584" s="19">
        <v>1195</v>
      </c>
      <c r="I584" s="19" t="s">
        <v>3</v>
      </c>
      <c r="J584" s="19" t="s">
        <v>5</v>
      </c>
      <c r="K584" s="20">
        <v>3</v>
      </c>
      <c r="L584" s="21">
        <v>70.260000000000005</v>
      </c>
      <c r="M584" s="22">
        <v>0.04</v>
      </c>
      <c r="N584" s="21">
        <f t="shared" si="49"/>
        <v>67.449600000000004</v>
      </c>
      <c r="O584" s="21">
        <v>202.35</v>
      </c>
      <c r="P584" s="19" t="s">
        <v>6</v>
      </c>
      <c r="Q584" s="23">
        <v>8</v>
      </c>
      <c r="R584" s="45">
        <v>3.4</v>
      </c>
    </row>
    <row r="585" spans="2:18" x14ac:dyDescent="0.2">
      <c r="B585" s="25">
        <v>582</v>
      </c>
      <c r="C585" s="18">
        <v>44412</v>
      </c>
      <c r="D585" s="24">
        <f t="shared" si="45"/>
        <v>2021</v>
      </c>
      <c r="E585" s="24" t="str">
        <f t="shared" si="46"/>
        <v>Q3</v>
      </c>
      <c r="F585" s="24" t="str">
        <f t="shared" si="47"/>
        <v>Aug</v>
      </c>
      <c r="G585" s="24">
        <f t="shared" si="48"/>
        <v>8</v>
      </c>
      <c r="H585" s="19">
        <v>1773</v>
      </c>
      <c r="I585" s="19" t="s">
        <v>3</v>
      </c>
      <c r="J585" s="19" t="s">
        <v>5</v>
      </c>
      <c r="K585" s="20">
        <v>1</v>
      </c>
      <c r="L585" s="21">
        <v>231.92</v>
      </c>
      <c r="M585" s="22">
        <v>0.05</v>
      </c>
      <c r="N585" s="21">
        <f t="shared" si="49"/>
        <v>220.32399999999998</v>
      </c>
      <c r="O585" s="21">
        <v>220.32</v>
      </c>
      <c r="P585" s="19" t="s">
        <v>2</v>
      </c>
      <c r="Q585" s="23">
        <v>7</v>
      </c>
      <c r="R585" s="45">
        <v>3.1</v>
      </c>
    </row>
    <row r="586" spans="2:18" x14ac:dyDescent="0.2">
      <c r="B586" s="25">
        <v>583</v>
      </c>
      <c r="C586" s="18">
        <v>44413</v>
      </c>
      <c r="D586" s="24">
        <f t="shared" si="45"/>
        <v>2021</v>
      </c>
      <c r="E586" s="24" t="str">
        <f t="shared" si="46"/>
        <v>Q3</v>
      </c>
      <c r="F586" s="24" t="str">
        <f t="shared" si="47"/>
        <v>Aug</v>
      </c>
      <c r="G586" s="24">
        <f t="shared" si="48"/>
        <v>8</v>
      </c>
      <c r="H586" s="19">
        <v>1876</v>
      </c>
      <c r="I586" s="19" t="s">
        <v>7</v>
      </c>
      <c r="J586" s="19" t="s">
        <v>1</v>
      </c>
      <c r="K586" s="20">
        <v>2</v>
      </c>
      <c r="L586" s="21">
        <v>429.74</v>
      </c>
      <c r="M586" s="22">
        <v>0.05</v>
      </c>
      <c r="N586" s="21">
        <f t="shared" si="49"/>
        <v>408.25299999999999</v>
      </c>
      <c r="O586" s="21">
        <v>816.51</v>
      </c>
      <c r="P586" s="19" t="s">
        <v>6</v>
      </c>
      <c r="Q586" s="23">
        <v>1</v>
      </c>
      <c r="R586" s="45">
        <v>2.6</v>
      </c>
    </row>
    <row r="587" spans="2:18" x14ac:dyDescent="0.2">
      <c r="B587" s="25">
        <v>584</v>
      </c>
      <c r="C587" s="18">
        <v>44414</v>
      </c>
      <c r="D587" s="24">
        <f t="shared" si="45"/>
        <v>2021</v>
      </c>
      <c r="E587" s="24" t="str">
        <f t="shared" si="46"/>
        <v>Q3</v>
      </c>
      <c r="F587" s="24" t="str">
        <f t="shared" si="47"/>
        <v>Aug</v>
      </c>
      <c r="G587" s="24">
        <f t="shared" si="48"/>
        <v>8</v>
      </c>
      <c r="H587" s="19">
        <v>1991</v>
      </c>
      <c r="I587" s="19" t="s">
        <v>10</v>
      </c>
      <c r="J587" s="19" t="s">
        <v>5</v>
      </c>
      <c r="K587" s="20">
        <v>3</v>
      </c>
      <c r="L587" s="21">
        <v>147.19999999999999</v>
      </c>
      <c r="M587" s="22">
        <v>0.24</v>
      </c>
      <c r="N587" s="21">
        <f t="shared" si="49"/>
        <v>111.87199999999999</v>
      </c>
      <c r="O587" s="21">
        <v>335.62</v>
      </c>
      <c r="P587" s="19" t="s">
        <v>6</v>
      </c>
      <c r="Q587" s="23">
        <v>11</v>
      </c>
      <c r="R587" s="45">
        <v>4.8</v>
      </c>
    </row>
    <row r="588" spans="2:18" x14ac:dyDescent="0.2">
      <c r="B588" s="25">
        <v>585</v>
      </c>
      <c r="C588" s="18">
        <v>44415</v>
      </c>
      <c r="D588" s="24">
        <f t="shared" si="45"/>
        <v>2021</v>
      </c>
      <c r="E588" s="24" t="str">
        <f t="shared" si="46"/>
        <v>Q3</v>
      </c>
      <c r="F588" s="24" t="str">
        <f t="shared" si="47"/>
        <v>Aug</v>
      </c>
      <c r="G588" s="24">
        <f t="shared" si="48"/>
        <v>8</v>
      </c>
      <c r="H588" s="19">
        <v>1883</v>
      </c>
      <c r="I588" s="19" t="s">
        <v>3</v>
      </c>
      <c r="J588" s="19" t="s">
        <v>8</v>
      </c>
      <c r="K588" s="20">
        <v>7</v>
      </c>
      <c r="L588" s="21">
        <v>399</v>
      </c>
      <c r="M588" s="22">
        <v>0.13</v>
      </c>
      <c r="N588" s="21">
        <f t="shared" si="49"/>
        <v>347.13</v>
      </c>
      <c r="O588" s="21">
        <v>2429.91</v>
      </c>
      <c r="P588" s="19" t="s">
        <v>2</v>
      </c>
      <c r="Q588" s="23">
        <v>1</v>
      </c>
      <c r="R588" s="45">
        <v>4.4000000000000004</v>
      </c>
    </row>
    <row r="589" spans="2:18" x14ac:dyDescent="0.2">
      <c r="B589" s="25">
        <v>586</v>
      </c>
      <c r="C589" s="18">
        <v>44416</v>
      </c>
      <c r="D589" s="24">
        <f t="shared" si="45"/>
        <v>2021</v>
      </c>
      <c r="E589" s="24" t="str">
        <f t="shared" si="46"/>
        <v>Q3</v>
      </c>
      <c r="F589" s="24" t="str">
        <f t="shared" si="47"/>
        <v>Aug</v>
      </c>
      <c r="G589" s="24">
        <f t="shared" si="48"/>
        <v>8</v>
      </c>
      <c r="H589" s="19">
        <v>1349</v>
      </c>
      <c r="I589" s="19" t="s">
        <v>3</v>
      </c>
      <c r="J589" s="19" t="s">
        <v>1</v>
      </c>
      <c r="K589" s="20">
        <v>2</v>
      </c>
      <c r="L589" s="21">
        <v>111.07</v>
      </c>
      <c r="M589" s="22">
        <v>0.26</v>
      </c>
      <c r="N589" s="21">
        <f t="shared" si="49"/>
        <v>82.191800000000001</v>
      </c>
      <c r="O589" s="21">
        <v>164.38</v>
      </c>
      <c r="P589" s="19" t="s">
        <v>6</v>
      </c>
      <c r="Q589" s="23">
        <v>5</v>
      </c>
      <c r="R589" s="45">
        <v>3.3</v>
      </c>
    </row>
    <row r="590" spans="2:18" x14ac:dyDescent="0.2">
      <c r="B590" s="25">
        <v>587</v>
      </c>
      <c r="C590" s="18">
        <v>44417</v>
      </c>
      <c r="D590" s="24">
        <f t="shared" si="45"/>
        <v>2021</v>
      </c>
      <c r="E590" s="24" t="str">
        <f t="shared" si="46"/>
        <v>Q3</v>
      </c>
      <c r="F590" s="24" t="str">
        <f t="shared" si="47"/>
        <v>Aug</v>
      </c>
      <c r="G590" s="24">
        <f t="shared" si="48"/>
        <v>8</v>
      </c>
      <c r="H590" s="19">
        <v>1046</v>
      </c>
      <c r="I590" s="19" t="s">
        <v>3</v>
      </c>
      <c r="J590" s="19" t="s">
        <v>9</v>
      </c>
      <c r="K590" s="20">
        <v>7</v>
      </c>
      <c r="L590" s="21">
        <v>47.75</v>
      </c>
      <c r="M590" s="22">
        <v>0.14000000000000001</v>
      </c>
      <c r="N590" s="21">
        <f t="shared" si="49"/>
        <v>41.064999999999998</v>
      </c>
      <c r="O590" s="21">
        <v>287.45999999999998</v>
      </c>
      <c r="P590" s="19" t="s">
        <v>6</v>
      </c>
      <c r="Q590" s="23">
        <v>2</v>
      </c>
      <c r="R590" s="45">
        <v>1</v>
      </c>
    </row>
    <row r="591" spans="2:18" x14ac:dyDescent="0.2">
      <c r="B591" s="25">
        <v>588</v>
      </c>
      <c r="C591" s="18">
        <v>44418</v>
      </c>
      <c r="D591" s="24">
        <f t="shared" si="45"/>
        <v>2021</v>
      </c>
      <c r="E591" s="24" t="str">
        <f t="shared" si="46"/>
        <v>Q3</v>
      </c>
      <c r="F591" s="24" t="str">
        <f t="shared" si="47"/>
        <v>Aug</v>
      </c>
      <c r="G591" s="24">
        <f t="shared" si="48"/>
        <v>8</v>
      </c>
      <c r="H591" s="19">
        <v>1866</v>
      </c>
      <c r="I591" s="19" t="s">
        <v>0</v>
      </c>
      <c r="J591" s="19" t="s">
        <v>8</v>
      </c>
      <c r="K591" s="20">
        <v>4</v>
      </c>
      <c r="L591" s="21">
        <v>85.79</v>
      </c>
      <c r="M591" s="22">
        <v>0.22</v>
      </c>
      <c r="N591" s="21">
        <f t="shared" si="49"/>
        <v>66.916200000000003</v>
      </c>
      <c r="O591" s="21">
        <v>267.66000000000003</v>
      </c>
      <c r="P591" s="19" t="s">
        <v>4</v>
      </c>
      <c r="Q591" s="23">
        <v>9</v>
      </c>
      <c r="R591" s="45">
        <v>2.7</v>
      </c>
    </row>
    <row r="592" spans="2:18" x14ac:dyDescent="0.2">
      <c r="B592" s="25">
        <v>589</v>
      </c>
      <c r="C592" s="18">
        <v>44419</v>
      </c>
      <c r="D592" s="24">
        <f t="shared" si="45"/>
        <v>2021</v>
      </c>
      <c r="E592" s="24" t="str">
        <f t="shared" si="46"/>
        <v>Q3</v>
      </c>
      <c r="F592" s="24" t="str">
        <f t="shared" si="47"/>
        <v>Aug</v>
      </c>
      <c r="G592" s="24">
        <f t="shared" si="48"/>
        <v>8</v>
      </c>
      <c r="H592" s="19">
        <v>1822</v>
      </c>
      <c r="I592" s="19" t="s">
        <v>7</v>
      </c>
      <c r="J592" s="19" t="s">
        <v>8</v>
      </c>
      <c r="K592" s="20">
        <v>6</v>
      </c>
      <c r="L592" s="21">
        <v>559.04</v>
      </c>
      <c r="M592" s="22">
        <v>0.27</v>
      </c>
      <c r="N592" s="21">
        <f t="shared" si="49"/>
        <v>408.0992</v>
      </c>
      <c r="O592" s="21">
        <v>2448.6</v>
      </c>
      <c r="P592" s="19" t="s">
        <v>4</v>
      </c>
      <c r="Q592" s="23">
        <v>2</v>
      </c>
      <c r="R592" s="45">
        <v>3.8</v>
      </c>
    </row>
    <row r="593" spans="2:18" x14ac:dyDescent="0.2">
      <c r="B593" s="25">
        <v>590</v>
      </c>
      <c r="C593" s="18">
        <v>44420</v>
      </c>
      <c r="D593" s="24">
        <f t="shared" si="45"/>
        <v>2021</v>
      </c>
      <c r="E593" s="24" t="str">
        <f t="shared" si="46"/>
        <v>Q3</v>
      </c>
      <c r="F593" s="24" t="str">
        <f t="shared" si="47"/>
        <v>Aug</v>
      </c>
      <c r="G593" s="24">
        <f t="shared" si="48"/>
        <v>8</v>
      </c>
      <c r="H593" s="19">
        <v>1935</v>
      </c>
      <c r="I593" s="19" t="s">
        <v>10</v>
      </c>
      <c r="J593" s="19" t="s">
        <v>9</v>
      </c>
      <c r="K593" s="20">
        <v>3</v>
      </c>
      <c r="L593" s="21">
        <v>337.77</v>
      </c>
      <c r="M593" s="22">
        <v>0.19</v>
      </c>
      <c r="N593" s="21">
        <f t="shared" si="49"/>
        <v>273.59370000000001</v>
      </c>
      <c r="O593" s="21">
        <v>820.78</v>
      </c>
      <c r="P593" s="19" t="s">
        <v>2</v>
      </c>
      <c r="Q593" s="23">
        <v>9</v>
      </c>
      <c r="R593" s="45">
        <v>1.5</v>
      </c>
    </row>
    <row r="594" spans="2:18" x14ac:dyDescent="0.2">
      <c r="B594" s="25">
        <v>591</v>
      </c>
      <c r="C594" s="18">
        <v>44421</v>
      </c>
      <c r="D594" s="24">
        <f t="shared" si="45"/>
        <v>2021</v>
      </c>
      <c r="E594" s="24" t="str">
        <f t="shared" si="46"/>
        <v>Q3</v>
      </c>
      <c r="F594" s="24" t="str">
        <f t="shared" si="47"/>
        <v>Aug</v>
      </c>
      <c r="G594" s="24">
        <f t="shared" si="48"/>
        <v>8</v>
      </c>
      <c r="H594" s="19">
        <v>1819</v>
      </c>
      <c r="I594" s="19" t="s">
        <v>7</v>
      </c>
      <c r="J594" s="19" t="s">
        <v>1</v>
      </c>
      <c r="K594" s="20">
        <v>2</v>
      </c>
      <c r="L594" s="21">
        <v>480.86</v>
      </c>
      <c r="M594" s="22">
        <v>0.19</v>
      </c>
      <c r="N594" s="21">
        <f t="shared" si="49"/>
        <v>389.4966</v>
      </c>
      <c r="O594" s="21">
        <v>778.99</v>
      </c>
      <c r="P594" s="19" t="s">
        <v>6</v>
      </c>
      <c r="Q594" s="23">
        <v>10</v>
      </c>
      <c r="R594" s="45">
        <v>2.6</v>
      </c>
    </row>
    <row r="595" spans="2:18" x14ac:dyDescent="0.2">
      <c r="B595" s="25">
        <v>592</v>
      </c>
      <c r="C595" s="18">
        <v>44422</v>
      </c>
      <c r="D595" s="24">
        <f t="shared" si="45"/>
        <v>2021</v>
      </c>
      <c r="E595" s="24" t="str">
        <f t="shared" si="46"/>
        <v>Q3</v>
      </c>
      <c r="F595" s="24" t="str">
        <f t="shared" si="47"/>
        <v>Aug</v>
      </c>
      <c r="G595" s="24">
        <f t="shared" si="48"/>
        <v>8</v>
      </c>
      <c r="H595" s="19">
        <v>1655</v>
      </c>
      <c r="I595" s="19" t="s">
        <v>3</v>
      </c>
      <c r="J595" s="19" t="s">
        <v>8</v>
      </c>
      <c r="K595" s="20">
        <v>7</v>
      </c>
      <c r="L595" s="21">
        <v>209.6</v>
      </c>
      <c r="M595" s="22">
        <v>0.03</v>
      </c>
      <c r="N595" s="21">
        <f t="shared" si="49"/>
        <v>203.31199999999998</v>
      </c>
      <c r="O595" s="21">
        <v>1423.18</v>
      </c>
      <c r="P595" s="19" t="s">
        <v>6</v>
      </c>
      <c r="Q595" s="23">
        <v>2</v>
      </c>
      <c r="R595" s="45">
        <v>1.8</v>
      </c>
    </row>
    <row r="596" spans="2:18" x14ac:dyDescent="0.2">
      <c r="B596" s="25">
        <v>593</v>
      </c>
      <c r="C596" s="18">
        <v>44423</v>
      </c>
      <c r="D596" s="24">
        <f t="shared" si="45"/>
        <v>2021</v>
      </c>
      <c r="E596" s="24" t="str">
        <f t="shared" si="46"/>
        <v>Q3</v>
      </c>
      <c r="F596" s="24" t="str">
        <f t="shared" si="47"/>
        <v>Aug</v>
      </c>
      <c r="G596" s="24">
        <f t="shared" si="48"/>
        <v>8</v>
      </c>
      <c r="H596" s="19">
        <v>1268</v>
      </c>
      <c r="I596" s="19" t="s">
        <v>7</v>
      </c>
      <c r="J596" s="19" t="s">
        <v>8</v>
      </c>
      <c r="K596" s="20">
        <v>1</v>
      </c>
      <c r="L596" s="21">
        <v>361.71</v>
      </c>
      <c r="M596" s="22">
        <v>0.14000000000000001</v>
      </c>
      <c r="N596" s="21">
        <f t="shared" si="49"/>
        <v>311.07059999999996</v>
      </c>
      <c r="O596" s="21">
        <v>311.07</v>
      </c>
      <c r="P596" s="19" t="s">
        <v>4</v>
      </c>
      <c r="Q596" s="23">
        <v>4</v>
      </c>
      <c r="R596" s="45">
        <v>2.4</v>
      </c>
    </row>
    <row r="597" spans="2:18" x14ac:dyDescent="0.2">
      <c r="B597" s="25">
        <v>594</v>
      </c>
      <c r="C597" s="18">
        <v>44424</v>
      </c>
      <c r="D597" s="24">
        <f t="shared" si="45"/>
        <v>2021</v>
      </c>
      <c r="E597" s="24" t="str">
        <f t="shared" si="46"/>
        <v>Q3</v>
      </c>
      <c r="F597" s="24" t="str">
        <f t="shared" si="47"/>
        <v>Aug</v>
      </c>
      <c r="G597" s="24">
        <f t="shared" si="48"/>
        <v>8</v>
      </c>
      <c r="H597" s="19">
        <v>1369</v>
      </c>
      <c r="I597" s="19" t="s">
        <v>7</v>
      </c>
      <c r="J597" s="19" t="s">
        <v>8</v>
      </c>
      <c r="K597" s="20">
        <v>7</v>
      </c>
      <c r="L597" s="21">
        <v>304.55</v>
      </c>
      <c r="M597" s="22">
        <v>0.19</v>
      </c>
      <c r="N597" s="21">
        <f t="shared" si="49"/>
        <v>246.68550000000002</v>
      </c>
      <c r="O597" s="21">
        <v>1726.8</v>
      </c>
      <c r="P597" s="19" t="s">
        <v>4</v>
      </c>
      <c r="Q597" s="23">
        <v>3</v>
      </c>
      <c r="R597" s="45">
        <v>1.1000000000000001</v>
      </c>
    </row>
    <row r="598" spans="2:18" x14ac:dyDescent="0.2">
      <c r="B598" s="25">
        <v>595</v>
      </c>
      <c r="C598" s="18">
        <v>44425</v>
      </c>
      <c r="D598" s="24">
        <f t="shared" si="45"/>
        <v>2021</v>
      </c>
      <c r="E598" s="24" t="str">
        <f t="shared" si="46"/>
        <v>Q3</v>
      </c>
      <c r="F598" s="24" t="str">
        <f t="shared" si="47"/>
        <v>Aug</v>
      </c>
      <c r="G598" s="24">
        <f t="shared" si="48"/>
        <v>8</v>
      </c>
      <c r="H598" s="19">
        <v>1635</v>
      </c>
      <c r="I598" s="19" t="s">
        <v>3</v>
      </c>
      <c r="J598" s="19" t="s">
        <v>1</v>
      </c>
      <c r="K598" s="20">
        <v>7</v>
      </c>
      <c r="L598" s="21">
        <v>568.26</v>
      </c>
      <c r="M598" s="22">
        <v>0.16</v>
      </c>
      <c r="N598" s="21">
        <f t="shared" si="49"/>
        <v>477.33839999999998</v>
      </c>
      <c r="O598" s="21">
        <v>3341.37</v>
      </c>
      <c r="P598" s="19" t="s">
        <v>4</v>
      </c>
      <c r="Q598" s="23">
        <v>6</v>
      </c>
      <c r="R598" s="45">
        <v>1.5</v>
      </c>
    </row>
    <row r="599" spans="2:18" x14ac:dyDescent="0.2">
      <c r="B599" s="25">
        <v>596</v>
      </c>
      <c r="C599" s="18">
        <v>44426</v>
      </c>
      <c r="D599" s="24">
        <f t="shared" si="45"/>
        <v>2021</v>
      </c>
      <c r="E599" s="24" t="str">
        <f t="shared" si="46"/>
        <v>Q3</v>
      </c>
      <c r="F599" s="24" t="str">
        <f t="shared" si="47"/>
        <v>Aug</v>
      </c>
      <c r="G599" s="24">
        <f t="shared" si="48"/>
        <v>8</v>
      </c>
      <c r="H599" s="19">
        <v>1105</v>
      </c>
      <c r="I599" s="19" t="s">
        <v>7</v>
      </c>
      <c r="J599" s="19" t="s">
        <v>1</v>
      </c>
      <c r="K599" s="20">
        <v>4</v>
      </c>
      <c r="L599" s="21">
        <v>452.33</v>
      </c>
      <c r="M599" s="22">
        <v>0.32</v>
      </c>
      <c r="N599" s="21">
        <f t="shared" si="49"/>
        <v>307.58439999999996</v>
      </c>
      <c r="O599" s="21">
        <v>1230.3399999999999</v>
      </c>
      <c r="P599" s="19" t="s">
        <v>6</v>
      </c>
      <c r="Q599" s="23">
        <v>4</v>
      </c>
      <c r="R599" s="45">
        <v>2.8</v>
      </c>
    </row>
    <row r="600" spans="2:18" x14ac:dyDescent="0.2">
      <c r="B600" s="25">
        <v>597</v>
      </c>
      <c r="C600" s="18">
        <v>44427</v>
      </c>
      <c r="D600" s="24">
        <f t="shared" si="45"/>
        <v>2021</v>
      </c>
      <c r="E600" s="24" t="str">
        <f t="shared" si="46"/>
        <v>Q3</v>
      </c>
      <c r="F600" s="24" t="str">
        <f t="shared" si="47"/>
        <v>Aug</v>
      </c>
      <c r="G600" s="24">
        <f t="shared" si="48"/>
        <v>8</v>
      </c>
      <c r="H600" s="19">
        <v>1669</v>
      </c>
      <c r="I600" s="19" t="s">
        <v>3</v>
      </c>
      <c r="J600" s="19" t="s">
        <v>1</v>
      </c>
      <c r="K600" s="20">
        <v>5</v>
      </c>
      <c r="L600" s="21">
        <v>442.37</v>
      </c>
      <c r="M600" s="22">
        <v>0.32</v>
      </c>
      <c r="N600" s="21">
        <f t="shared" si="49"/>
        <v>300.8116</v>
      </c>
      <c r="O600" s="21">
        <v>1504.06</v>
      </c>
      <c r="P600" s="19" t="s">
        <v>4</v>
      </c>
      <c r="Q600" s="23">
        <v>9</v>
      </c>
      <c r="R600" s="45">
        <v>4.5999999999999996</v>
      </c>
    </row>
    <row r="601" spans="2:18" x14ac:dyDescent="0.2">
      <c r="B601" s="25">
        <v>598</v>
      </c>
      <c r="C601" s="18">
        <v>44428</v>
      </c>
      <c r="D601" s="24">
        <f t="shared" si="45"/>
        <v>2021</v>
      </c>
      <c r="E601" s="24" t="str">
        <f t="shared" si="46"/>
        <v>Q3</v>
      </c>
      <c r="F601" s="24" t="str">
        <f t="shared" si="47"/>
        <v>Aug</v>
      </c>
      <c r="G601" s="24">
        <f t="shared" si="48"/>
        <v>8</v>
      </c>
      <c r="H601" s="19">
        <v>1658</v>
      </c>
      <c r="I601" s="19" t="s">
        <v>0</v>
      </c>
      <c r="J601" s="19" t="s">
        <v>8</v>
      </c>
      <c r="K601" s="20">
        <v>5</v>
      </c>
      <c r="L601" s="21">
        <v>42.12</v>
      </c>
      <c r="M601" s="22">
        <v>0.28999999999999998</v>
      </c>
      <c r="N601" s="21">
        <f t="shared" si="49"/>
        <v>29.905200000000001</v>
      </c>
      <c r="O601" s="21">
        <v>149.53</v>
      </c>
      <c r="P601" s="19" t="s">
        <v>4</v>
      </c>
      <c r="Q601" s="23">
        <v>9</v>
      </c>
      <c r="R601" s="45">
        <v>3</v>
      </c>
    </row>
    <row r="602" spans="2:18" x14ac:dyDescent="0.2">
      <c r="B602" s="25">
        <v>599</v>
      </c>
      <c r="C602" s="18">
        <v>44429</v>
      </c>
      <c r="D602" s="24">
        <f t="shared" si="45"/>
        <v>2021</v>
      </c>
      <c r="E602" s="24" t="str">
        <f t="shared" si="46"/>
        <v>Q3</v>
      </c>
      <c r="F602" s="24" t="str">
        <f t="shared" si="47"/>
        <v>Aug</v>
      </c>
      <c r="G602" s="24">
        <f t="shared" si="48"/>
        <v>8</v>
      </c>
      <c r="H602" s="19">
        <v>1656</v>
      </c>
      <c r="I602" s="19" t="s">
        <v>7</v>
      </c>
      <c r="J602" s="19" t="s">
        <v>5</v>
      </c>
      <c r="K602" s="20">
        <v>1</v>
      </c>
      <c r="L602" s="21">
        <v>336.56</v>
      </c>
      <c r="M602" s="22">
        <v>0.13</v>
      </c>
      <c r="N602" s="21">
        <f t="shared" si="49"/>
        <v>292.80720000000002</v>
      </c>
      <c r="O602" s="21">
        <v>292.81</v>
      </c>
      <c r="P602" s="19" t="s">
        <v>6</v>
      </c>
      <c r="Q602" s="23">
        <v>10</v>
      </c>
      <c r="R602" s="45">
        <v>2.8</v>
      </c>
    </row>
    <row r="603" spans="2:18" x14ac:dyDescent="0.2">
      <c r="B603" s="25">
        <v>600</v>
      </c>
      <c r="C603" s="18">
        <v>44430</v>
      </c>
      <c r="D603" s="24">
        <f t="shared" si="45"/>
        <v>2021</v>
      </c>
      <c r="E603" s="24" t="str">
        <f t="shared" si="46"/>
        <v>Q3</v>
      </c>
      <c r="F603" s="24" t="str">
        <f t="shared" si="47"/>
        <v>Aug</v>
      </c>
      <c r="G603" s="24">
        <f t="shared" si="48"/>
        <v>8</v>
      </c>
      <c r="H603" s="19">
        <v>1119</v>
      </c>
      <c r="I603" s="19" t="s">
        <v>10</v>
      </c>
      <c r="J603" s="19" t="s">
        <v>9</v>
      </c>
      <c r="K603" s="20">
        <v>4</v>
      </c>
      <c r="L603" s="21">
        <v>288.19</v>
      </c>
      <c r="M603" s="22">
        <v>0.25</v>
      </c>
      <c r="N603" s="21">
        <f t="shared" si="49"/>
        <v>216.14249999999998</v>
      </c>
      <c r="O603" s="21">
        <v>864.57</v>
      </c>
      <c r="P603" s="19" t="s">
        <v>6</v>
      </c>
      <c r="Q603" s="23">
        <v>9</v>
      </c>
      <c r="R603" s="45">
        <v>4.2</v>
      </c>
    </row>
    <row r="604" spans="2:18" x14ac:dyDescent="0.2">
      <c r="B604" s="25">
        <v>601</v>
      </c>
      <c r="C604" s="18">
        <v>44431</v>
      </c>
      <c r="D604" s="24">
        <f t="shared" si="45"/>
        <v>2021</v>
      </c>
      <c r="E604" s="24" t="str">
        <f t="shared" si="46"/>
        <v>Q3</v>
      </c>
      <c r="F604" s="24" t="str">
        <f t="shared" si="47"/>
        <v>Aug</v>
      </c>
      <c r="G604" s="24">
        <f t="shared" si="48"/>
        <v>8</v>
      </c>
      <c r="H604" s="19">
        <v>1830</v>
      </c>
      <c r="I604" s="19" t="s">
        <v>3</v>
      </c>
      <c r="J604" s="19" t="s">
        <v>5</v>
      </c>
      <c r="K604" s="20">
        <v>4</v>
      </c>
      <c r="L604" s="21">
        <v>557.79</v>
      </c>
      <c r="M604" s="22">
        <v>0.14000000000000001</v>
      </c>
      <c r="N604" s="21">
        <f t="shared" si="49"/>
        <v>479.69939999999997</v>
      </c>
      <c r="O604" s="21">
        <v>1918.8</v>
      </c>
      <c r="P604" s="19" t="s">
        <v>4</v>
      </c>
      <c r="Q604" s="23">
        <v>3</v>
      </c>
      <c r="R604" s="45">
        <v>2.1</v>
      </c>
    </row>
    <row r="605" spans="2:18" x14ac:dyDescent="0.2">
      <c r="B605" s="25">
        <v>602</v>
      </c>
      <c r="C605" s="18">
        <v>44432</v>
      </c>
      <c r="D605" s="24">
        <f t="shared" si="45"/>
        <v>2021</v>
      </c>
      <c r="E605" s="24" t="str">
        <f t="shared" si="46"/>
        <v>Q3</v>
      </c>
      <c r="F605" s="24" t="str">
        <f t="shared" si="47"/>
        <v>Aug</v>
      </c>
      <c r="G605" s="24">
        <f t="shared" si="48"/>
        <v>8</v>
      </c>
      <c r="H605" s="19">
        <v>1786</v>
      </c>
      <c r="I605" s="19" t="s">
        <v>10</v>
      </c>
      <c r="J605" s="19" t="s">
        <v>1</v>
      </c>
      <c r="K605" s="20">
        <v>4</v>
      </c>
      <c r="L605" s="21">
        <v>165.55</v>
      </c>
      <c r="M605" s="22">
        <v>0.08</v>
      </c>
      <c r="N605" s="21">
        <f t="shared" si="49"/>
        <v>152.30600000000001</v>
      </c>
      <c r="O605" s="21">
        <v>609.22</v>
      </c>
      <c r="P605" s="19" t="s">
        <v>6</v>
      </c>
      <c r="Q605" s="23">
        <v>3</v>
      </c>
      <c r="R605" s="45">
        <v>1.4</v>
      </c>
    </row>
    <row r="606" spans="2:18" x14ac:dyDescent="0.2">
      <c r="B606" s="25">
        <v>603</v>
      </c>
      <c r="C606" s="18">
        <v>44433</v>
      </c>
      <c r="D606" s="24">
        <f t="shared" si="45"/>
        <v>2021</v>
      </c>
      <c r="E606" s="24" t="str">
        <f t="shared" si="46"/>
        <v>Q3</v>
      </c>
      <c r="F606" s="24" t="str">
        <f t="shared" si="47"/>
        <v>Aug</v>
      </c>
      <c r="G606" s="24">
        <f t="shared" si="48"/>
        <v>8</v>
      </c>
      <c r="H606" s="19">
        <v>1603</v>
      </c>
      <c r="I606" s="19" t="s">
        <v>7</v>
      </c>
      <c r="J606" s="19" t="s">
        <v>8</v>
      </c>
      <c r="K606" s="20">
        <v>4</v>
      </c>
      <c r="L606" s="21">
        <v>172.85</v>
      </c>
      <c r="M606" s="22">
        <v>0.12</v>
      </c>
      <c r="N606" s="21">
        <f t="shared" si="49"/>
        <v>152.108</v>
      </c>
      <c r="O606" s="21">
        <v>608.42999999999995</v>
      </c>
      <c r="P606" s="19" t="s">
        <v>2</v>
      </c>
      <c r="Q606" s="23">
        <v>4</v>
      </c>
      <c r="R606" s="45">
        <v>1.8</v>
      </c>
    </row>
    <row r="607" spans="2:18" x14ac:dyDescent="0.2">
      <c r="B607" s="25">
        <v>604</v>
      </c>
      <c r="C607" s="18">
        <v>44434</v>
      </c>
      <c r="D607" s="24">
        <f t="shared" si="45"/>
        <v>2021</v>
      </c>
      <c r="E607" s="24" t="str">
        <f t="shared" si="46"/>
        <v>Q3</v>
      </c>
      <c r="F607" s="24" t="str">
        <f t="shared" si="47"/>
        <v>Aug</v>
      </c>
      <c r="G607" s="24">
        <f t="shared" si="48"/>
        <v>8</v>
      </c>
      <c r="H607" s="19">
        <v>1057</v>
      </c>
      <c r="I607" s="19" t="s">
        <v>7</v>
      </c>
      <c r="J607" s="19" t="s">
        <v>8</v>
      </c>
      <c r="K607" s="20">
        <v>5</v>
      </c>
      <c r="L607" s="21">
        <v>255.64</v>
      </c>
      <c r="M607" s="22">
        <v>0.02</v>
      </c>
      <c r="N607" s="21">
        <f t="shared" si="49"/>
        <v>250.52719999999999</v>
      </c>
      <c r="O607" s="21">
        <v>1252.6400000000001</v>
      </c>
      <c r="P607" s="19" t="s">
        <v>6</v>
      </c>
      <c r="Q607" s="23">
        <v>9</v>
      </c>
      <c r="R607" s="45">
        <v>4.2</v>
      </c>
    </row>
    <row r="608" spans="2:18" x14ac:dyDescent="0.2">
      <c r="B608" s="25">
        <v>605</v>
      </c>
      <c r="C608" s="18">
        <v>44435</v>
      </c>
      <c r="D608" s="24">
        <f t="shared" si="45"/>
        <v>2021</v>
      </c>
      <c r="E608" s="24" t="str">
        <f t="shared" si="46"/>
        <v>Q3</v>
      </c>
      <c r="F608" s="24" t="str">
        <f t="shared" si="47"/>
        <v>Aug</v>
      </c>
      <c r="G608" s="24">
        <f t="shared" si="48"/>
        <v>8</v>
      </c>
      <c r="H608" s="19">
        <v>1950</v>
      </c>
      <c r="I608" s="19" t="s">
        <v>7</v>
      </c>
      <c r="J608" s="19" t="s">
        <v>5</v>
      </c>
      <c r="K608" s="20">
        <v>2</v>
      </c>
      <c r="L608" s="21">
        <v>157.37</v>
      </c>
      <c r="M608" s="22">
        <v>0.12</v>
      </c>
      <c r="N608" s="21">
        <f t="shared" si="49"/>
        <v>138.48560000000001</v>
      </c>
      <c r="O608" s="21">
        <v>276.97000000000003</v>
      </c>
      <c r="P608" s="19" t="s">
        <v>2</v>
      </c>
      <c r="Q608" s="23">
        <v>6</v>
      </c>
      <c r="R608" s="45">
        <v>3.7</v>
      </c>
    </row>
    <row r="609" spans="2:18" x14ac:dyDescent="0.2">
      <c r="B609" s="25">
        <v>606</v>
      </c>
      <c r="C609" s="18">
        <v>44436</v>
      </c>
      <c r="D609" s="24">
        <f t="shared" si="45"/>
        <v>2021</v>
      </c>
      <c r="E609" s="24" t="str">
        <f t="shared" si="46"/>
        <v>Q3</v>
      </c>
      <c r="F609" s="24" t="str">
        <f t="shared" si="47"/>
        <v>Aug</v>
      </c>
      <c r="G609" s="24">
        <f t="shared" si="48"/>
        <v>8</v>
      </c>
      <c r="H609" s="19">
        <v>1345</v>
      </c>
      <c r="I609" s="19" t="s">
        <v>7</v>
      </c>
      <c r="J609" s="19" t="s">
        <v>5</v>
      </c>
      <c r="K609" s="20">
        <v>4</v>
      </c>
      <c r="L609" s="21">
        <v>90.57</v>
      </c>
      <c r="M609" s="22">
        <v>0.16</v>
      </c>
      <c r="N609" s="21">
        <f t="shared" si="49"/>
        <v>76.078800000000001</v>
      </c>
      <c r="O609" s="21">
        <v>304.32</v>
      </c>
      <c r="P609" s="19" t="s">
        <v>2</v>
      </c>
      <c r="Q609" s="23">
        <v>9</v>
      </c>
      <c r="R609" s="45">
        <v>1.4</v>
      </c>
    </row>
    <row r="610" spans="2:18" x14ac:dyDescent="0.2">
      <c r="B610" s="25">
        <v>607</v>
      </c>
      <c r="C610" s="18">
        <v>44437</v>
      </c>
      <c r="D610" s="24">
        <f t="shared" si="45"/>
        <v>2021</v>
      </c>
      <c r="E610" s="24" t="str">
        <f t="shared" si="46"/>
        <v>Q3</v>
      </c>
      <c r="F610" s="24" t="str">
        <f t="shared" si="47"/>
        <v>Aug</v>
      </c>
      <c r="G610" s="24">
        <f t="shared" si="48"/>
        <v>8</v>
      </c>
      <c r="H610" s="19">
        <v>1740</v>
      </c>
      <c r="I610" s="19" t="s">
        <v>7</v>
      </c>
      <c r="J610" s="19" t="s">
        <v>9</v>
      </c>
      <c r="K610" s="20">
        <v>2</v>
      </c>
      <c r="L610" s="21">
        <v>516.59</v>
      </c>
      <c r="M610" s="22">
        <v>0.33</v>
      </c>
      <c r="N610" s="21">
        <f t="shared" si="49"/>
        <v>346.11530000000005</v>
      </c>
      <c r="O610" s="21">
        <v>692.23</v>
      </c>
      <c r="P610" s="19" t="s">
        <v>4</v>
      </c>
      <c r="Q610" s="23">
        <v>8</v>
      </c>
      <c r="R610" s="45">
        <v>3.7</v>
      </c>
    </row>
    <row r="611" spans="2:18" x14ac:dyDescent="0.2">
      <c r="B611" s="25">
        <v>608</v>
      </c>
      <c r="C611" s="18">
        <v>44438</v>
      </c>
      <c r="D611" s="24">
        <f t="shared" si="45"/>
        <v>2021</v>
      </c>
      <c r="E611" s="24" t="str">
        <f t="shared" si="46"/>
        <v>Q3</v>
      </c>
      <c r="F611" s="24" t="str">
        <f t="shared" si="47"/>
        <v>Aug</v>
      </c>
      <c r="G611" s="24">
        <f t="shared" si="48"/>
        <v>8</v>
      </c>
      <c r="H611" s="19">
        <v>1473</v>
      </c>
      <c r="I611" s="19" t="s">
        <v>10</v>
      </c>
      <c r="J611" s="19" t="s">
        <v>8</v>
      </c>
      <c r="K611" s="20">
        <v>7</v>
      </c>
      <c r="L611" s="21">
        <v>341.59</v>
      </c>
      <c r="M611" s="22">
        <v>0.11</v>
      </c>
      <c r="N611" s="21">
        <f t="shared" si="49"/>
        <v>304.01509999999996</v>
      </c>
      <c r="O611" s="21">
        <v>2128.11</v>
      </c>
      <c r="P611" s="19" t="s">
        <v>4</v>
      </c>
      <c r="Q611" s="23">
        <v>7</v>
      </c>
      <c r="R611" s="45">
        <v>4.7</v>
      </c>
    </row>
    <row r="612" spans="2:18" x14ac:dyDescent="0.2">
      <c r="B612" s="25">
        <v>609</v>
      </c>
      <c r="C612" s="18">
        <v>44439</v>
      </c>
      <c r="D612" s="24">
        <f t="shared" si="45"/>
        <v>2021</v>
      </c>
      <c r="E612" s="24" t="str">
        <f t="shared" si="46"/>
        <v>Q3</v>
      </c>
      <c r="F612" s="24" t="str">
        <f t="shared" si="47"/>
        <v>Aug</v>
      </c>
      <c r="G612" s="24">
        <f t="shared" si="48"/>
        <v>8</v>
      </c>
      <c r="H612" s="19">
        <v>1116</v>
      </c>
      <c r="I612" s="19" t="s">
        <v>0</v>
      </c>
      <c r="J612" s="19" t="s">
        <v>5</v>
      </c>
      <c r="K612" s="20">
        <v>7</v>
      </c>
      <c r="L612" s="21">
        <v>518.9</v>
      </c>
      <c r="M612" s="22">
        <v>0.32</v>
      </c>
      <c r="N612" s="21">
        <f t="shared" si="49"/>
        <v>352.85199999999998</v>
      </c>
      <c r="O612" s="21">
        <v>2469.96</v>
      </c>
      <c r="P612" s="19" t="s">
        <v>6</v>
      </c>
      <c r="Q612" s="23">
        <v>5</v>
      </c>
      <c r="R612" s="45">
        <v>1.2</v>
      </c>
    </row>
    <row r="613" spans="2:18" x14ac:dyDescent="0.2">
      <c r="B613" s="25">
        <v>610</v>
      </c>
      <c r="C613" s="18">
        <v>44440</v>
      </c>
      <c r="D613" s="24">
        <f t="shared" si="45"/>
        <v>2021</v>
      </c>
      <c r="E613" s="24" t="str">
        <f t="shared" si="46"/>
        <v>Q3</v>
      </c>
      <c r="F613" s="24" t="str">
        <f t="shared" si="47"/>
        <v>Sep</v>
      </c>
      <c r="G613" s="24">
        <f t="shared" si="48"/>
        <v>9</v>
      </c>
      <c r="H613" s="19">
        <v>1829</v>
      </c>
      <c r="I613" s="19" t="s">
        <v>10</v>
      </c>
      <c r="J613" s="19" t="s">
        <v>9</v>
      </c>
      <c r="K613" s="20">
        <v>4</v>
      </c>
      <c r="L613" s="21">
        <v>501.21</v>
      </c>
      <c r="M613" s="22">
        <v>0.08</v>
      </c>
      <c r="N613" s="21">
        <f t="shared" si="49"/>
        <v>461.11320000000001</v>
      </c>
      <c r="O613" s="21">
        <v>1844.45</v>
      </c>
      <c r="P613" s="19" t="s">
        <v>6</v>
      </c>
      <c r="Q613" s="23">
        <v>9</v>
      </c>
      <c r="R613" s="45">
        <v>3.5</v>
      </c>
    </row>
    <row r="614" spans="2:18" x14ac:dyDescent="0.2">
      <c r="B614" s="25">
        <v>611</v>
      </c>
      <c r="C614" s="18">
        <v>44441</v>
      </c>
      <c r="D614" s="24">
        <f t="shared" si="45"/>
        <v>2021</v>
      </c>
      <c r="E614" s="24" t="str">
        <f t="shared" si="46"/>
        <v>Q3</v>
      </c>
      <c r="F614" s="24" t="str">
        <f t="shared" si="47"/>
        <v>Sep</v>
      </c>
      <c r="G614" s="24">
        <f t="shared" si="48"/>
        <v>9</v>
      </c>
      <c r="H614" s="19">
        <v>1790</v>
      </c>
      <c r="I614" s="19" t="s">
        <v>10</v>
      </c>
      <c r="J614" s="19" t="s">
        <v>1</v>
      </c>
      <c r="K614" s="20">
        <v>3</v>
      </c>
      <c r="L614" s="21">
        <v>179.99</v>
      </c>
      <c r="M614" s="22">
        <v>7.0000000000000007E-2</v>
      </c>
      <c r="N614" s="21">
        <f t="shared" si="49"/>
        <v>167.39070000000001</v>
      </c>
      <c r="O614" s="21">
        <v>502.17</v>
      </c>
      <c r="P614" s="19" t="s">
        <v>4</v>
      </c>
      <c r="Q614" s="23">
        <v>4</v>
      </c>
      <c r="R614" s="45">
        <v>2.5</v>
      </c>
    </row>
    <row r="615" spans="2:18" x14ac:dyDescent="0.2">
      <c r="B615" s="25">
        <v>612</v>
      </c>
      <c r="C615" s="18">
        <v>44442</v>
      </c>
      <c r="D615" s="24">
        <f t="shared" si="45"/>
        <v>2021</v>
      </c>
      <c r="E615" s="24" t="str">
        <f t="shared" si="46"/>
        <v>Q3</v>
      </c>
      <c r="F615" s="24" t="str">
        <f t="shared" si="47"/>
        <v>Sep</v>
      </c>
      <c r="G615" s="24">
        <f t="shared" si="48"/>
        <v>9</v>
      </c>
      <c r="H615" s="19">
        <v>1126</v>
      </c>
      <c r="I615" s="19" t="s">
        <v>7</v>
      </c>
      <c r="J615" s="19" t="s">
        <v>5</v>
      </c>
      <c r="K615" s="20">
        <v>6</v>
      </c>
      <c r="L615" s="21">
        <v>335.43</v>
      </c>
      <c r="M615" s="22">
        <v>0.18</v>
      </c>
      <c r="N615" s="21">
        <f t="shared" si="49"/>
        <v>275.05259999999998</v>
      </c>
      <c r="O615" s="21">
        <v>1650.32</v>
      </c>
      <c r="P615" s="19" t="s">
        <v>4</v>
      </c>
      <c r="Q615" s="23">
        <v>4</v>
      </c>
      <c r="R615" s="45">
        <v>3</v>
      </c>
    </row>
    <row r="616" spans="2:18" x14ac:dyDescent="0.2">
      <c r="B616" s="25">
        <v>613</v>
      </c>
      <c r="C616" s="18">
        <v>44443</v>
      </c>
      <c r="D616" s="24">
        <f t="shared" si="45"/>
        <v>2021</v>
      </c>
      <c r="E616" s="24" t="str">
        <f t="shared" si="46"/>
        <v>Q3</v>
      </c>
      <c r="F616" s="24" t="str">
        <f t="shared" si="47"/>
        <v>Sep</v>
      </c>
      <c r="G616" s="24">
        <f t="shared" si="48"/>
        <v>9</v>
      </c>
      <c r="H616" s="19">
        <v>1392</v>
      </c>
      <c r="I616" s="19" t="s">
        <v>7</v>
      </c>
      <c r="J616" s="19" t="s">
        <v>1</v>
      </c>
      <c r="K616" s="20">
        <v>3</v>
      </c>
      <c r="L616" s="21">
        <v>63.68</v>
      </c>
      <c r="M616" s="22">
        <v>0.24</v>
      </c>
      <c r="N616" s="21">
        <f t="shared" si="49"/>
        <v>48.396799999999999</v>
      </c>
      <c r="O616" s="21">
        <v>145.19</v>
      </c>
      <c r="P616" s="19" t="s">
        <v>6</v>
      </c>
      <c r="Q616" s="23">
        <v>8</v>
      </c>
      <c r="R616" s="45">
        <v>3.1</v>
      </c>
    </row>
    <row r="617" spans="2:18" x14ac:dyDescent="0.2">
      <c r="B617" s="25">
        <v>614</v>
      </c>
      <c r="C617" s="18">
        <v>44444</v>
      </c>
      <c r="D617" s="24">
        <f t="shared" si="45"/>
        <v>2021</v>
      </c>
      <c r="E617" s="24" t="str">
        <f t="shared" si="46"/>
        <v>Q3</v>
      </c>
      <c r="F617" s="24" t="str">
        <f t="shared" si="47"/>
        <v>Sep</v>
      </c>
      <c r="G617" s="24">
        <f t="shared" si="48"/>
        <v>9</v>
      </c>
      <c r="H617" s="19">
        <v>1907</v>
      </c>
      <c r="I617" s="19" t="s">
        <v>7</v>
      </c>
      <c r="J617" s="19" t="s">
        <v>9</v>
      </c>
      <c r="K617" s="20">
        <v>7</v>
      </c>
      <c r="L617" s="21">
        <v>550.41999999999996</v>
      </c>
      <c r="M617" s="22">
        <v>0.02</v>
      </c>
      <c r="N617" s="21">
        <f t="shared" si="49"/>
        <v>539.41159999999991</v>
      </c>
      <c r="O617" s="21">
        <v>3775.88</v>
      </c>
      <c r="P617" s="19" t="s">
        <v>4</v>
      </c>
      <c r="Q617" s="23">
        <v>4</v>
      </c>
      <c r="R617" s="45">
        <v>4.0999999999999996</v>
      </c>
    </row>
    <row r="618" spans="2:18" x14ac:dyDescent="0.2">
      <c r="B618" s="25">
        <v>615</v>
      </c>
      <c r="C618" s="18">
        <v>44445</v>
      </c>
      <c r="D618" s="24">
        <f t="shared" si="45"/>
        <v>2021</v>
      </c>
      <c r="E618" s="24" t="str">
        <f t="shared" si="46"/>
        <v>Q3</v>
      </c>
      <c r="F618" s="24" t="str">
        <f t="shared" si="47"/>
        <v>Sep</v>
      </c>
      <c r="G618" s="24">
        <f t="shared" si="48"/>
        <v>9</v>
      </c>
      <c r="H618" s="19">
        <v>1640</v>
      </c>
      <c r="I618" s="19" t="s">
        <v>7</v>
      </c>
      <c r="J618" s="19" t="s">
        <v>1</v>
      </c>
      <c r="K618" s="20">
        <v>6</v>
      </c>
      <c r="L618" s="21">
        <v>251.49</v>
      </c>
      <c r="M618" s="22">
        <v>0.08</v>
      </c>
      <c r="N618" s="21">
        <f t="shared" si="49"/>
        <v>231.3708</v>
      </c>
      <c r="O618" s="21">
        <v>1388.22</v>
      </c>
      <c r="P618" s="19" t="s">
        <v>2</v>
      </c>
      <c r="Q618" s="23">
        <v>7</v>
      </c>
      <c r="R618" s="45">
        <v>3.2</v>
      </c>
    </row>
    <row r="619" spans="2:18" x14ac:dyDescent="0.2">
      <c r="B619" s="25">
        <v>616</v>
      </c>
      <c r="C619" s="18">
        <v>44446</v>
      </c>
      <c r="D619" s="24">
        <f t="shared" si="45"/>
        <v>2021</v>
      </c>
      <c r="E619" s="24" t="str">
        <f t="shared" si="46"/>
        <v>Q3</v>
      </c>
      <c r="F619" s="24" t="str">
        <f t="shared" si="47"/>
        <v>Sep</v>
      </c>
      <c r="G619" s="24">
        <f t="shared" si="48"/>
        <v>9</v>
      </c>
      <c r="H619" s="19">
        <v>1057</v>
      </c>
      <c r="I619" s="19" t="s">
        <v>3</v>
      </c>
      <c r="J619" s="19" t="s">
        <v>8</v>
      </c>
      <c r="K619" s="20">
        <v>3</v>
      </c>
      <c r="L619" s="21">
        <v>245.3</v>
      </c>
      <c r="M619" s="22">
        <v>0.16</v>
      </c>
      <c r="N619" s="21">
        <f t="shared" si="49"/>
        <v>206.05200000000002</v>
      </c>
      <c r="O619" s="21">
        <v>618.16</v>
      </c>
      <c r="P619" s="19" t="s">
        <v>4</v>
      </c>
      <c r="Q619" s="23">
        <v>4</v>
      </c>
      <c r="R619" s="45">
        <v>3.4</v>
      </c>
    </row>
    <row r="620" spans="2:18" x14ac:dyDescent="0.2">
      <c r="B620" s="25">
        <v>617</v>
      </c>
      <c r="C620" s="18">
        <v>44447</v>
      </c>
      <c r="D620" s="24">
        <f t="shared" si="45"/>
        <v>2021</v>
      </c>
      <c r="E620" s="24" t="str">
        <f t="shared" si="46"/>
        <v>Q3</v>
      </c>
      <c r="F620" s="24" t="str">
        <f t="shared" si="47"/>
        <v>Sep</v>
      </c>
      <c r="G620" s="24">
        <f t="shared" si="48"/>
        <v>9</v>
      </c>
      <c r="H620" s="19">
        <v>1633</v>
      </c>
      <c r="I620" s="19" t="s">
        <v>3</v>
      </c>
      <c r="J620" s="19" t="s">
        <v>8</v>
      </c>
      <c r="K620" s="20">
        <v>4</v>
      </c>
      <c r="L620" s="21">
        <v>192.11</v>
      </c>
      <c r="M620" s="22">
        <v>0.12</v>
      </c>
      <c r="N620" s="21">
        <f t="shared" si="49"/>
        <v>169.05680000000001</v>
      </c>
      <c r="O620" s="21">
        <v>676.23</v>
      </c>
      <c r="P620" s="19" t="s">
        <v>2</v>
      </c>
      <c r="Q620" s="23">
        <v>11</v>
      </c>
      <c r="R620" s="45">
        <v>2.2999999999999998</v>
      </c>
    </row>
    <row r="621" spans="2:18" x14ac:dyDescent="0.2">
      <c r="B621" s="25">
        <v>618</v>
      </c>
      <c r="C621" s="18">
        <v>44448</v>
      </c>
      <c r="D621" s="24">
        <f t="shared" si="45"/>
        <v>2021</v>
      </c>
      <c r="E621" s="24" t="str">
        <f t="shared" si="46"/>
        <v>Q3</v>
      </c>
      <c r="F621" s="24" t="str">
        <f t="shared" si="47"/>
        <v>Sep</v>
      </c>
      <c r="G621" s="24">
        <f t="shared" si="48"/>
        <v>9</v>
      </c>
      <c r="H621" s="19">
        <v>1512</v>
      </c>
      <c r="I621" s="19" t="s">
        <v>3</v>
      </c>
      <c r="J621" s="19" t="s">
        <v>1</v>
      </c>
      <c r="K621" s="20">
        <v>2</v>
      </c>
      <c r="L621" s="21">
        <v>284.49</v>
      </c>
      <c r="M621" s="22">
        <v>0.25</v>
      </c>
      <c r="N621" s="21">
        <f t="shared" si="49"/>
        <v>213.36750000000001</v>
      </c>
      <c r="O621" s="21">
        <v>426.74</v>
      </c>
      <c r="P621" s="19" t="s">
        <v>4</v>
      </c>
      <c r="Q621" s="23">
        <v>1</v>
      </c>
      <c r="R621" s="45">
        <v>1.5</v>
      </c>
    </row>
    <row r="622" spans="2:18" x14ac:dyDescent="0.2">
      <c r="B622" s="25">
        <v>619</v>
      </c>
      <c r="C622" s="18">
        <v>44449</v>
      </c>
      <c r="D622" s="24">
        <f t="shared" si="45"/>
        <v>2021</v>
      </c>
      <c r="E622" s="24" t="str">
        <f t="shared" si="46"/>
        <v>Q3</v>
      </c>
      <c r="F622" s="24" t="str">
        <f t="shared" si="47"/>
        <v>Sep</v>
      </c>
      <c r="G622" s="24">
        <f t="shared" si="48"/>
        <v>9</v>
      </c>
      <c r="H622" s="19">
        <v>1750</v>
      </c>
      <c r="I622" s="19" t="s">
        <v>3</v>
      </c>
      <c r="J622" s="19" t="s">
        <v>8</v>
      </c>
      <c r="K622" s="20">
        <v>6</v>
      </c>
      <c r="L622" s="21">
        <v>162.28</v>
      </c>
      <c r="M622" s="22">
        <v>0.18</v>
      </c>
      <c r="N622" s="21">
        <f t="shared" si="49"/>
        <v>133.06960000000001</v>
      </c>
      <c r="O622" s="21">
        <v>798.42</v>
      </c>
      <c r="P622" s="19" t="s">
        <v>4</v>
      </c>
      <c r="Q622" s="23">
        <v>10</v>
      </c>
      <c r="R622" s="45">
        <v>3.7</v>
      </c>
    </row>
    <row r="623" spans="2:18" x14ac:dyDescent="0.2">
      <c r="B623" s="25">
        <v>620</v>
      </c>
      <c r="C623" s="18">
        <v>44450</v>
      </c>
      <c r="D623" s="24">
        <f t="shared" si="45"/>
        <v>2021</v>
      </c>
      <c r="E623" s="24" t="str">
        <f t="shared" si="46"/>
        <v>Q3</v>
      </c>
      <c r="F623" s="24" t="str">
        <f t="shared" si="47"/>
        <v>Sep</v>
      </c>
      <c r="G623" s="24">
        <f t="shared" si="48"/>
        <v>9</v>
      </c>
      <c r="H623" s="19">
        <v>1801</v>
      </c>
      <c r="I623" s="19" t="s">
        <v>10</v>
      </c>
      <c r="J623" s="19" t="s">
        <v>9</v>
      </c>
      <c r="K623" s="20">
        <v>5</v>
      </c>
      <c r="L623" s="21">
        <v>234.29</v>
      </c>
      <c r="M623" s="22">
        <v>0.06</v>
      </c>
      <c r="N623" s="21">
        <f t="shared" si="49"/>
        <v>220.23259999999999</v>
      </c>
      <c r="O623" s="21">
        <v>1101.1600000000001</v>
      </c>
      <c r="P623" s="19" t="s">
        <v>4</v>
      </c>
      <c r="Q623" s="23">
        <v>9</v>
      </c>
      <c r="R623" s="45">
        <v>1</v>
      </c>
    </row>
    <row r="624" spans="2:18" x14ac:dyDescent="0.2">
      <c r="B624" s="25">
        <v>621</v>
      </c>
      <c r="C624" s="18">
        <v>44451</v>
      </c>
      <c r="D624" s="24">
        <f t="shared" si="45"/>
        <v>2021</v>
      </c>
      <c r="E624" s="24" t="str">
        <f t="shared" si="46"/>
        <v>Q3</v>
      </c>
      <c r="F624" s="24" t="str">
        <f t="shared" si="47"/>
        <v>Sep</v>
      </c>
      <c r="G624" s="24">
        <f t="shared" si="48"/>
        <v>9</v>
      </c>
      <c r="H624" s="19">
        <v>1095</v>
      </c>
      <c r="I624" s="19" t="s">
        <v>10</v>
      </c>
      <c r="J624" s="19" t="s">
        <v>8</v>
      </c>
      <c r="K624" s="20">
        <v>1</v>
      </c>
      <c r="L624" s="21">
        <v>482.97</v>
      </c>
      <c r="M624" s="22">
        <v>0.31</v>
      </c>
      <c r="N624" s="21">
        <f t="shared" si="49"/>
        <v>333.24930000000006</v>
      </c>
      <c r="O624" s="21">
        <v>333.25</v>
      </c>
      <c r="P624" s="19" t="s">
        <v>2</v>
      </c>
      <c r="Q624" s="23">
        <v>4</v>
      </c>
      <c r="R624" s="45">
        <v>2.2999999999999998</v>
      </c>
    </row>
    <row r="625" spans="2:18" x14ac:dyDescent="0.2">
      <c r="B625" s="25">
        <v>622</v>
      </c>
      <c r="C625" s="18">
        <v>44452</v>
      </c>
      <c r="D625" s="24">
        <f t="shared" si="45"/>
        <v>2021</v>
      </c>
      <c r="E625" s="24" t="str">
        <f t="shared" si="46"/>
        <v>Q3</v>
      </c>
      <c r="F625" s="24" t="str">
        <f t="shared" si="47"/>
        <v>Sep</v>
      </c>
      <c r="G625" s="24">
        <f t="shared" si="48"/>
        <v>9</v>
      </c>
      <c r="H625" s="19">
        <v>1637</v>
      </c>
      <c r="I625" s="19" t="s">
        <v>7</v>
      </c>
      <c r="J625" s="19" t="s">
        <v>1</v>
      </c>
      <c r="K625" s="20">
        <v>6</v>
      </c>
      <c r="L625" s="21">
        <v>503.04</v>
      </c>
      <c r="M625" s="22">
        <v>0.1</v>
      </c>
      <c r="N625" s="21">
        <f t="shared" si="49"/>
        <v>452.73599999999999</v>
      </c>
      <c r="O625" s="21">
        <v>2716.42</v>
      </c>
      <c r="P625" s="19" t="s">
        <v>4</v>
      </c>
      <c r="Q625" s="23">
        <v>3</v>
      </c>
      <c r="R625" s="45">
        <v>1.9</v>
      </c>
    </row>
    <row r="626" spans="2:18" x14ac:dyDescent="0.2">
      <c r="B626" s="25">
        <v>623</v>
      </c>
      <c r="C626" s="18">
        <v>44453</v>
      </c>
      <c r="D626" s="24">
        <f t="shared" si="45"/>
        <v>2021</v>
      </c>
      <c r="E626" s="24" t="str">
        <f t="shared" si="46"/>
        <v>Q3</v>
      </c>
      <c r="F626" s="24" t="str">
        <f t="shared" si="47"/>
        <v>Sep</v>
      </c>
      <c r="G626" s="24">
        <f t="shared" si="48"/>
        <v>9</v>
      </c>
      <c r="H626" s="19">
        <v>1117</v>
      </c>
      <c r="I626" s="19" t="s">
        <v>0</v>
      </c>
      <c r="J626" s="19" t="s">
        <v>1</v>
      </c>
      <c r="K626" s="20">
        <v>6</v>
      </c>
      <c r="L626" s="21">
        <v>192.95</v>
      </c>
      <c r="M626" s="22">
        <v>0.26</v>
      </c>
      <c r="N626" s="21">
        <f t="shared" si="49"/>
        <v>142.78299999999999</v>
      </c>
      <c r="O626" s="21">
        <v>856.7</v>
      </c>
      <c r="P626" s="19" t="s">
        <v>6</v>
      </c>
      <c r="Q626" s="23">
        <v>3</v>
      </c>
      <c r="R626" s="45">
        <v>2.6</v>
      </c>
    </row>
    <row r="627" spans="2:18" x14ac:dyDescent="0.2">
      <c r="B627" s="25">
        <v>624</v>
      </c>
      <c r="C627" s="18">
        <v>44454</v>
      </c>
      <c r="D627" s="24">
        <f t="shared" si="45"/>
        <v>2021</v>
      </c>
      <c r="E627" s="24" t="str">
        <f t="shared" si="46"/>
        <v>Q3</v>
      </c>
      <c r="F627" s="24" t="str">
        <f t="shared" si="47"/>
        <v>Sep</v>
      </c>
      <c r="G627" s="24">
        <f t="shared" si="48"/>
        <v>9</v>
      </c>
      <c r="H627" s="19">
        <v>1559</v>
      </c>
      <c r="I627" s="19" t="s">
        <v>0</v>
      </c>
      <c r="J627" s="19" t="s">
        <v>1</v>
      </c>
      <c r="K627" s="20">
        <v>5</v>
      </c>
      <c r="L627" s="21">
        <v>289.37</v>
      </c>
      <c r="M627" s="22">
        <v>0.27</v>
      </c>
      <c r="N627" s="21">
        <f t="shared" si="49"/>
        <v>211.24009999999998</v>
      </c>
      <c r="O627" s="21">
        <v>1056.2</v>
      </c>
      <c r="P627" s="19" t="s">
        <v>2</v>
      </c>
      <c r="Q627" s="23">
        <v>9</v>
      </c>
      <c r="R627" s="45">
        <v>2.2000000000000002</v>
      </c>
    </row>
    <row r="628" spans="2:18" x14ac:dyDescent="0.2">
      <c r="B628" s="25">
        <v>625</v>
      </c>
      <c r="C628" s="18">
        <v>44455</v>
      </c>
      <c r="D628" s="24">
        <f t="shared" si="45"/>
        <v>2021</v>
      </c>
      <c r="E628" s="24" t="str">
        <f t="shared" si="46"/>
        <v>Q3</v>
      </c>
      <c r="F628" s="24" t="str">
        <f t="shared" si="47"/>
        <v>Sep</v>
      </c>
      <c r="G628" s="24">
        <f t="shared" si="48"/>
        <v>9</v>
      </c>
      <c r="H628" s="19">
        <v>1600</v>
      </c>
      <c r="I628" s="19" t="s">
        <v>7</v>
      </c>
      <c r="J628" s="19" t="s">
        <v>5</v>
      </c>
      <c r="K628" s="20">
        <v>4</v>
      </c>
      <c r="L628" s="21">
        <v>526.17999999999995</v>
      </c>
      <c r="M628" s="22">
        <v>0.34</v>
      </c>
      <c r="N628" s="21">
        <f t="shared" si="49"/>
        <v>347.27879999999993</v>
      </c>
      <c r="O628" s="21">
        <v>1389.12</v>
      </c>
      <c r="P628" s="19" t="s">
        <v>6</v>
      </c>
      <c r="Q628" s="23">
        <v>8</v>
      </c>
      <c r="R628" s="45">
        <v>3.8</v>
      </c>
    </row>
    <row r="629" spans="2:18" x14ac:dyDescent="0.2">
      <c r="B629" s="25">
        <v>626</v>
      </c>
      <c r="C629" s="18">
        <v>44456</v>
      </c>
      <c r="D629" s="24">
        <f t="shared" si="45"/>
        <v>2021</v>
      </c>
      <c r="E629" s="24" t="str">
        <f t="shared" si="46"/>
        <v>Q3</v>
      </c>
      <c r="F629" s="24" t="str">
        <f t="shared" si="47"/>
        <v>Sep</v>
      </c>
      <c r="G629" s="24">
        <f t="shared" si="48"/>
        <v>9</v>
      </c>
      <c r="H629" s="19">
        <v>1487</v>
      </c>
      <c r="I629" s="19" t="s">
        <v>3</v>
      </c>
      <c r="J629" s="19" t="s">
        <v>1</v>
      </c>
      <c r="K629" s="20">
        <v>3</v>
      </c>
      <c r="L629" s="21">
        <v>45.81</v>
      </c>
      <c r="M629" s="22">
        <v>0.17</v>
      </c>
      <c r="N629" s="21">
        <f t="shared" si="49"/>
        <v>38.022300000000001</v>
      </c>
      <c r="O629" s="21">
        <v>114.07</v>
      </c>
      <c r="P629" s="19" t="s">
        <v>4</v>
      </c>
      <c r="Q629" s="23">
        <v>10</v>
      </c>
      <c r="R629" s="45">
        <v>2</v>
      </c>
    </row>
    <row r="630" spans="2:18" x14ac:dyDescent="0.2">
      <c r="B630" s="25">
        <v>627</v>
      </c>
      <c r="C630" s="18">
        <v>44457</v>
      </c>
      <c r="D630" s="24">
        <f t="shared" si="45"/>
        <v>2021</v>
      </c>
      <c r="E630" s="24" t="str">
        <f t="shared" si="46"/>
        <v>Q3</v>
      </c>
      <c r="F630" s="24" t="str">
        <f t="shared" si="47"/>
        <v>Sep</v>
      </c>
      <c r="G630" s="24">
        <f t="shared" si="48"/>
        <v>9</v>
      </c>
      <c r="H630" s="19">
        <v>1236</v>
      </c>
      <c r="I630" s="19" t="s">
        <v>3</v>
      </c>
      <c r="J630" s="19" t="s">
        <v>9</v>
      </c>
      <c r="K630" s="20">
        <v>3</v>
      </c>
      <c r="L630" s="21">
        <v>535.15</v>
      </c>
      <c r="M630" s="22">
        <v>0.22</v>
      </c>
      <c r="N630" s="21">
        <f t="shared" si="49"/>
        <v>417.41699999999997</v>
      </c>
      <c r="O630" s="21">
        <v>1252.25</v>
      </c>
      <c r="P630" s="19" t="s">
        <v>2</v>
      </c>
      <c r="Q630" s="23">
        <v>7</v>
      </c>
      <c r="R630" s="45">
        <v>3.2</v>
      </c>
    </row>
    <row r="631" spans="2:18" x14ac:dyDescent="0.2">
      <c r="B631" s="25">
        <v>628</v>
      </c>
      <c r="C631" s="18">
        <v>44458</v>
      </c>
      <c r="D631" s="24">
        <f t="shared" si="45"/>
        <v>2021</v>
      </c>
      <c r="E631" s="24" t="str">
        <f t="shared" si="46"/>
        <v>Q3</v>
      </c>
      <c r="F631" s="24" t="str">
        <f t="shared" si="47"/>
        <v>Sep</v>
      </c>
      <c r="G631" s="24">
        <f t="shared" si="48"/>
        <v>9</v>
      </c>
      <c r="H631" s="19">
        <v>1884</v>
      </c>
      <c r="I631" s="19" t="s">
        <v>0</v>
      </c>
      <c r="J631" s="19" t="s">
        <v>8</v>
      </c>
      <c r="K631" s="20">
        <v>7</v>
      </c>
      <c r="L631" s="21">
        <v>143.22</v>
      </c>
      <c r="M631" s="22">
        <v>0.12</v>
      </c>
      <c r="N631" s="21">
        <f t="shared" si="49"/>
        <v>126.03360000000001</v>
      </c>
      <c r="O631" s="21">
        <v>882.24</v>
      </c>
      <c r="P631" s="19" t="s">
        <v>2</v>
      </c>
      <c r="Q631" s="23">
        <v>7</v>
      </c>
      <c r="R631" s="45">
        <v>2.8</v>
      </c>
    </row>
    <row r="632" spans="2:18" x14ac:dyDescent="0.2">
      <c r="B632" s="25">
        <v>629</v>
      </c>
      <c r="C632" s="18">
        <v>44459</v>
      </c>
      <c r="D632" s="24">
        <f t="shared" si="45"/>
        <v>2021</v>
      </c>
      <c r="E632" s="24" t="str">
        <f t="shared" si="46"/>
        <v>Q3</v>
      </c>
      <c r="F632" s="24" t="str">
        <f t="shared" si="47"/>
        <v>Sep</v>
      </c>
      <c r="G632" s="24">
        <f t="shared" si="48"/>
        <v>9</v>
      </c>
      <c r="H632" s="19">
        <v>1896</v>
      </c>
      <c r="I632" s="19" t="s">
        <v>0</v>
      </c>
      <c r="J632" s="19" t="s">
        <v>8</v>
      </c>
      <c r="K632" s="20">
        <v>2</v>
      </c>
      <c r="L632" s="21">
        <v>411.95</v>
      </c>
      <c r="M632" s="22">
        <v>0.24</v>
      </c>
      <c r="N632" s="21">
        <f t="shared" si="49"/>
        <v>313.08199999999999</v>
      </c>
      <c r="O632" s="21">
        <v>626.16</v>
      </c>
      <c r="P632" s="19" t="s">
        <v>4</v>
      </c>
      <c r="Q632" s="23">
        <v>4</v>
      </c>
      <c r="R632" s="45">
        <v>4.2</v>
      </c>
    </row>
    <row r="633" spans="2:18" x14ac:dyDescent="0.2">
      <c r="B633" s="25">
        <v>630</v>
      </c>
      <c r="C633" s="18">
        <v>44460</v>
      </c>
      <c r="D633" s="24">
        <f t="shared" si="45"/>
        <v>2021</v>
      </c>
      <c r="E633" s="24" t="str">
        <f t="shared" si="46"/>
        <v>Q3</v>
      </c>
      <c r="F633" s="24" t="str">
        <f t="shared" si="47"/>
        <v>Sep</v>
      </c>
      <c r="G633" s="24">
        <f t="shared" si="48"/>
        <v>9</v>
      </c>
      <c r="H633" s="19">
        <v>1271</v>
      </c>
      <c r="I633" s="19" t="s">
        <v>7</v>
      </c>
      <c r="J633" s="19" t="s">
        <v>5</v>
      </c>
      <c r="K633" s="20">
        <v>4</v>
      </c>
      <c r="L633" s="21">
        <v>355.79</v>
      </c>
      <c r="M633" s="22">
        <v>0.16</v>
      </c>
      <c r="N633" s="21">
        <f t="shared" si="49"/>
        <v>298.86360000000002</v>
      </c>
      <c r="O633" s="21">
        <v>1195.45</v>
      </c>
      <c r="P633" s="19" t="s">
        <v>6</v>
      </c>
      <c r="Q633" s="23">
        <v>3</v>
      </c>
      <c r="R633" s="45">
        <v>2.7</v>
      </c>
    </row>
    <row r="634" spans="2:18" x14ac:dyDescent="0.2">
      <c r="B634" s="25">
        <v>631</v>
      </c>
      <c r="C634" s="18">
        <v>44461</v>
      </c>
      <c r="D634" s="24">
        <f t="shared" si="45"/>
        <v>2021</v>
      </c>
      <c r="E634" s="24" t="str">
        <f t="shared" si="46"/>
        <v>Q3</v>
      </c>
      <c r="F634" s="24" t="str">
        <f t="shared" si="47"/>
        <v>Sep</v>
      </c>
      <c r="G634" s="24">
        <f t="shared" si="48"/>
        <v>9</v>
      </c>
      <c r="H634" s="19">
        <v>1188</v>
      </c>
      <c r="I634" s="19" t="s">
        <v>3</v>
      </c>
      <c r="J634" s="19" t="s">
        <v>5</v>
      </c>
      <c r="K634" s="20">
        <v>5</v>
      </c>
      <c r="L634" s="21">
        <v>338.47</v>
      </c>
      <c r="M634" s="22">
        <v>0.15</v>
      </c>
      <c r="N634" s="21">
        <f t="shared" si="49"/>
        <v>287.6995</v>
      </c>
      <c r="O634" s="21">
        <v>1438.5</v>
      </c>
      <c r="P634" s="19" t="s">
        <v>2</v>
      </c>
      <c r="Q634" s="23">
        <v>4</v>
      </c>
      <c r="R634" s="45">
        <v>4.5</v>
      </c>
    </row>
    <row r="635" spans="2:18" x14ac:dyDescent="0.2">
      <c r="B635" s="25">
        <v>632</v>
      </c>
      <c r="C635" s="18">
        <v>44462</v>
      </c>
      <c r="D635" s="24">
        <f t="shared" si="45"/>
        <v>2021</v>
      </c>
      <c r="E635" s="24" t="str">
        <f t="shared" si="46"/>
        <v>Q3</v>
      </c>
      <c r="F635" s="24" t="str">
        <f t="shared" si="47"/>
        <v>Sep</v>
      </c>
      <c r="G635" s="24">
        <f t="shared" si="48"/>
        <v>9</v>
      </c>
      <c r="H635" s="19">
        <v>1998</v>
      </c>
      <c r="I635" s="19" t="s">
        <v>3</v>
      </c>
      <c r="J635" s="19" t="s">
        <v>9</v>
      </c>
      <c r="K635" s="20">
        <v>4</v>
      </c>
      <c r="L635" s="21">
        <v>517.73</v>
      </c>
      <c r="M635" s="22">
        <v>0.3</v>
      </c>
      <c r="N635" s="21">
        <f t="shared" si="49"/>
        <v>362.41100000000006</v>
      </c>
      <c r="O635" s="21">
        <v>1449.64</v>
      </c>
      <c r="P635" s="19" t="s">
        <v>2</v>
      </c>
      <c r="Q635" s="23">
        <v>6</v>
      </c>
      <c r="R635" s="45">
        <v>1</v>
      </c>
    </row>
    <row r="636" spans="2:18" x14ac:dyDescent="0.2">
      <c r="B636" s="25">
        <v>633</v>
      </c>
      <c r="C636" s="18">
        <v>44463</v>
      </c>
      <c r="D636" s="24">
        <f t="shared" si="45"/>
        <v>2021</v>
      </c>
      <c r="E636" s="24" t="str">
        <f t="shared" si="46"/>
        <v>Q3</v>
      </c>
      <c r="F636" s="24" t="str">
        <f t="shared" si="47"/>
        <v>Sep</v>
      </c>
      <c r="G636" s="24">
        <f t="shared" si="48"/>
        <v>9</v>
      </c>
      <c r="H636" s="19">
        <v>1703</v>
      </c>
      <c r="I636" s="19" t="s">
        <v>3</v>
      </c>
      <c r="J636" s="19" t="s">
        <v>1</v>
      </c>
      <c r="K636" s="20">
        <v>4</v>
      </c>
      <c r="L636" s="21">
        <v>74.42</v>
      </c>
      <c r="M636" s="22">
        <v>0.02</v>
      </c>
      <c r="N636" s="21">
        <f t="shared" si="49"/>
        <v>72.931600000000003</v>
      </c>
      <c r="O636" s="21">
        <v>291.73</v>
      </c>
      <c r="P636" s="19" t="s">
        <v>4</v>
      </c>
      <c r="Q636" s="23">
        <v>4</v>
      </c>
      <c r="R636" s="45">
        <v>3.4</v>
      </c>
    </row>
    <row r="637" spans="2:18" x14ac:dyDescent="0.2">
      <c r="B637" s="25">
        <v>634</v>
      </c>
      <c r="C637" s="18">
        <v>44464</v>
      </c>
      <c r="D637" s="24">
        <f t="shared" si="45"/>
        <v>2021</v>
      </c>
      <c r="E637" s="24" t="str">
        <f t="shared" si="46"/>
        <v>Q3</v>
      </c>
      <c r="F637" s="24" t="str">
        <f t="shared" si="47"/>
        <v>Sep</v>
      </c>
      <c r="G637" s="24">
        <f t="shared" si="48"/>
        <v>9</v>
      </c>
      <c r="H637" s="19">
        <v>1446</v>
      </c>
      <c r="I637" s="19" t="s">
        <v>7</v>
      </c>
      <c r="J637" s="19" t="s">
        <v>5</v>
      </c>
      <c r="K637" s="20">
        <v>3</v>
      </c>
      <c r="L637" s="21">
        <v>218.01</v>
      </c>
      <c r="M637" s="22">
        <v>0.31</v>
      </c>
      <c r="N637" s="21">
        <f t="shared" si="49"/>
        <v>150.42689999999999</v>
      </c>
      <c r="O637" s="21">
        <v>451.28</v>
      </c>
      <c r="P637" s="19" t="s">
        <v>2</v>
      </c>
      <c r="Q637" s="23">
        <v>4</v>
      </c>
      <c r="R637" s="45">
        <v>1</v>
      </c>
    </row>
    <row r="638" spans="2:18" x14ac:dyDescent="0.2">
      <c r="B638" s="25">
        <v>635</v>
      </c>
      <c r="C638" s="18">
        <v>44465</v>
      </c>
      <c r="D638" s="24">
        <f t="shared" si="45"/>
        <v>2021</v>
      </c>
      <c r="E638" s="24" t="str">
        <f t="shared" si="46"/>
        <v>Q3</v>
      </c>
      <c r="F638" s="24" t="str">
        <f t="shared" si="47"/>
        <v>Sep</v>
      </c>
      <c r="G638" s="24">
        <f t="shared" si="48"/>
        <v>9</v>
      </c>
      <c r="H638" s="19">
        <v>1580</v>
      </c>
      <c r="I638" s="19" t="s">
        <v>0</v>
      </c>
      <c r="J638" s="19" t="s">
        <v>8</v>
      </c>
      <c r="K638" s="20">
        <v>5</v>
      </c>
      <c r="L638" s="21">
        <v>329.88</v>
      </c>
      <c r="M638" s="22">
        <v>0.3</v>
      </c>
      <c r="N638" s="21">
        <f t="shared" si="49"/>
        <v>230.916</v>
      </c>
      <c r="O638" s="21">
        <v>1154.58</v>
      </c>
      <c r="P638" s="19" t="s">
        <v>4</v>
      </c>
      <c r="Q638" s="23">
        <v>2</v>
      </c>
      <c r="R638" s="45">
        <v>3.9</v>
      </c>
    </row>
    <row r="639" spans="2:18" x14ac:dyDescent="0.2">
      <c r="B639" s="25">
        <v>636</v>
      </c>
      <c r="C639" s="18">
        <v>44466</v>
      </c>
      <c r="D639" s="24">
        <f t="shared" si="45"/>
        <v>2021</v>
      </c>
      <c r="E639" s="24" t="str">
        <f t="shared" si="46"/>
        <v>Q3</v>
      </c>
      <c r="F639" s="24" t="str">
        <f t="shared" si="47"/>
        <v>Sep</v>
      </c>
      <c r="G639" s="24">
        <f t="shared" si="48"/>
        <v>9</v>
      </c>
      <c r="H639" s="19">
        <v>1789</v>
      </c>
      <c r="I639" s="19" t="s">
        <v>10</v>
      </c>
      <c r="J639" s="19" t="s">
        <v>5</v>
      </c>
      <c r="K639" s="20">
        <v>1</v>
      </c>
      <c r="L639" s="21">
        <v>489.6</v>
      </c>
      <c r="M639" s="22">
        <v>0.18</v>
      </c>
      <c r="N639" s="21">
        <f t="shared" si="49"/>
        <v>401.47200000000004</v>
      </c>
      <c r="O639" s="21">
        <v>401.47</v>
      </c>
      <c r="P639" s="19" t="s">
        <v>4</v>
      </c>
      <c r="Q639" s="23">
        <v>7</v>
      </c>
      <c r="R639" s="45">
        <v>1.9</v>
      </c>
    </row>
    <row r="640" spans="2:18" x14ac:dyDescent="0.2">
      <c r="B640" s="25">
        <v>637</v>
      </c>
      <c r="C640" s="18">
        <v>44467</v>
      </c>
      <c r="D640" s="24">
        <f t="shared" si="45"/>
        <v>2021</v>
      </c>
      <c r="E640" s="24" t="str">
        <f t="shared" si="46"/>
        <v>Q3</v>
      </c>
      <c r="F640" s="24" t="str">
        <f t="shared" si="47"/>
        <v>Sep</v>
      </c>
      <c r="G640" s="24">
        <f t="shared" si="48"/>
        <v>9</v>
      </c>
      <c r="H640" s="19">
        <v>1860</v>
      </c>
      <c r="I640" s="19" t="s">
        <v>10</v>
      </c>
      <c r="J640" s="19" t="s">
        <v>5</v>
      </c>
      <c r="K640" s="20">
        <v>6</v>
      </c>
      <c r="L640" s="21">
        <v>141.62</v>
      </c>
      <c r="M640" s="22">
        <v>0.17</v>
      </c>
      <c r="N640" s="21">
        <f t="shared" si="49"/>
        <v>117.5446</v>
      </c>
      <c r="O640" s="21">
        <v>705.27</v>
      </c>
      <c r="P640" s="19" t="s">
        <v>4</v>
      </c>
      <c r="Q640" s="23">
        <v>6</v>
      </c>
      <c r="R640" s="45">
        <v>2.5</v>
      </c>
    </row>
    <row r="641" spans="2:18" x14ac:dyDescent="0.2">
      <c r="B641" s="25">
        <v>638</v>
      </c>
      <c r="C641" s="18">
        <v>44468</v>
      </c>
      <c r="D641" s="24">
        <f t="shared" si="45"/>
        <v>2021</v>
      </c>
      <c r="E641" s="24" t="str">
        <f t="shared" si="46"/>
        <v>Q3</v>
      </c>
      <c r="F641" s="24" t="str">
        <f t="shared" si="47"/>
        <v>Sep</v>
      </c>
      <c r="G641" s="24">
        <f t="shared" si="48"/>
        <v>9</v>
      </c>
      <c r="H641" s="19">
        <v>1246</v>
      </c>
      <c r="I641" s="19" t="s">
        <v>0</v>
      </c>
      <c r="J641" s="19" t="s">
        <v>1</v>
      </c>
      <c r="K641" s="20">
        <v>3</v>
      </c>
      <c r="L641" s="21">
        <v>484.71</v>
      </c>
      <c r="M641" s="22">
        <v>0.13</v>
      </c>
      <c r="N641" s="21">
        <f t="shared" si="49"/>
        <v>421.6977</v>
      </c>
      <c r="O641" s="21">
        <v>1265.0899999999999</v>
      </c>
      <c r="P641" s="19" t="s">
        <v>4</v>
      </c>
      <c r="Q641" s="23">
        <v>2</v>
      </c>
      <c r="R641" s="45">
        <v>2.5</v>
      </c>
    </row>
    <row r="642" spans="2:18" x14ac:dyDescent="0.2">
      <c r="B642" s="25">
        <v>639</v>
      </c>
      <c r="C642" s="18">
        <v>44469</v>
      </c>
      <c r="D642" s="24">
        <f t="shared" si="45"/>
        <v>2021</v>
      </c>
      <c r="E642" s="24" t="str">
        <f t="shared" si="46"/>
        <v>Q3</v>
      </c>
      <c r="F642" s="24" t="str">
        <f t="shared" si="47"/>
        <v>Sep</v>
      </c>
      <c r="G642" s="24">
        <f t="shared" si="48"/>
        <v>9</v>
      </c>
      <c r="H642" s="19">
        <v>1962</v>
      </c>
      <c r="I642" s="19" t="s">
        <v>10</v>
      </c>
      <c r="J642" s="19" t="s">
        <v>5</v>
      </c>
      <c r="K642" s="20">
        <v>5</v>
      </c>
      <c r="L642" s="21">
        <v>248.79</v>
      </c>
      <c r="M642" s="22">
        <v>0.35</v>
      </c>
      <c r="N642" s="21">
        <f t="shared" si="49"/>
        <v>161.71350000000001</v>
      </c>
      <c r="O642" s="21">
        <v>808.57</v>
      </c>
      <c r="P642" s="19" t="s">
        <v>6</v>
      </c>
      <c r="Q642" s="23">
        <v>5</v>
      </c>
      <c r="R642" s="45">
        <v>4.4000000000000004</v>
      </c>
    </row>
    <row r="643" spans="2:18" x14ac:dyDescent="0.2">
      <c r="B643" s="25">
        <v>640</v>
      </c>
      <c r="C643" s="18">
        <v>44470</v>
      </c>
      <c r="D643" s="24">
        <f t="shared" si="45"/>
        <v>2021</v>
      </c>
      <c r="E643" s="24" t="str">
        <f t="shared" si="46"/>
        <v>Q4</v>
      </c>
      <c r="F643" s="24" t="str">
        <f t="shared" si="47"/>
        <v>Oct</v>
      </c>
      <c r="G643" s="24">
        <f t="shared" si="48"/>
        <v>10</v>
      </c>
      <c r="H643" s="19">
        <v>1075</v>
      </c>
      <c r="I643" s="19" t="s">
        <v>3</v>
      </c>
      <c r="J643" s="19" t="s">
        <v>9</v>
      </c>
      <c r="K643" s="20">
        <v>2</v>
      </c>
      <c r="L643" s="21">
        <v>125.51</v>
      </c>
      <c r="M643" s="22">
        <v>0.04</v>
      </c>
      <c r="N643" s="21">
        <f t="shared" si="49"/>
        <v>120.48960000000001</v>
      </c>
      <c r="O643" s="21">
        <v>240.98</v>
      </c>
      <c r="P643" s="19" t="s">
        <v>6</v>
      </c>
      <c r="Q643" s="23">
        <v>6</v>
      </c>
      <c r="R643" s="45">
        <v>1.4</v>
      </c>
    </row>
    <row r="644" spans="2:18" x14ac:dyDescent="0.2">
      <c r="B644" s="25">
        <v>641</v>
      </c>
      <c r="C644" s="18">
        <v>44471</v>
      </c>
      <c r="D644" s="24">
        <f t="shared" ref="D644:D707" si="50">YEAR(C644)</f>
        <v>2021</v>
      </c>
      <c r="E644" s="24" t="str">
        <f t="shared" ref="E644:E707" si="51">"Q"&amp;ROUNDUP(MONTH(C644)/3,0)</f>
        <v>Q4</v>
      </c>
      <c r="F644" s="24" t="str">
        <f t="shared" ref="F644:F707" si="52">TEXT(C644,"mmm")</f>
        <v>Oct</v>
      </c>
      <c r="G644" s="24">
        <f t="shared" ref="G644:G707" si="53">MONTH(C644)</f>
        <v>10</v>
      </c>
      <c r="H644" s="19">
        <v>1153</v>
      </c>
      <c r="I644" s="19" t="s">
        <v>3</v>
      </c>
      <c r="J644" s="19" t="s">
        <v>8</v>
      </c>
      <c r="K644" s="20">
        <v>6</v>
      </c>
      <c r="L644" s="21">
        <v>459.01</v>
      </c>
      <c r="M644" s="22">
        <v>0.21</v>
      </c>
      <c r="N644" s="21">
        <f t="shared" si="49"/>
        <v>362.61789999999996</v>
      </c>
      <c r="O644" s="21">
        <v>2175.71</v>
      </c>
      <c r="P644" s="19" t="s">
        <v>4</v>
      </c>
      <c r="Q644" s="23">
        <v>5</v>
      </c>
      <c r="R644" s="45">
        <v>3.7</v>
      </c>
    </row>
    <row r="645" spans="2:18" x14ac:dyDescent="0.2">
      <c r="B645" s="25">
        <v>642</v>
      </c>
      <c r="C645" s="18">
        <v>44472</v>
      </c>
      <c r="D645" s="24">
        <f t="shared" si="50"/>
        <v>2021</v>
      </c>
      <c r="E645" s="24" t="str">
        <f t="shared" si="51"/>
        <v>Q4</v>
      </c>
      <c r="F645" s="24" t="str">
        <f t="shared" si="52"/>
        <v>Oct</v>
      </c>
      <c r="G645" s="24">
        <f t="shared" si="53"/>
        <v>10</v>
      </c>
      <c r="H645" s="19">
        <v>1655</v>
      </c>
      <c r="I645" s="19" t="s">
        <v>7</v>
      </c>
      <c r="J645" s="19" t="s">
        <v>1</v>
      </c>
      <c r="K645" s="20">
        <v>6</v>
      </c>
      <c r="L645" s="21">
        <v>68.180000000000007</v>
      </c>
      <c r="M645" s="22">
        <v>0.24</v>
      </c>
      <c r="N645" s="21">
        <f t="shared" ref="N645:N708" si="54">L645-(L645*M645)</f>
        <v>51.816800000000001</v>
      </c>
      <c r="O645" s="21">
        <v>310.89999999999998</v>
      </c>
      <c r="P645" s="19" t="s">
        <v>4</v>
      </c>
      <c r="Q645" s="23">
        <v>4</v>
      </c>
      <c r="R645" s="45">
        <v>4.9000000000000004</v>
      </c>
    </row>
    <row r="646" spans="2:18" x14ac:dyDescent="0.2">
      <c r="B646" s="25">
        <v>643</v>
      </c>
      <c r="C646" s="18">
        <v>44473</v>
      </c>
      <c r="D646" s="24">
        <f t="shared" si="50"/>
        <v>2021</v>
      </c>
      <c r="E646" s="24" t="str">
        <f t="shared" si="51"/>
        <v>Q4</v>
      </c>
      <c r="F646" s="24" t="str">
        <f t="shared" si="52"/>
        <v>Oct</v>
      </c>
      <c r="G646" s="24">
        <f t="shared" si="53"/>
        <v>10</v>
      </c>
      <c r="H646" s="19">
        <v>1434</v>
      </c>
      <c r="I646" s="19" t="s">
        <v>10</v>
      </c>
      <c r="J646" s="19" t="s">
        <v>8</v>
      </c>
      <c r="K646" s="20">
        <v>3</v>
      </c>
      <c r="L646" s="21">
        <v>316.14</v>
      </c>
      <c r="M646" s="22">
        <v>0.33</v>
      </c>
      <c r="N646" s="21">
        <f t="shared" si="54"/>
        <v>211.81379999999999</v>
      </c>
      <c r="O646" s="21">
        <v>635.44000000000005</v>
      </c>
      <c r="P646" s="19" t="s">
        <v>4</v>
      </c>
      <c r="Q646" s="23">
        <v>11</v>
      </c>
      <c r="R646" s="45">
        <v>1.1000000000000001</v>
      </c>
    </row>
    <row r="647" spans="2:18" x14ac:dyDescent="0.2">
      <c r="B647" s="25">
        <v>644</v>
      </c>
      <c r="C647" s="18">
        <v>44474</v>
      </c>
      <c r="D647" s="24">
        <f t="shared" si="50"/>
        <v>2021</v>
      </c>
      <c r="E647" s="24" t="str">
        <f t="shared" si="51"/>
        <v>Q4</v>
      </c>
      <c r="F647" s="24" t="str">
        <f t="shared" si="52"/>
        <v>Oct</v>
      </c>
      <c r="G647" s="24">
        <f t="shared" si="53"/>
        <v>10</v>
      </c>
      <c r="H647" s="19">
        <v>1996</v>
      </c>
      <c r="I647" s="19" t="s">
        <v>7</v>
      </c>
      <c r="J647" s="19" t="s">
        <v>9</v>
      </c>
      <c r="K647" s="20">
        <v>7</v>
      </c>
      <c r="L647" s="21">
        <v>52.37</v>
      </c>
      <c r="M647" s="22">
        <v>0.27</v>
      </c>
      <c r="N647" s="21">
        <f t="shared" si="54"/>
        <v>38.230099999999993</v>
      </c>
      <c r="O647" s="21">
        <v>267.61</v>
      </c>
      <c r="P647" s="19" t="s">
        <v>2</v>
      </c>
      <c r="Q647" s="23">
        <v>11</v>
      </c>
      <c r="R647" s="45">
        <v>4.9000000000000004</v>
      </c>
    </row>
    <row r="648" spans="2:18" x14ac:dyDescent="0.2">
      <c r="B648" s="25">
        <v>645</v>
      </c>
      <c r="C648" s="18">
        <v>44475</v>
      </c>
      <c r="D648" s="24">
        <f t="shared" si="50"/>
        <v>2021</v>
      </c>
      <c r="E648" s="24" t="str">
        <f t="shared" si="51"/>
        <v>Q4</v>
      </c>
      <c r="F648" s="24" t="str">
        <f t="shared" si="52"/>
        <v>Oct</v>
      </c>
      <c r="G648" s="24">
        <f t="shared" si="53"/>
        <v>10</v>
      </c>
      <c r="H648" s="19">
        <v>1085</v>
      </c>
      <c r="I648" s="19" t="s">
        <v>10</v>
      </c>
      <c r="J648" s="19" t="s">
        <v>9</v>
      </c>
      <c r="K648" s="20">
        <v>2</v>
      </c>
      <c r="L648" s="21">
        <v>223.5</v>
      </c>
      <c r="M648" s="22">
        <v>0.23</v>
      </c>
      <c r="N648" s="21">
        <f t="shared" si="54"/>
        <v>172.095</v>
      </c>
      <c r="O648" s="21">
        <v>344.19</v>
      </c>
      <c r="P648" s="19" t="s">
        <v>2</v>
      </c>
      <c r="Q648" s="23">
        <v>9</v>
      </c>
      <c r="R648" s="45">
        <v>1.1000000000000001</v>
      </c>
    </row>
    <row r="649" spans="2:18" x14ac:dyDescent="0.2">
      <c r="B649" s="25">
        <v>646</v>
      </c>
      <c r="C649" s="18">
        <v>44476</v>
      </c>
      <c r="D649" s="24">
        <f t="shared" si="50"/>
        <v>2021</v>
      </c>
      <c r="E649" s="24" t="str">
        <f t="shared" si="51"/>
        <v>Q4</v>
      </c>
      <c r="F649" s="24" t="str">
        <f t="shared" si="52"/>
        <v>Oct</v>
      </c>
      <c r="G649" s="24">
        <f t="shared" si="53"/>
        <v>10</v>
      </c>
      <c r="H649" s="19">
        <v>1696</v>
      </c>
      <c r="I649" s="19" t="s">
        <v>7</v>
      </c>
      <c r="J649" s="19" t="s">
        <v>5</v>
      </c>
      <c r="K649" s="20">
        <v>3</v>
      </c>
      <c r="L649" s="21">
        <v>366.63</v>
      </c>
      <c r="M649" s="22">
        <v>0.04</v>
      </c>
      <c r="N649" s="21">
        <f t="shared" si="54"/>
        <v>351.96479999999997</v>
      </c>
      <c r="O649" s="21">
        <v>1055.8900000000001</v>
      </c>
      <c r="P649" s="19" t="s">
        <v>4</v>
      </c>
      <c r="Q649" s="23">
        <v>3</v>
      </c>
      <c r="R649" s="45">
        <v>4.4000000000000004</v>
      </c>
    </row>
    <row r="650" spans="2:18" x14ac:dyDescent="0.2">
      <c r="B650" s="25">
        <v>647</v>
      </c>
      <c r="C650" s="18">
        <v>44477</v>
      </c>
      <c r="D650" s="24">
        <f t="shared" si="50"/>
        <v>2021</v>
      </c>
      <c r="E650" s="24" t="str">
        <f t="shared" si="51"/>
        <v>Q4</v>
      </c>
      <c r="F650" s="24" t="str">
        <f t="shared" si="52"/>
        <v>Oct</v>
      </c>
      <c r="G650" s="24">
        <f t="shared" si="53"/>
        <v>10</v>
      </c>
      <c r="H650" s="19">
        <v>1284</v>
      </c>
      <c r="I650" s="19" t="s">
        <v>7</v>
      </c>
      <c r="J650" s="19" t="s">
        <v>5</v>
      </c>
      <c r="K650" s="20">
        <v>4</v>
      </c>
      <c r="L650" s="21">
        <v>340.33</v>
      </c>
      <c r="M650" s="22">
        <v>0.13</v>
      </c>
      <c r="N650" s="21">
        <f t="shared" si="54"/>
        <v>296.08709999999996</v>
      </c>
      <c r="O650" s="21">
        <v>1184.3499999999999</v>
      </c>
      <c r="P650" s="19" t="s">
        <v>2</v>
      </c>
      <c r="Q650" s="23">
        <v>11</v>
      </c>
      <c r="R650" s="45">
        <v>4.8</v>
      </c>
    </row>
    <row r="651" spans="2:18" x14ac:dyDescent="0.2">
      <c r="B651" s="25">
        <v>648</v>
      </c>
      <c r="C651" s="18">
        <v>44478</v>
      </c>
      <c r="D651" s="24">
        <f t="shared" si="50"/>
        <v>2021</v>
      </c>
      <c r="E651" s="24" t="str">
        <f t="shared" si="51"/>
        <v>Q4</v>
      </c>
      <c r="F651" s="24" t="str">
        <f t="shared" si="52"/>
        <v>Oct</v>
      </c>
      <c r="G651" s="24">
        <f t="shared" si="53"/>
        <v>10</v>
      </c>
      <c r="H651" s="19">
        <v>1973</v>
      </c>
      <c r="I651" s="19" t="s">
        <v>7</v>
      </c>
      <c r="J651" s="19" t="s">
        <v>5</v>
      </c>
      <c r="K651" s="20">
        <v>7</v>
      </c>
      <c r="L651" s="21">
        <v>251.72</v>
      </c>
      <c r="M651" s="22">
        <v>0.05</v>
      </c>
      <c r="N651" s="21">
        <f t="shared" si="54"/>
        <v>239.13399999999999</v>
      </c>
      <c r="O651" s="21">
        <v>1673.94</v>
      </c>
      <c r="P651" s="19" t="s">
        <v>4</v>
      </c>
      <c r="Q651" s="23">
        <v>2</v>
      </c>
      <c r="R651" s="45">
        <v>5</v>
      </c>
    </row>
    <row r="652" spans="2:18" x14ac:dyDescent="0.2">
      <c r="B652" s="25">
        <v>649</v>
      </c>
      <c r="C652" s="18">
        <v>44479</v>
      </c>
      <c r="D652" s="24">
        <f t="shared" si="50"/>
        <v>2021</v>
      </c>
      <c r="E652" s="24" t="str">
        <f t="shared" si="51"/>
        <v>Q4</v>
      </c>
      <c r="F652" s="24" t="str">
        <f t="shared" si="52"/>
        <v>Oct</v>
      </c>
      <c r="G652" s="24">
        <f t="shared" si="53"/>
        <v>10</v>
      </c>
      <c r="H652" s="19">
        <v>1219</v>
      </c>
      <c r="I652" s="19" t="s">
        <v>7</v>
      </c>
      <c r="J652" s="19" t="s">
        <v>8</v>
      </c>
      <c r="K652" s="20">
        <v>5</v>
      </c>
      <c r="L652" s="21">
        <v>265.99</v>
      </c>
      <c r="M652" s="22">
        <v>0.31</v>
      </c>
      <c r="N652" s="21">
        <f t="shared" si="54"/>
        <v>183.53309999999999</v>
      </c>
      <c r="O652" s="21">
        <v>917.67</v>
      </c>
      <c r="P652" s="19" t="s">
        <v>6</v>
      </c>
      <c r="Q652" s="23">
        <v>9</v>
      </c>
      <c r="R652" s="45">
        <v>2.8</v>
      </c>
    </row>
    <row r="653" spans="2:18" x14ac:dyDescent="0.2">
      <c r="B653" s="25">
        <v>650</v>
      </c>
      <c r="C653" s="18">
        <v>44480</v>
      </c>
      <c r="D653" s="24">
        <f t="shared" si="50"/>
        <v>2021</v>
      </c>
      <c r="E653" s="24" t="str">
        <f t="shared" si="51"/>
        <v>Q4</v>
      </c>
      <c r="F653" s="24" t="str">
        <f t="shared" si="52"/>
        <v>Oct</v>
      </c>
      <c r="G653" s="24">
        <f t="shared" si="53"/>
        <v>10</v>
      </c>
      <c r="H653" s="19">
        <v>1068</v>
      </c>
      <c r="I653" s="19" t="s">
        <v>10</v>
      </c>
      <c r="J653" s="19" t="s">
        <v>9</v>
      </c>
      <c r="K653" s="20">
        <v>2</v>
      </c>
      <c r="L653" s="21">
        <v>147.66</v>
      </c>
      <c r="M653" s="22">
        <v>0.26</v>
      </c>
      <c r="N653" s="21">
        <f t="shared" si="54"/>
        <v>109.26839999999999</v>
      </c>
      <c r="O653" s="21">
        <v>218.54</v>
      </c>
      <c r="P653" s="19" t="s">
        <v>2</v>
      </c>
      <c r="Q653" s="23">
        <v>8</v>
      </c>
      <c r="R653" s="45">
        <v>4.5</v>
      </c>
    </row>
    <row r="654" spans="2:18" x14ac:dyDescent="0.2">
      <c r="B654" s="25">
        <v>651</v>
      </c>
      <c r="C654" s="18">
        <v>44481</v>
      </c>
      <c r="D654" s="24">
        <f t="shared" si="50"/>
        <v>2021</v>
      </c>
      <c r="E654" s="24" t="str">
        <f t="shared" si="51"/>
        <v>Q4</v>
      </c>
      <c r="F654" s="24" t="str">
        <f t="shared" si="52"/>
        <v>Oct</v>
      </c>
      <c r="G654" s="24">
        <f t="shared" si="53"/>
        <v>10</v>
      </c>
      <c r="H654" s="19">
        <v>1046</v>
      </c>
      <c r="I654" s="19" t="s">
        <v>10</v>
      </c>
      <c r="J654" s="19" t="s">
        <v>1</v>
      </c>
      <c r="K654" s="20">
        <v>6</v>
      </c>
      <c r="L654" s="21">
        <v>281.69</v>
      </c>
      <c r="M654" s="22">
        <v>0.27</v>
      </c>
      <c r="N654" s="21">
        <f t="shared" si="54"/>
        <v>205.63369999999998</v>
      </c>
      <c r="O654" s="21">
        <v>1233.8</v>
      </c>
      <c r="P654" s="19" t="s">
        <v>4</v>
      </c>
      <c r="Q654" s="23">
        <v>9</v>
      </c>
      <c r="R654" s="45">
        <v>1.5</v>
      </c>
    </row>
    <row r="655" spans="2:18" x14ac:dyDescent="0.2">
      <c r="B655" s="25">
        <v>652</v>
      </c>
      <c r="C655" s="18">
        <v>44482</v>
      </c>
      <c r="D655" s="24">
        <f t="shared" si="50"/>
        <v>2021</v>
      </c>
      <c r="E655" s="24" t="str">
        <f t="shared" si="51"/>
        <v>Q4</v>
      </c>
      <c r="F655" s="24" t="str">
        <f t="shared" si="52"/>
        <v>Oct</v>
      </c>
      <c r="G655" s="24">
        <f t="shared" si="53"/>
        <v>10</v>
      </c>
      <c r="H655" s="19">
        <v>1093</v>
      </c>
      <c r="I655" s="19" t="s">
        <v>3</v>
      </c>
      <c r="J655" s="19" t="s">
        <v>5</v>
      </c>
      <c r="K655" s="20">
        <v>3</v>
      </c>
      <c r="L655" s="21">
        <v>572.65</v>
      </c>
      <c r="M655" s="22">
        <v>0.23</v>
      </c>
      <c r="N655" s="21">
        <f t="shared" si="54"/>
        <v>440.94049999999999</v>
      </c>
      <c r="O655" s="21">
        <v>1322.82</v>
      </c>
      <c r="P655" s="19" t="s">
        <v>6</v>
      </c>
      <c r="Q655" s="23">
        <v>10</v>
      </c>
      <c r="R655" s="45">
        <v>2.7</v>
      </c>
    </row>
    <row r="656" spans="2:18" x14ac:dyDescent="0.2">
      <c r="B656" s="25">
        <v>653</v>
      </c>
      <c r="C656" s="18">
        <v>44483</v>
      </c>
      <c r="D656" s="24">
        <f t="shared" si="50"/>
        <v>2021</v>
      </c>
      <c r="E656" s="24" t="str">
        <f t="shared" si="51"/>
        <v>Q4</v>
      </c>
      <c r="F656" s="24" t="str">
        <f t="shared" si="52"/>
        <v>Oct</v>
      </c>
      <c r="G656" s="24">
        <f t="shared" si="53"/>
        <v>10</v>
      </c>
      <c r="H656" s="19">
        <v>1749</v>
      </c>
      <c r="I656" s="19" t="s">
        <v>7</v>
      </c>
      <c r="J656" s="19" t="s">
        <v>8</v>
      </c>
      <c r="K656" s="20">
        <v>6</v>
      </c>
      <c r="L656" s="21">
        <v>512.51</v>
      </c>
      <c r="M656" s="22">
        <v>0.18</v>
      </c>
      <c r="N656" s="21">
        <f t="shared" si="54"/>
        <v>420.25819999999999</v>
      </c>
      <c r="O656" s="21">
        <v>2521.5500000000002</v>
      </c>
      <c r="P656" s="19" t="s">
        <v>4</v>
      </c>
      <c r="Q656" s="23">
        <v>11</v>
      </c>
      <c r="R656" s="45">
        <v>2.2000000000000002</v>
      </c>
    </row>
    <row r="657" spans="2:18" x14ac:dyDescent="0.2">
      <c r="B657" s="25">
        <v>654</v>
      </c>
      <c r="C657" s="18">
        <v>44484</v>
      </c>
      <c r="D657" s="24">
        <f t="shared" si="50"/>
        <v>2021</v>
      </c>
      <c r="E657" s="24" t="str">
        <f t="shared" si="51"/>
        <v>Q4</v>
      </c>
      <c r="F657" s="24" t="str">
        <f t="shared" si="52"/>
        <v>Oct</v>
      </c>
      <c r="G657" s="24">
        <f t="shared" si="53"/>
        <v>10</v>
      </c>
      <c r="H657" s="19">
        <v>1957</v>
      </c>
      <c r="I657" s="19" t="s">
        <v>7</v>
      </c>
      <c r="J657" s="19" t="s">
        <v>5</v>
      </c>
      <c r="K657" s="20">
        <v>2</v>
      </c>
      <c r="L657" s="21">
        <v>99.96</v>
      </c>
      <c r="M657" s="22">
        <v>0.05</v>
      </c>
      <c r="N657" s="21">
        <f t="shared" si="54"/>
        <v>94.961999999999989</v>
      </c>
      <c r="O657" s="21">
        <v>189.92</v>
      </c>
      <c r="P657" s="19" t="s">
        <v>4</v>
      </c>
      <c r="Q657" s="23">
        <v>3</v>
      </c>
      <c r="R657" s="45">
        <v>2.6</v>
      </c>
    </row>
    <row r="658" spans="2:18" x14ac:dyDescent="0.2">
      <c r="B658" s="25">
        <v>655</v>
      </c>
      <c r="C658" s="18">
        <v>44485</v>
      </c>
      <c r="D658" s="24">
        <f t="shared" si="50"/>
        <v>2021</v>
      </c>
      <c r="E658" s="24" t="str">
        <f t="shared" si="51"/>
        <v>Q4</v>
      </c>
      <c r="F658" s="24" t="str">
        <f t="shared" si="52"/>
        <v>Oct</v>
      </c>
      <c r="G658" s="24">
        <f t="shared" si="53"/>
        <v>10</v>
      </c>
      <c r="H658" s="19">
        <v>1452</v>
      </c>
      <c r="I658" s="19" t="s">
        <v>7</v>
      </c>
      <c r="J658" s="19" t="s">
        <v>9</v>
      </c>
      <c r="K658" s="20">
        <v>6</v>
      </c>
      <c r="L658" s="21">
        <v>32.42</v>
      </c>
      <c r="M658" s="22">
        <v>0.12</v>
      </c>
      <c r="N658" s="21">
        <f t="shared" si="54"/>
        <v>28.529600000000002</v>
      </c>
      <c r="O658" s="21">
        <v>171.18</v>
      </c>
      <c r="P658" s="19" t="s">
        <v>6</v>
      </c>
      <c r="Q658" s="23">
        <v>1</v>
      </c>
      <c r="R658" s="45">
        <v>3.8</v>
      </c>
    </row>
    <row r="659" spans="2:18" x14ac:dyDescent="0.2">
      <c r="B659" s="25">
        <v>656</v>
      </c>
      <c r="C659" s="18">
        <v>44486</v>
      </c>
      <c r="D659" s="24">
        <f t="shared" si="50"/>
        <v>2021</v>
      </c>
      <c r="E659" s="24" t="str">
        <f t="shared" si="51"/>
        <v>Q4</v>
      </c>
      <c r="F659" s="24" t="str">
        <f t="shared" si="52"/>
        <v>Oct</v>
      </c>
      <c r="G659" s="24">
        <f t="shared" si="53"/>
        <v>10</v>
      </c>
      <c r="H659" s="19">
        <v>1203</v>
      </c>
      <c r="I659" s="19" t="s">
        <v>7</v>
      </c>
      <c r="J659" s="19" t="s">
        <v>1</v>
      </c>
      <c r="K659" s="20">
        <v>3</v>
      </c>
      <c r="L659" s="21">
        <v>561.11</v>
      </c>
      <c r="M659" s="22">
        <v>0.05</v>
      </c>
      <c r="N659" s="21">
        <f t="shared" si="54"/>
        <v>533.05449999999996</v>
      </c>
      <c r="O659" s="21">
        <v>1599.16</v>
      </c>
      <c r="P659" s="19" t="s">
        <v>2</v>
      </c>
      <c r="Q659" s="23">
        <v>11</v>
      </c>
      <c r="R659" s="45">
        <v>1.3</v>
      </c>
    </row>
    <row r="660" spans="2:18" x14ac:dyDescent="0.2">
      <c r="B660" s="25">
        <v>657</v>
      </c>
      <c r="C660" s="18">
        <v>44487</v>
      </c>
      <c r="D660" s="24">
        <f t="shared" si="50"/>
        <v>2021</v>
      </c>
      <c r="E660" s="24" t="str">
        <f t="shared" si="51"/>
        <v>Q4</v>
      </c>
      <c r="F660" s="24" t="str">
        <f t="shared" si="52"/>
        <v>Oct</v>
      </c>
      <c r="G660" s="24">
        <f t="shared" si="53"/>
        <v>10</v>
      </c>
      <c r="H660" s="19">
        <v>1911</v>
      </c>
      <c r="I660" s="19" t="s">
        <v>0</v>
      </c>
      <c r="J660" s="19" t="s">
        <v>9</v>
      </c>
      <c r="K660" s="20">
        <v>7</v>
      </c>
      <c r="L660" s="21">
        <v>323.14999999999998</v>
      </c>
      <c r="M660" s="22">
        <v>0.25</v>
      </c>
      <c r="N660" s="21">
        <f t="shared" si="54"/>
        <v>242.36249999999998</v>
      </c>
      <c r="O660" s="21">
        <v>1696.54</v>
      </c>
      <c r="P660" s="19" t="s">
        <v>6</v>
      </c>
      <c r="Q660" s="23">
        <v>1</v>
      </c>
      <c r="R660" s="45">
        <v>5</v>
      </c>
    </row>
    <row r="661" spans="2:18" x14ac:dyDescent="0.2">
      <c r="B661" s="25">
        <v>658</v>
      </c>
      <c r="C661" s="18">
        <v>44488</v>
      </c>
      <c r="D661" s="24">
        <f t="shared" si="50"/>
        <v>2021</v>
      </c>
      <c r="E661" s="24" t="str">
        <f t="shared" si="51"/>
        <v>Q4</v>
      </c>
      <c r="F661" s="24" t="str">
        <f t="shared" si="52"/>
        <v>Oct</v>
      </c>
      <c r="G661" s="24">
        <f t="shared" si="53"/>
        <v>10</v>
      </c>
      <c r="H661" s="19">
        <v>1217</v>
      </c>
      <c r="I661" s="19" t="s">
        <v>7</v>
      </c>
      <c r="J661" s="19" t="s">
        <v>8</v>
      </c>
      <c r="K661" s="20">
        <v>3</v>
      </c>
      <c r="L661" s="21">
        <v>329.64</v>
      </c>
      <c r="M661" s="22">
        <v>0.06</v>
      </c>
      <c r="N661" s="21">
        <f t="shared" si="54"/>
        <v>309.86160000000001</v>
      </c>
      <c r="O661" s="21">
        <v>929.58</v>
      </c>
      <c r="P661" s="19" t="s">
        <v>2</v>
      </c>
      <c r="Q661" s="23">
        <v>3</v>
      </c>
      <c r="R661" s="45">
        <v>3.5</v>
      </c>
    </row>
    <row r="662" spans="2:18" x14ac:dyDescent="0.2">
      <c r="B662" s="25">
        <v>659</v>
      </c>
      <c r="C662" s="18">
        <v>44489</v>
      </c>
      <c r="D662" s="24">
        <f t="shared" si="50"/>
        <v>2021</v>
      </c>
      <c r="E662" s="24" t="str">
        <f t="shared" si="51"/>
        <v>Q4</v>
      </c>
      <c r="F662" s="24" t="str">
        <f t="shared" si="52"/>
        <v>Oct</v>
      </c>
      <c r="G662" s="24">
        <f t="shared" si="53"/>
        <v>10</v>
      </c>
      <c r="H662" s="19">
        <v>1473</v>
      </c>
      <c r="I662" s="19" t="s">
        <v>3</v>
      </c>
      <c r="J662" s="19" t="s">
        <v>5</v>
      </c>
      <c r="K662" s="20">
        <v>1</v>
      </c>
      <c r="L662" s="21">
        <v>471.72</v>
      </c>
      <c r="M662" s="22">
        <v>0.25</v>
      </c>
      <c r="N662" s="21">
        <f t="shared" si="54"/>
        <v>353.79</v>
      </c>
      <c r="O662" s="21">
        <v>353.79</v>
      </c>
      <c r="P662" s="19" t="s">
        <v>2</v>
      </c>
      <c r="Q662" s="23">
        <v>4</v>
      </c>
      <c r="R662" s="45">
        <v>4.5</v>
      </c>
    </row>
    <row r="663" spans="2:18" x14ac:dyDescent="0.2">
      <c r="B663" s="25">
        <v>660</v>
      </c>
      <c r="C663" s="18">
        <v>44490</v>
      </c>
      <c r="D663" s="24">
        <f t="shared" si="50"/>
        <v>2021</v>
      </c>
      <c r="E663" s="24" t="str">
        <f t="shared" si="51"/>
        <v>Q4</v>
      </c>
      <c r="F663" s="24" t="str">
        <f t="shared" si="52"/>
        <v>Oct</v>
      </c>
      <c r="G663" s="24">
        <f t="shared" si="53"/>
        <v>10</v>
      </c>
      <c r="H663" s="19">
        <v>1431</v>
      </c>
      <c r="I663" s="19" t="s">
        <v>7</v>
      </c>
      <c r="J663" s="19" t="s">
        <v>9</v>
      </c>
      <c r="K663" s="20">
        <v>6</v>
      </c>
      <c r="L663" s="21">
        <v>199.09</v>
      </c>
      <c r="M663" s="22">
        <v>0.24</v>
      </c>
      <c r="N663" s="21">
        <f t="shared" si="54"/>
        <v>151.30840000000001</v>
      </c>
      <c r="O663" s="21">
        <v>907.85</v>
      </c>
      <c r="P663" s="19" t="s">
        <v>4</v>
      </c>
      <c r="Q663" s="23">
        <v>2</v>
      </c>
      <c r="R663" s="45">
        <v>4.3</v>
      </c>
    </row>
    <row r="664" spans="2:18" x14ac:dyDescent="0.2">
      <c r="B664" s="25">
        <v>661</v>
      </c>
      <c r="C664" s="18">
        <v>44491</v>
      </c>
      <c r="D664" s="24">
        <f t="shared" si="50"/>
        <v>2021</v>
      </c>
      <c r="E664" s="24" t="str">
        <f t="shared" si="51"/>
        <v>Q4</v>
      </c>
      <c r="F664" s="24" t="str">
        <f t="shared" si="52"/>
        <v>Oct</v>
      </c>
      <c r="G664" s="24">
        <f t="shared" si="53"/>
        <v>10</v>
      </c>
      <c r="H664" s="19">
        <v>1340</v>
      </c>
      <c r="I664" s="19" t="s">
        <v>7</v>
      </c>
      <c r="J664" s="19" t="s">
        <v>8</v>
      </c>
      <c r="K664" s="20">
        <v>1</v>
      </c>
      <c r="L664" s="21">
        <v>296.92</v>
      </c>
      <c r="M664" s="22">
        <v>0.16</v>
      </c>
      <c r="N664" s="21">
        <f t="shared" si="54"/>
        <v>249.4128</v>
      </c>
      <c r="O664" s="21">
        <v>249.41</v>
      </c>
      <c r="P664" s="19" t="s">
        <v>4</v>
      </c>
      <c r="Q664" s="23">
        <v>8</v>
      </c>
      <c r="R664" s="45">
        <v>4.0999999999999996</v>
      </c>
    </row>
    <row r="665" spans="2:18" x14ac:dyDescent="0.2">
      <c r="B665" s="25">
        <v>662</v>
      </c>
      <c r="C665" s="18">
        <v>44492</v>
      </c>
      <c r="D665" s="24">
        <f t="shared" si="50"/>
        <v>2021</v>
      </c>
      <c r="E665" s="24" t="str">
        <f t="shared" si="51"/>
        <v>Q4</v>
      </c>
      <c r="F665" s="24" t="str">
        <f t="shared" si="52"/>
        <v>Oct</v>
      </c>
      <c r="G665" s="24">
        <f t="shared" si="53"/>
        <v>10</v>
      </c>
      <c r="H665" s="19">
        <v>1550</v>
      </c>
      <c r="I665" s="19" t="s">
        <v>3</v>
      </c>
      <c r="J665" s="19" t="s">
        <v>5</v>
      </c>
      <c r="K665" s="20">
        <v>7</v>
      </c>
      <c r="L665" s="21">
        <v>581.66999999999996</v>
      </c>
      <c r="M665" s="22">
        <v>0.05</v>
      </c>
      <c r="N665" s="21">
        <f t="shared" si="54"/>
        <v>552.5865</v>
      </c>
      <c r="O665" s="21">
        <v>3868.11</v>
      </c>
      <c r="P665" s="19" t="s">
        <v>6</v>
      </c>
      <c r="Q665" s="23">
        <v>3</v>
      </c>
      <c r="R665" s="45">
        <v>1.2</v>
      </c>
    </row>
    <row r="666" spans="2:18" x14ac:dyDescent="0.2">
      <c r="B666" s="25">
        <v>663</v>
      </c>
      <c r="C666" s="18">
        <v>44493</v>
      </c>
      <c r="D666" s="24">
        <f t="shared" si="50"/>
        <v>2021</v>
      </c>
      <c r="E666" s="24" t="str">
        <f t="shared" si="51"/>
        <v>Q4</v>
      </c>
      <c r="F666" s="24" t="str">
        <f t="shared" si="52"/>
        <v>Oct</v>
      </c>
      <c r="G666" s="24">
        <f t="shared" si="53"/>
        <v>10</v>
      </c>
      <c r="H666" s="19">
        <v>1611</v>
      </c>
      <c r="I666" s="19" t="s">
        <v>3</v>
      </c>
      <c r="J666" s="19" t="s">
        <v>1</v>
      </c>
      <c r="K666" s="20">
        <v>1</v>
      </c>
      <c r="L666" s="21">
        <v>408.21</v>
      </c>
      <c r="M666" s="22">
        <v>0.11</v>
      </c>
      <c r="N666" s="21">
        <f t="shared" si="54"/>
        <v>363.30689999999998</v>
      </c>
      <c r="O666" s="21">
        <v>363.31</v>
      </c>
      <c r="P666" s="19" t="s">
        <v>6</v>
      </c>
      <c r="Q666" s="23">
        <v>4</v>
      </c>
      <c r="R666" s="45">
        <v>3.1</v>
      </c>
    </row>
    <row r="667" spans="2:18" x14ac:dyDescent="0.2">
      <c r="B667" s="25">
        <v>664</v>
      </c>
      <c r="C667" s="18">
        <v>44494</v>
      </c>
      <c r="D667" s="24">
        <f t="shared" si="50"/>
        <v>2021</v>
      </c>
      <c r="E667" s="24" t="str">
        <f t="shared" si="51"/>
        <v>Q4</v>
      </c>
      <c r="F667" s="24" t="str">
        <f t="shared" si="52"/>
        <v>Oct</v>
      </c>
      <c r="G667" s="24">
        <f t="shared" si="53"/>
        <v>10</v>
      </c>
      <c r="H667" s="19">
        <v>1288</v>
      </c>
      <c r="I667" s="19" t="s">
        <v>7</v>
      </c>
      <c r="J667" s="19" t="s">
        <v>9</v>
      </c>
      <c r="K667" s="20">
        <v>6</v>
      </c>
      <c r="L667" s="21">
        <v>104.94</v>
      </c>
      <c r="M667" s="22">
        <v>0.11</v>
      </c>
      <c r="N667" s="21">
        <f t="shared" si="54"/>
        <v>93.396599999999992</v>
      </c>
      <c r="O667" s="21">
        <v>560.38</v>
      </c>
      <c r="P667" s="19" t="s">
        <v>4</v>
      </c>
      <c r="Q667" s="23">
        <v>6</v>
      </c>
      <c r="R667" s="45">
        <v>2.2999999999999998</v>
      </c>
    </row>
    <row r="668" spans="2:18" x14ac:dyDescent="0.2">
      <c r="B668" s="25">
        <v>665</v>
      </c>
      <c r="C668" s="18">
        <v>44495</v>
      </c>
      <c r="D668" s="24">
        <f t="shared" si="50"/>
        <v>2021</v>
      </c>
      <c r="E668" s="24" t="str">
        <f t="shared" si="51"/>
        <v>Q4</v>
      </c>
      <c r="F668" s="24" t="str">
        <f t="shared" si="52"/>
        <v>Oct</v>
      </c>
      <c r="G668" s="24">
        <f t="shared" si="53"/>
        <v>10</v>
      </c>
      <c r="H668" s="19">
        <v>1253</v>
      </c>
      <c r="I668" s="19" t="s">
        <v>7</v>
      </c>
      <c r="J668" s="19" t="s">
        <v>5</v>
      </c>
      <c r="K668" s="20">
        <v>2</v>
      </c>
      <c r="L668" s="21">
        <v>92.94</v>
      </c>
      <c r="M668" s="22">
        <v>0.25</v>
      </c>
      <c r="N668" s="21">
        <f t="shared" si="54"/>
        <v>69.704999999999998</v>
      </c>
      <c r="O668" s="21">
        <v>139.41</v>
      </c>
      <c r="P668" s="19" t="s">
        <v>2</v>
      </c>
      <c r="Q668" s="23">
        <v>10</v>
      </c>
      <c r="R668" s="45">
        <v>1.5</v>
      </c>
    </row>
    <row r="669" spans="2:18" x14ac:dyDescent="0.2">
      <c r="B669" s="25">
        <v>666</v>
      </c>
      <c r="C669" s="18">
        <v>44496</v>
      </c>
      <c r="D669" s="24">
        <f t="shared" si="50"/>
        <v>2021</v>
      </c>
      <c r="E669" s="24" t="str">
        <f t="shared" si="51"/>
        <v>Q4</v>
      </c>
      <c r="F669" s="24" t="str">
        <f t="shared" si="52"/>
        <v>Oct</v>
      </c>
      <c r="G669" s="24">
        <f t="shared" si="53"/>
        <v>10</v>
      </c>
      <c r="H669" s="19">
        <v>1733</v>
      </c>
      <c r="I669" s="19" t="s">
        <v>3</v>
      </c>
      <c r="J669" s="19" t="s">
        <v>5</v>
      </c>
      <c r="K669" s="20">
        <v>4</v>
      </c>
      <c r="L669" s="21">
        <v>134.49</v>
      </c>
      <c r="M669" s="22">
        <v>0.04</v>
      </c>
      <c r="N669" s="21">
        <f t="shared" si="54"/>
        <v>129.1104</v>
      </c>
      <c r="O669" s="21">
        <v>516.44000000000005</v>
      </c>
      <c r="P669" s="19" t="s">
        <v>6</v>
      </c>
      <c r="Q669" s="23">
        <v>6</v>
      </c>
      <c r="R669" s="45">
        <v>2.4</v>
      </c>
    </row>
    <row r="670" spans="2:18" x14ac:dyDescent="0.2">
      <c r="B670" s="25">
        <v>667</v>
      </c>
      <c r="C670" s="18">
        <v>44497</v>
      </c>
      <c r="D670" s="24">
        <f t="shared" si="50"/>
        <v>2021</v>
      </c>
      <c r="E670" s="24" t="str">
        <f t="shared" si="51"/>
        <v>Q4</v>
      </c>
      <c r="F670" s="24" t="str">
        <f t="shared" si="52"/>
        <v>Oct</v>
      </c>
      <c r="G670" s="24">
        <f t="shared" si="53"/>
        <v>10</v>
      </c>
      <c r="H670" s="19">
        <v>1356</v>
      </c>
      <c r="I670" s="19" t="s">
        <v>7</v>
      </c>
      <c r="J670" s="19" t="s">
        <v>5</v>
      </c>
      <c r="K670" s="20">
        <v>7</v>
      </c>
      <c r="L670" s="21">
        <v>463.53</v>
      </c>
      <c r="M670" s="22">
        <v>0.28999999999999998</v>
      </c>
      <c r="N670" s="21">
        <f t="shared" si="54"/>
        <v>329.10629999999998</v>
      </c>
      <c r="O670" s="21">
        <v>2303.7399999999998</v>
      </c>
      <c r="P670" s="19" t="s">
        <v>4</v>
      </c>
      <c r="Q670" s="23">
        <v>2</v>
      </c>
      <c r="R670" s="45">
        <v>3.6</v>
      </c>
    </row>
    <row r="671" spans="2:18" x14ac:dyDescent="0.2">
      <c r="B671" s="25">
        <v>668</v>
      </c>
      <c r="C671" s="18">
        <v>44498</v>
      </c>
      <c r="D671" s="24">
        <f t="shared" si="50"/>
        <v>2021</v>
      </c>
      <c r="E671" s="24" t="str">
        <f t="shared" si="51"/>
        <v>Q4</v>
      </c>
      <c r="F671" s="24" t="str">
        <f t="shared" si="52"/>
        <v>Oct</v>
      </c>
      <c r="G671" s="24">
        <f t="shared" si="53"/>
        <v>10</v>
      </c>
      <c r="H671" s="19">
        <v>1022</v>
      </c>
      <c r="I671" s="19" t="s">
        <v>7</v>
      </c>
      <c r="J671" s="19" t="s">
        <v>5</v>
      </c>
      <c r="K671" s="20">
        <v>3</v>
      </c>
      <c r="L671" s="21">
        <v>187.8</v>
      </c>
      <c r="M671" s="22">
        <v>0.27</v>
      </c>
      <c r="N671" s="21">
        <f t="shared" si="54"/>
        <v>137.09399999999999</v>
      </c>
      <c r="O671" s="21">
        <v>411.28</v>
      </c>
      <c r="P671" s="19" t="s">
        <v>6</v>
      </c>
      <c r="Q671" s="23">
        <v>6</v>
      </c>
      <c r="R671" s="45">
        <v>1.9</v>
      </c>
    </row>
    <row r="672" spans="2:18" x14ac:dyDescent="0.2">
      <c r="B672" s="25">
        <v>669</v>
      </c>
      <c r="C672" s="18">
        <v>44499</v>
      </c>
      <c r="D672" s="24">
        <f t="shared" si="50"/>
        <v>2021</v>
      </c>
      <c r="E672" s="24" t="str">
        <f t="shared" si="51"/>
        <v>Q4</v>
      </c>
      <c r="F672" s="24" t="str">
        <f t="shared" si="52"/>
        <v>Oct</v>
      </c>
      <c r="G672" s="24">
        <f t="shared" si="53"/>
        <v>10</v>
      </c>
      <c r="H672" s="19">
        <v>1761</v>
      </c>
      <c r="I672" s="19" t="s">
        <v>0</v>
      </c>
      <c r="J672" s="19" t="s">
        <v>9</v>
      </c>
      <c r="K672" s="20">
        <v>5</v>
      </c>
      <c r="L672" s="21">
        <v>27.51</v>
      </c>
      <c r="M672" s="22">
        <v>7.0000000000000007E-2</v>
      </c>
      <c r="N672" s="21">
        <f t="shared" si="54"/>
        <v>25.584300000000002</v>
      </c>
      <c r="O672" s="21">
        <v>127.92</v>
      </c>
      <c r="P672" s="19" t="s">
        <v>4</v>
      </c>
      <c r="Q672" s="23">
        <v>4</v>
      </c>
      <c r="R672" s="45">
        <v>2.8</v>
      </c>
    </row>
    <row r="673" spans="2:18" x14ac:dyDescent="0.2">
      <c r="B673" s="25">
        <v>670</v>
      </c>
      <c r="C673" s="18">
        <v>44500</v>
      </c>
      <c r="D673" s="24">
        <f t="shared" si="50"/>
        <v>2021</v>
      </c>
      <c r="E673" s="24" t="str">
        <f t="shared" si="51"/>
        <v>Q4</v>
      </c>
      <c r="F673" s="24" t="str">
        <f t="shared" si="52"/>
        <v>Oct</v>
      </c>
      <c r="G673" s="24">
        <f t="shared" si="53"/>
        <v>10</v>
      </c>
      <c r="H673" s="19">
        <v>1521</v>
      </c>
      <c r="I673" s="19" t="s">
        <v>3</v>
      </c>
      <c r="J673" s="19" t="s">
        <v>5</v>
      </c>
      <c r="K673" s="20">
        <v>7</v>
      </c>
      <c r="L673" s="21">
        <v>567.34</v>
      </c>
      <c r="M673" s="22">
        <v>0.25</v>
      </c>
      <c r="N673" s="21">
        <f t="shared" si="54"/>
        <v>425.505</v>
      </c>
      <c r="O673" s="21">
        <v>2978.54</v>
      </c>
      <c r="P673" s="19" t="s">
        <v>6</v>
      </c>
      <c r="Q673" s="23">
        <v>5</v>
      </c>
      <c r="R673" s="45">
        <v>2.6</v>
      </c>
    </row>
    <row r="674" spans="2:18" x14ac:dyDescent="0.2">
      <c r="B674" s="25">
        <v>671</v>
      </c>
      <c r="C674" s="18">
        <v>44501</v>
      </c>
      <c r="D674" s="24">
        <f t="shared" si="50"/>
        <v>2021</v>
      </c>
      <c r="E674" s="24" t="str">
        <f t="shared" si="51"/>
        <v>Q4</v>
      </c>
      <c r="F674" s="24" t="str">
        <f t="shared" si="52"/>
        <v>Nov</v>
      </c>
      <c r="G674" s="24">
        <f t="shared" si="53"/>
        <v>11</v>
      </c>
      <c r="H674" s="19">
        <v>1757</v>
      </c>
      <c r="I674" s="19" t="s">
        <v>3</v>
      </c>
      <c r="J674" s="19" t="s">
        <v>8</v>
      </c>
      <c r="K674" s="20">
        <v>1</v>
      </c>
      <c r="L674" s="21">
        <v>114.28</v>
      </c>
      <c r="M674" s="22">
        <v>0.23</v>
      </c>
      <c r="N674" s="21">
        <f t="shared" si="54"/>
        <v>87.995599999999996</v>
      </c>
      <c r="O674" s="21">
        <v>88</v>
      </c>
      <c r="P674" s="19" t="s">
        <v>2</v>
      </c>
      <c r="Q674" s="23">
        <v>7</v>
      </c>
      <c r="R674" s="45">
        <v>1.2</v>
      </c>
    </row>
    <row r="675" spans="2:18" x14ac:dyDescent="0.2">
      <c r="B675" s="25">
        <v>672</v>
      </c>
      <c r="C675" s="18">
        <v>44502</v>
      </c>
      <c r="D675" s="24">
        <f t="shared" si="50"/>
        <v>2021</v>
      </c>
      <c r="E675" s="24" t="str">
        <f t="shared" si="51"/>
        <v>Q4</v>
      </c>
      <c r="F675" s="24" t="str">
        <f t="shared" si="52"/>
        <v>Nov</v>
      </c>
      <c r="G675" s="24">
        <f t="shared" si="53"/>
        <v>11</v>
      </c>
      <c r="H675" s="19">
        <v>1836</v>
      </c>
      <c r="I675" s="19" t="s">
        <v>3</v>
      </c>
      <c r="J675" s="19" t="s">
        <v>9</v>
      </c>
      <c r="K675" s="20">
        <v>2</v>
      </c>
      <c r="L675" s="21">
        <v>20.59</v>
      </c>
      <c r="M675" s="22">
        <v>0.26</v>
      </c>
      <c r="N675" s="21">
        <f t="shared" si="54"/>
        <v>15.236599999999999</v>
      </c>
      <c r="O675" s="21">
        <v>30.47</v>
      </c>
      <c r="P675" s="19" t="s">
        <v>2</v>
      </c>
      <c r="Q675" s="23">
        <v>7</v>
      </c>
      <c r="R675" s="45">
        <v>3.5</v>
      </c>
    </row>
    <row r="676" spans="2:18" x14ac:dyDescent="0.2">
      <c r="B676" s="25">
        <v>673</v>
      </c>
      <c r="C676" s="18">
        <v>44503</v>
      </c>
      <c r="D676" s="24">
        <f t="shared" si="50"/>
        <v>2021</v>
      </c>
      <c r="E676" s="24" t="str">
        <f t="shared" si="51"/>
        <v>Q4</v>
      </c>
      <c r="F676" s="24" t="str">
        <f t="shared" si="52"/>
        <v>Nov</v>
      </c>
      <c r="G676" s="24">
        <f t="shared" si="53"/>
        <v>11</v>
      </c>
      <c r="H676" s="19">
        <v>1099</v>
      </c>
      <c r="I676" s="19" t="s">
        <v>3</v>
      </c>
      <c r="J676" s="19" t="s">
        <v>5</v>
      </c>
      <c r="K676" s="20">
        <v>6</v>
      </c>
      <c r="L676" s="21">
        <v>153.72</v>
      </c>
      <c r="M676" s="22">
        <v>7.0000000000000007E-2</v>
      </c>
      <c r="N676" s="21">
        <f t="shared" si="54"/>
        <v>142.95959999999999</v>
      </c>
      <c r="O676" s="21">
        <v>857.76</v>
      </c>
      <c r="P676" s="19" t="s">
        <v>4</v>
      </c>
      <c r="Q676" s="23">
        <v>6</v>
      </c>
      <c r="R676" s="45">
        <v>3.5</v>
      </c>
    </row>
    <row r="677" spans="2:18" x14ac:dyDescent="0.2">
      <c r="B677" s="25">
        <v>674</v>
      </c>
      <c r="C677" s="18">
        <v>44504</v>
      </c>
      <c r="D677" s="24">
        <f t="shared" si="50"/>
        <v>2021</v>
      </c>
      <c r="E677" s="24" t="str">
        <f t="shared" si="51"/>
        <v>Q4</v>
      </c>
      <c r="F677" s="24" t="str">
        <f t="shared" si="52"/>
        <v>Nov</v>
      </c>
      <c r="G677" s="24">
        <f t="shared" si="53"/>
        <v>11</v>
      </c>
      <c r="H677" s="19">
        <v>1801</v>
      </c>
      <c r="I677" s="19" t="s">
        <v>3</v>
      </c>
      <c r="J677" s="19" t="s">
        <v>9</v>
      </c>
      <c r="K677" s="20">
        <v>2</v>
      </c>
      <c r="L677" s="21">
        <v>152.49</v>
      </c>
      <c r="M677" s="22">
        <v>0.06</v>
      </c>
      <c r="N677" s="21">
        <f t="shared" si="54"/>
        <v>143.34059999999999</v>
      </c>
      <c r="O677" s="21">
        <v>286.68</v>
      </c>
      <c r="P677" s="19" t="s">
        <v>6</v>
      </c>
      <c r="Q677" s="23">
        <v>10</v>
      </c>
      <c r="R677" s="45">
        <v>4.9000000000000004</v>
      </c>
    </row>
    <row r="678" spans="2:18" x14ac:dyDescent="0.2">
      <c r="B678" s="25">
        <v>675</v>
      </c>
      <c r="C678" s="18">
        <v>44505</v>
      </c>
      <c r="D678" s="24">
        <f t="shared" si="50"/>
        <v>2021</v>
      </c>
      <c r="E678" s="24" t="str">
        <f t="shared" si="51"/>
        <v>Q4</v>
      </c>
      <c r="F678" s="24" t="str">
        <f t="shared" si="52"/>
        <v>Nov</v>
      </c>
      <c r="G678" s="24">
        <f t="shared" si="53"/>
        <v>11</v>
      </c>
      <c r="H678" s="19">
        <v>1179</v>
      </c>
      <c r="I678" s="19" t="s">
        <v>10</v>
      </c>
      <c r="J678" s="19" t="s">
        <v>8</v>
      </c>
      <c r="K678" s="20">
        <v>2</v>
      </c>
      <c r="L678" s="21">
        <v>261.87</v>
      </c>
      <c r="M678" s="22">
        <v>0.08</v>
      </c>
      <c r="N678" s="21">
        <f t="shared" si="54"/>
        <v>240.9204</v>
      </c>
      <c r="O678" s="21">
        <v>481.84</v>
      </c>
      <c r="P678" s="19" t="s">
        <v>6</v>
      </c>
      <c r="Q678" s="23">
        <v>6</v>
      </c>
      <c r="R678" s="45">
        <v>2.2000000000000002</v>
      </c>
    </row>
    <row r="679" spans="2:18" x14ac:dyDescent="0.2">
      <c r="B679" s="25">
        <v>676</v>
      </c>
      <c r="C679" s="18">
        <v>44506</v>
      </c>
      <c r="D679" s="24">
        <f t="shared" si="50"/>
        <v>2021</v>
      </c>
      <c r="E679" s="24" t="str">
        <f t="shared" si="51"/>
        <v>Q4</v>
      </c>
      <c r="F679" s="24" t="str">
        <f t="shared" si="52"/>
        <v>Nov</v>
      </c>
      <c r="G679" s="24">
        <f t="shared" si="53"/>
        <v>11</v>
      </c>
      <c r="H679" s="19">
        <v>1222</v>
      </c>
      <c r="I679" s="19" t="s">
        <v>10</v>
      </c>
      <c r="J679" s="19" t="s">
        <v>8</v>
      </c>
      <c r="K679" s="20">
        <v>6</v>
      </c>
      <c r="L679" s="21">
        <v>553.42999999999995</v>
      </c>
      <c r="M679" s="22">
        <v>0.13</v>
      </c>
      <c r="N679" s="21">
        <f t="shared" si="54"/>
        <v>481.48409999999996</v>
      </c>
      <c r="O679" s="21">
        <v>2888.9</v>
      </c>
      <c r="P679" s="19" t="s">
        <v>4</v>
      </c>
      <c r="Q679" s="23">
        <v>6</v>
      </c>
      <c r="R679" s="45">
        <v>2.7</v>
      </c>
    </row>
    <row r="680" spans="2:18" x14ac:dyDescent="0.2">
      <c r="B680" s="25">
        <v>677</v>
      </c>
      <c r="C680" s="18">
        <v>44507</v>
      </c>
      <c r="D680" s="24">
        <f t="shared" si="50"/>
        <v>2021</v>
      </c>
      <c r="E680" s="24" t="str">
        <f t="shared" si="51"/>
        <v>Q4</v>
      </c>
      <c r="F680" s="24" t="str">
        <f t="shared" si="52"/>
        <v>Nov</v>
      </c>
      <c r="G680" s="24">
        <f t="shared" si="53"/>
        <v>11</v>
      </c>
      <c r="H680" s="19">
        <v>1905</v>
      </c>
      <c r="I680" s="19" t="s">
        <v>7</v>
      </c>
      <c r="J680" s="19" t="s">
        <v>9</v>
      </c>
      <c r="K680" s="20">
        <v>5</v>
      </c>
      <c r="L680" s="21">
        <v>529.32000000000005</v>
      </c>
      <c r="M680" s="22">
        <v>0.28000000000000003</v>
      </c>
      <c r="N680" s="21">
        <f t="shared" si="54"/>
        <v>381.11040000000003</v>
      </c>
      <c r="O680" s="21">
        <v>1905.55</v>
      </c>
      <c r="P680" s="19" t="s">
        <v>4</v>
      </c>
      <c r="Q680" s="23">
        <v>4</v>
      </c>
      <c r="R680" s="45">
        <v>2.6</v>
      </c>
    </row>
    <row r="681" spans="2:18" x14ac:dyDescent="0.2">
      <c r="B681" s="25">
        <v>678</v>
      </c>
      <c r="C681" s="18">
        <v>44508</v>
      </c>
      <c r="D681" s="24">
        <f t="shared" si="50"/>
        <v>2021</v>
      </c>
      <c r="E681" s="24" t="str">
        <f t="shared" si="51"/>
        <v>Q4</v>
      </c>
      <c r="F681" s="24" t="str">
        <f t="shared" si="52"/>
        <v>Nov</v>
      </c>
      <c r="G681" s="24">
        <f t="shared" si="53"/>
        <v>11</v>
      </c>
      <c r="H681" s="19">
        <v>1761</v>
      </c>
      <c r="I681" s="19" t="s">
        <v>3</v>
      </c>
      <c r="J681" s="19" t="s">
        <v>5</v>
      </c>
      <c r="K681" s="20">
        <v>6</v>
      </c>
      <c r="L681" s="21">
        <v>282.27999999999997</v>
      </c>
      <c r="M681" s="22">
        <v>0.26</v>
      </c>
      <c r="N681" s="21">
        <f t="shared" si="54"/>
        <v>208.88719999999998</v>
      </c>
      <c r="O681" s="21">
        <v>1253.32</v>
      </c>
      <c r="P681" s="19" t="s">
        <v>6</v>
      </c>
      <c r="Q681" s="23">
        <v>3</v>
      </c>
      <c r="R681" s="45">
        <v>4.7</v>
      </c>
    </row>
    <row r="682" spans="2:18" x14ac:dyDescent="0.2">
      <c r="B682" s="25">
        <v>679</v>
      </c>
      <c r="C682" s="18">
        <v>44509</v>
      </c>
      <c r="D682" s="24">
        <f t="shared" si="50"/>
        <v>2021</v>
      </c>
      <c r="E682" s="24" t="str">
        <f t="shared" si="51"/>
        <v>Q4</v>
      </c>
      <c r="F682" s="24" t="str">
        <f t="shared" si="52"/>
        <v>Nov</v>
      </c>
      <c r="G682" s="24">
        <f t="shared" si="53"/>
        <v>11</v>
      </c>
      <c r="H682" s="19">
        <v>1658</v>
      </c>
      <c r="I682" s="19" t="s">
        <v>3</v>
      </c>
      <c r="J682" s="19" t="s">
        <v>5</v>
      </c>
      <c r="K682" s="20">
        <v>5</v>
      </c>
      <c r="L682" s="21">
        <v>255.38</v>
      </c>
      <c r="M682" s="22">
        <v>0.32</v>
      </c>
      <c r="N682" s="21">
        <f t="shared" si="54"/>
        <v>173.6584</v>
      </c>
      <c r="O682" s="21">
        <v>868.29</v>
      </c>
      <c r="P682" s="19" t="s">
        <v>6</v>
      </c>
      <c r="Q682" s="23">
        <v>1</v>
      </c>
      <c r="R682" s="45">
        <v>2.6</v>
      </c>
    </row>
    <row r="683" spans="2:18" x14ac:dyDescent="0.2">
      <c r="B683" s="25">
        <v>680</v>
      </c>
      <c r="C683" s="18">
        <v>44510</v>
      </c>
      <c r="D683" s="24">
        <f t="shared" si="50"/>
        <v>2021</v>
      </c>
      <c r="E683" s="24" t="str">
        <f t="shared" si="51"/>
        <v>Q4</v>
      </c>
      <c r="F683" s="24" t="str">
        <f t="shared" si="52"/>
        <v>Nov</v>
      </c>
      <c r="G683" s="24">
        <f t="shared" si="53"/>
        <v>11</v>
      </c>
      <c r="H683" s="19">
        <v>1441</v>
      </c>
      <c r="I683" s="19" t="s">
        <v>0</v>
      </c>
      <c r="J683" s="19" t="s">
        <v>8</v>
      </c>
      <c r="K683" s="20">
        <v>6</v>
      </c>
      <c r="L683" s="21">
        <v>339.68</v>
      </c>
      <c r="M683" s="22">
        <v>0.02</v>
      </c>
      <c r="N683" s="21">
        <f t="shared" si="54"/>
        <v>332.88639999999998</v>
      </c>
      <c r="O683" s="21">
        <v>1997.32</v>
      </c>
      <c r="P683" s="19" t="s">
        <v>4</v>
      </c>
      <c r="Q683" s="23">
        <v>3</v>
      </c>
      <c r="R683" s="45">
        <v>2.8</v>
      </c>
    </row>
    <row r="684" spans="2:18" x14ac:dyDescent="0.2">
      <c r="B684" s="25">
        <v>681</v>
      </c>
      <c r="C684" s="18">
        <v>44511</v>
      </c>
      <c r="D684" s="24">
        <f t="shared" si="50"/>
        <v>2021</v>
      </c>
      <c r="E684" s="24" t="str">
        <f t="shared" si="51"/>
        <v>Q4</v>
      </c>
      <c r="F684" s="24" t="str">
        <f t="shared" si="52"/>
        <v>Nov</v>
      </c>
      <c r="G684" s="24">
        <f t="shared" si="53"/>
        <v>11</v>
      </c>
      <c r="H684" s="19">
        <v>1607</v>
      </c>
      <c r="I684" s="19" t="s">
        <v>3</v>
      </c>
      <c r="J684" s="19" t="s">
        <v>5</v>
      </c>
      <c r="K684" s="20">
        <v>1</v>
      </c>
      <c r="L684" s="21">
        <v>157.41999999999999</v>
      </c>
      <c r="M684" s="22">
        <v>0</v>
      </c>
      <c r="N684" s="21">
        <f t="shared" si="54"/>
        <v>157.41999999999999</v>
      </c>
      <c r="O684" s="21">
        <v>157.41999999999999</v>
      </c>
      <c r="P684" s="19" t="s">
        <v>4</v>
      </c>
      <c r="Q684" s="23">
        <v>3</v>
      </c>
      <c r="R684" s="45">
        <v>2</v>
      </c>
    </row>
    <row r="685" spans="2:18" x14ac:dyDescent="0.2">
      <c r="B685" s="25">
        <v>682</v>
      </c>
      <c r="C685" s="18">
        <v>44512</v>
      </c>
      <c r="D685" s="24">
        <f t="shared" si="50"/>
        <v>2021</v>
      </c>
      <c r="E685" s="24" t="str">
        <f t="shared" si="51"/>
        <v>Q4</v>
      </c>
      <c r="F685" s="24" t="str">
        <f t="shared" si="52"/>
        <v>Nov</v>
      </c>
      <c r="G685" s="24">
        <f t="shared" si="53"/>
        <v>11</v>
      </c>
      <c r="H685" s="19">
        <v>1768</v>
      </c>
      <c r="I685" s="19" t="s">
        <v>3</v>
      </c>
      <c r="J685" s="19" t="s">
        <v>8</v>
      </c>
      <c r="K685" s="20">
        <v>5</v>
      </c>
      <c r="L685" s="21">
        <v>45.53</v>
      </c>
      <c r="M685" s="22">
        <v>0.24</v>
      </c>
      <c r="N685" s="21">
        <f t="shared" si="54"/>
        <v>34.602800000000002</v>
      </c>
      <c r="O685" s="21">
        <v>173.01</v>
      </c>
      <c r="P685" s="19" t="s">
        <v>4</v>
      </c>
      <c r="Q685" s="23">
        <v>9</v>
      </c>
      <c r="R685" s="45">
        <v>1</v>
      </c>
    </row>
    <row r="686" spans="2:18" x14ac:dyDescent="0.2">
      <c r="B686" s="25">
        <v>683</v>
      </c>
      <c r="C686" s="18">
        <v>44513</v>
      </c>
      <c r="D686" s="24">
        <f t="shared" si="50"/>
        <v>2021</v>
      </c>
      <c r="E686" s="24" t="str">
        <f t="shared" si="51"/>
        <v>Q4</v>
      </c>
      <c r="F686" s="24" t="str">
        <f t="shared" si="52"/>
        <v>Nov</v>
      </c>
      <c r="G686" s="24">
        <f t="shared" si="53"/>
        <v>11</v>
      </c>
      <c r="H686" s="19">
        <v>1324</v>
      </c>
      <c r="I686" s="19" t="s">
        <v>7</v>
      </c>
      <c r="J686" s="19" t="s">
        <v>5</v>
      </c>
      <c r="K686" s="20">
        <v>1</v>
      </c>
      <c r="L686" s="21">
        <v>564.45000000000005</v>
      </c>
      <c r="M686" s="22">
        <v>0.1</v>
      </c>
      <c r="N686" s="21">
        <f t="shared" si="54"/>
        <v>508.00500000000005</v>
      </c>
      <c r="O686" s="21">
        <v>508.01</v>
      </c>
      <c r="P686" s="19" t="s">
        <v>4</v>
      </c>
      <c r="Q686" s="23">
        <v>3</v>
      </c>
      <c r="R686" s="45">
        <v>1.4</v>
      </c>
    </row>
    <row r="687" spans="2:18" x14ac:dyDescent="0.2">
      <c r="B687" s="25">
        <v>684</v>
      </c>
      <c r="C687" s="18">
        <v>44514</v>
      </c>
      <c r="D687" s="24">
        <f t="shared" si="50"/>
        <v>2021</v>
      </c>
      <c r="E687" s="24" t="str">
        <f t="shared" si="51"/>
        <v>Q4</v>
      </c>
      <c r="F687" s="24" t="str">
        <f t="shared" si="52"/>
        <v>Nov</v>
      </c>
      <c r="G687" s="24">
        <f t="shared" si="53"/>
        <v>11</v>
      </c>
      <c r="H687" s="19">
        <v>1515</v>
      </c>
      <c r="I687" s="19" t="s">
        <v>3</v>
      </c>
      <c r="J687" s="19" t="s">
        <v>8</v>
      </c>
      <c r="K687" s="20">
        <v>7</v>
      </c>
      <c r="L687" s="21">
        <v>124.22</v>
      </c>
      <c r="M687" s="22">
        <v>0.12</v>
      </c>
      <c r="N687" s="21">
        <f t="shared" si="54"/>
        <v>109.31359999999999</v>
      </c>
      <c r="O687" s="21">
        <v>765.2</v>
      </c>
      <c r="P687" s="19" t="s">
        <v>6</v>
      </c>
      <c r="Q687" s="23">
        <v>8</v>
      </c>
      <c r="R687" s="45">
        <v>3.8</v>
      </c>
    </row>
    <row r="688" spans="2:18" x14ac:dyDescent="0.2">
      <c r="B688" s="25">
        <v>685</v>
      </c>
      <c r="C688" s="18">
        <v>44515</v>
      </c>
      <c r="D688" s="24">
        <f t="shared" si="50"/>
        <v>2021</v>
      </c>
      <c r="E688" s="24" t="str">
        <f t="shared" si="51"/>
        <v>Q4</v>
      </c>
      <c r="F688" s="24" t="str">
        <f t="shared" si="52"/>
        <v>Nov</v>
      </c>
      <c r="G688" s="24">
        <f t="shared" si="53"/>
        <v>11</v>
      </c>
      <c r="H688" s="19">
        <v>1015</v>
      </c>
      <c r="I688" s="19" t="s">
        <v>7</v>
      </c>
      <c r="J688" s="19" t="s">
        <v>1</v>
      </c>
      <c r="K688" s="20">
        <v>5</v>
      </c>
      <c r="L688" s="21">
        <v>131.06</v>
      </c>
      <c r="M688" s="22">
        <v>0.19</v>
      </c>
      <c r="N688" s="21">
        <f t="shared" si="54"/>
        <v>106.15860000000001</v>
      </c>
      <c r="O688" s="21">
        <v>530.79</v>
      </c>
      <c r="P688" s="19" t="s">
        <v>4</v>
      </c>
      <c r="Q688" s="23">
        <v>8</v>
      </c>
      <c r="R688" s="45">
        <v>3.7</v>
      </c>
    </row>
    <row r="689" spans="2:18" x14ac:dyDescent="0.2">
      <c r="B689" s="25">
        <v>686</v>
      </c>
      <c r="C689" s="18">
        <v>44516</v>
      </c>
      <c r="D689" s="24">
        <f t="shared" si="50"/>
        <v>2021</v>
      </c>
      <c r="E689" s="24" t="str">
        <f t="shared" si="51"/>
        <v>Q4</v>
      </c>
      <c r="F689" s="24" t="str">
        <f t="shared" si="52"/>
        <v>Nov</v>
      </c>
      <c r="G689" s="24">
        <f t="shared" si="53"/>
        <v>11</v>
      </c>
      <c r="H689" s="19">
        <v>1791</v>
      </c>
      <c r="I689" s="19" t="s">
        <v>7</v>
      </c>
      <c r="J689" s="19" t="s">
        <v>5</v>
      </c>
      <c r="K689" s="20">
        <v>5</v>
      </c>
      <c r="L689" s="21">
        <v>291.39</v>
      </c>
      <c r="M689" s="22">
        <v>0.04</v>
      </c>
      <c r="N689" s="21">
        <f t="shared" si="54"/>
        <v>279.73439999999999</v>
      </c>
      <c r="O689" s="21">
        <v>1398.67</v>
      </c>
      <c r="P689" s="19" t="s">
        <v>4</v>
      </c>
      <c r="Q689" s="23">
        <v>3</v>
      </c>
      <c r="R689" s="45">
        <v>2.2999999999999998</v>
      </c>
    </row>
    <row r="690" spans="2:18" x14ac:dyDescent="0.2">
      <c r="B690" s="25">
        <v>687</v>
      </c>
      <c r="C690" s="18">
        <v>44517</v>
      </c>
      <c r="D690" s="24">
        <f t="shared" si="50"/>
        <v>2021</v>
      </c>
      <c r="E690" s="24" t="str">
        <f t="shared" si="51"/>
        <v>Q4</v>
      </c>
      <c r="F690" s="24" t="str">
        <f t="shared" si="52"/>
        <v>Nov</v>
      </c>
      <c r="G690" s="24">
        <f t="shared" si="53"/>
        <v>11</v>
      </c>
      <c r="H690" s="19">
        <v>1335</v>
      </c>
      <c r="I690" s="19" t="s">
        <v>7</v>
      </c>
      <c r="J690" s="19" t="s">
        <v>5</v>
      </c>
      <c r="K690" s="20">
        <v>6</v>
      </c>
      <c r="L690" s="21">
        <v>302.58999999999997</v>
      </c>
      <c r="M690" s="22">
        <v>0.22</v>
      </c>
      <c r="N690" s="21">
        <f t="shared" si="54"/>
        <v>236.02019999999999</v>
      </c>
      <c r="O690" s="21">
        <v>1416.12</v>
      </c>
      <c r="P690" s="19" t="s">
        <v>2</v>
      </c>
      <c r="Q690" s="23">
        <v>10</v>
      </c>
      <c r="R690" s="45">
        <v>2.9</v>
      </c>
    </row>
    <row r="691" spans="2:18" x14ac:dyDescent="0.2">
      <c r="B691" s="25">
        <v>688</v>
      </c>
      <c r="C691" s="18">
        <v>44518</v>
      </c>
      <c r="D691" s="24">
        <f t="shared" si="50"/>
        <v>2021</v>
      </c>
      <c r="E691" s="24" t="str">
        <f t="shared" si="51"/>
        <v>Q4</v>
      </c>
      <c r="F691" s="24" t="str">
        <f t="shared" si="52"/>
        <v>Nov</v>
      </c>
      <c r="G691" s="24">
        <f t="shared" si="53"/>
        <v>11</v>
      </c>
      <c r="H691" s="19">
        <v>1758</v>
      </c>
      <c r="I691" s="19" t="s">
        <v>10</v>
      </c>
      <c r="J691" s="19" t="s">
        <v>5</v>
      </c>
      <c r="K691" s="20">
        <v>5</v>
      </c>
      <c r="L691" s="21">
        <v>25.78</v>
      </c>
      <c r="M691" s="22">
        <v>0.11</v>
      </c>
      <c r="N691" s="21">
        <f t="shared" si="54"/>
        <v>22.944200000000002</v>
      </c>
      <c r="O691" s="21">
        <v>114.72</v>
      </c>
      <c r="P691" s="19" t="s">
        <v>4</v>
      </c>
      <c r="Q691" s="23">
        <v>10</v>
      </c>
      <c r="R691" s="45">
        <v>2.2000000000000002</v>
      </c>
    </row>
    <row r="692" spans="2:18" x14ac:dyDescent="0.2">
      <c r="B692" s="25">
        <v>689</v>
      </c>
      <c r="C692" s="18">
        <v>44519</v>
      </c>
      <c r="D692" s="24">
        <f t="shared" si="50"/>
        <v>2021</v>
      </c>
      <c r="E692" s="24" t="str">
        <f t="shared" si="51"/>
        <v>Q4</v>
      </c>
      <c r="F692" s="24" t="str">
        <f t="shared" si="52"/>
        <v>Nov</v>
      </c>
      <c r="G692" s="24">
        <f t="shared" si="53"/>
        <v>11</v>
      </c>
      <c r="H692" s="19">
        <v>1257</v>
      </c>
      <c r="I692" s="19" t="s">
        <v>7</v>
      </c>
      <c r="J692" s="19" t="s">
        <v>9</v>
      </c>
      <c r="K692" s="20">
        <v>1</v>
      </c>
      <c r="L692" s="21">
        <v>101.55</v>
      </c>
      <c r="M692" s="22">
        <v>0.22</v>
      </c>
      <c r="N692" s="21">
        <f t="shared" si="54"/>
        <v>79.209000000000003</v>
      </c>
      <c r="O692" s="21">
        <v>79.209999999999994</v>
      </c>
      <c r="P692" s="19" t="s">
        <v>6</v>
      </c>
      <c r="Q692" s="23">
        <v>6</v>
      </c>
      <c r="R692" s="45">
        <v>3.9</v>
      </c>
    </row>
    <row r="693" spans="2:18" x14ac:dyDescent="0.2">
      <c r="B693" s="25">
        <v>690</v>
      </c>
      <c r="C693" s="18">
        <v>44520</v>
      </c>
      <c r="D693" s="24">
        <f t="shared" si="50"/>
        <v>2021</v>
      </c>
      <c r="E693" s="24" t="str">
        <f t="shared" si="51"/>
        <v>Q4</v>
      </c>
      <c r="F693" s="24" t="str">
        <f t="shared" si="52"/>
        <v>Nov</v>
      </c>
      <c r="G693" s="24">
        <f t="shared" si="53"/>
        <v>11</v>
      </c>
      <c r="H693" s="19">
        <v>1496</v>
      </c>
      <c r="I693" s="19" t="s">
        <v>3</v>
      </c>
      <c r="J693" s="19" t="s">
        <v>5</v>
      </c>
      <c r="K693" s="20">
        <v>7</v>
      </c>
      <c r="L693" s="21">
        <v>236.22</v>
      </c>
      <c r="M693" s="22">
        <v>0.28999999999999998</v>
      </c>
      <c r="N693" s="21">
        <f t="shared" si="54"/>
        <v>167.71620000000001</v>
      </c>
      <c r="O693" s="21">
        <v>1174.01</v>
      </c>
      <c r="P693" s="19" t="s">
        <v>2</v>
      </c>
      <c r="Q693" s="23">
        <v>8</v>
      </c>
      <c r="R693" s="45">
        <v>4.4000000000000004</v>
      </c>
    </row>
    <row r="694" spans="2:18" x14ac:dyDescent="0.2">
      <c r="B694" s="25">
        <v>691</v>
      </c>
      <c r="C694" s="18">
        <v>44521</v>
      </c>
      <c r="D694" s="24">
        <f t="shared" si="50"/>
        <v>2021</v>
      </c>
      <c r="E694" s="24" t="str">
        <f t="shared" si="51"/>
        <v>Q4</v>
      </c>
      <c r="F694" s="24" t="str">
        <f t="shared" si="52"/>
        <v>Nov</v>
      </c>
      <c r="G694" s="24">
        <f t="shared" si="53"/>
        <v>11</v>
      </c>
      <c r="H694" s="19">
        <v>1987</v>
      </c>
      <c r="I694" s="19" t="s">
        <v>0</v>
      </c>
      <c r="J694" s="19" t="s">
        <v>9</v>
      </c>
      <c r="K694" s="20">
        <v>6</v>
      </c>
      <c r="L694" s="21">
        <v>414.98</v>
      </c>
      <c r="M694" s="22">
        <v>0.06</v>
      </c>
      <c r="N694" s="21">
        <f t="shared" si="54"/>
        <v>390.08120000000002</v>
      </c>
      <c r="O694" s="21">
        <v>2340.4899999999998</v>
      </c>
      <c r="P694" s="19" t="s">
        <v>6</v>
      </c>
      <c r="Q694" s="23">
        <v>8</v>
      </c>
      <c r="R694" s="45">
        <v>4.5999999999999996</v>
      </c>
    </row>
    <row r="695" spans="2:18" x14ac:dyDescent="0.2">
      <c r="B695" s="25">
        <v>692</v>
      </c>
      <c r="C695" s="18">
        <v>44522</v>
      </c>
      <c r="D695" s="24">
        <f t="shared" si="50"/>
        <v>2021</v>
      </c>
      <c r="E695" s="24" t="str">
        <f t="shared" si="51"/>
        <v>Q4</v>
      </c>
      <c r="F695" s="24" t="str">
        <f t="shared" si="52"/>
        <v>Nov</v>
      </c>
      <c r="G695" s="24">
        <f t="shared" si="53"/>
        <v>11</v>
      </c>
      <c r="H695" s="19">
        <v>1895</v>
      </c>
      <c r="I695" s="19" t="s">
        <v>7</v>
      </c>
      <c r="J695" s="19" t="s">
        <v>9</v>
      </c>
      <c r="K695" s="20">
        <v>3</v>
      </c>
      <c r="L695" s="21">
        <v>148.62</v>
      </c>
      <c r="M695" s="22">
        <v>0.33</v>
      </c>
      <c r="N695" s="21">
        <f t="shared" si="54"/>
        <v>99.575400000000002</v>
      </c>
      <c r="O695" s="21">
        <v>298.73</v>
      </c>
      <c r="P695" s="19" t="s">
        <v>6</v>
      </c>
      <c r="Q695" s="23">
        <v>10</v>
      </c>
      <c r="R695" s="45">
        <v>1.7</v>
      </c>
    </row>
    <row r="696" spans="2:18" x14ac:dyDescent="0.2">
      <c r="B696" s="25">
        <v>693</v>
      </c>
      <c r="C696" s="18">
        <v>44523</v>
      </c>
      <c r="D696" s="24">
        <f t="shared" si="50"/>
        <v>2021</v>
      </c>
      <c r="E696" s="24" t="str">
        <f t="shared" si="51"/>
        <v>Q4</v>
      </c>
      <c r="F696" s="24" t="str">
        <f t="shared" si="52"/>
        <v>Nov</v>
      </c>
      <c r="G696" s="24">
        <f t="shared" si="53"/>
        <v>11</v>
      </c>
      <c r="H696" s="19">
        <v>1159</v>
      </c>
      <c r="I696" s="19" t="s">
        <v>3</v>
      </c>
      <c r="J696" s="19" t="s">
        <v>8</v>
      </c>
      <c r="K696" s="20">
        <v>7</v>
      </c>
      <c r="L696" s="21">
        <v>262.45999999999998</v>
      </c>
      <c r="M696" s="22">
        <v>0.19</v>
      </c>
      <c r="N696" s="21">
        <f t="shared" si="54"/>
        <v>212.59259999999998</v>
      </c>
      <c r="O696" s="21">
        <v>1488.15</v>
      </c>
      <c r="P696" s="19" t="s">
        <v>4</v>
      </c>
      <c r="Q696" s="23">
        <v>10</v>
      </c>
      <c r="R696" s="45">
        <v>3.8</v>
      </c>
    </row>
    <row r="697" spans="2:18" x14ac:dyDescent="0.2">
      <c r="B697" s="25">
        <v>694</v>
      </c>
      <c r="C697" s="18">
        <v>44524</v>
      </c>
      <c r="D697" s="24">
        <f t="shared" si="50"/>
        <v>2021</v>
      </c>
      <c r="E697" s="24" t="str">
        <f t="shared" si="51"/>
        <v>Q4</v>
      </c>
      <c r="F697" s="24" t="str">
        <f t="shared" si="52"/>
        <v>Nov</v>
      </c>
      <c r="G697" s="24">
        <f t="shared" si="53"/>
        <v>11</v>
      </c>
      <c r="H697" s="19">
        <v>1474</v>
      </c>
      <c r="I697" s="19" t="s">
        <v>3</v>
      </c>
      <c r="J697" s="19" t="s">
        <v>9</v>
      </c>
      <c r="K697" s="20">
        <v>7</v>
      </c>
      <c r="L697" s="21">
        <v>341.05</v>
      </c>
      <c r="M697" s="22">
        <v>0.32</v>
      </c>
      <c r="N697" s="21">
        <f t="shared" si="54"/>
        <v>231.91399999999999</v>
      </c>
      <c r="O697" s="21">
        <v>1623.4</v>
      </c>
      <c r="P697" s="19" t="s">
        <v>4</v>
      </c>
      <c r="Q697" s="23">
        <v>9</v>
      </c>
      <c r="R697" s="45">
        <v>4.9000000000000004</v>
      </c>
    </row>
    <row r="698" spans="2:18" x14ac:dyDescent="0.2">
      <c r="B698" s="25">
        <v>695</v>
      </c>
      <c r="C698" s="18">
        <v>44525</v>
      </c>
      <c r="D698" s="24">
        <f t="shared" si="50"/>
        <v>2021</v>
      </c>
      <c r="E698" s="24" t="str">
        <f t="shared" si="51"/>
        <v>Q4</v>
      </c>
      <c r="F698" s="24" t="str">
        <f t="shared" si="52"/>
        <v>Nov</v>
      </c>
      <c r="G698" s="24">
        <f t="shared" si="53"/>
        <v>11</v>
      </c>
      <c r="H698" s="19">
        <v>1851</v>
      </c>
      <c r="I698" s="19" t="s">
        <v>7</v>
      </c>
      <c r="J698" s="19" t="s">
        <v>9</v>
      </c>
      <c r="K698" s="20">
        <v>1</v>
      </c>
      <c r="L698" s="21">
        <v>534.83000000000004</v>
      </c>
      <c r="M698" s="22">
        <v>7.0000000000000007E-2</v>
      </c>
      <c r="N698" s="21">
        <f t="shared" si="54"/>
        <v>497.39190000000002</v>
      </c>
      <c r="O698" s="21">
        <v>497.39</v>
      </c>
      <c r="P698" s="19" t="s">
        <v>6</v>
      </c>
      <c r="Q698" s="23">
        <v>9</v>
      </c>
      <c r="R698" s="45">
        <v>3.6</v>
      </c>
    </row>
    <row r="699" spans="2:18" x14ac:dyDescent="0.2">
      <c r="B699" s="25">
        <v>696</v>
      </c>
      <c r="C699" s="18">
        <v>44526</v>
      </c>
      <c r="D699" s="24">
        <f t="shared" si="50"/>
        <v>2021</v>
      </c>
      <c r="E699" s="24" t="str">
        <f t="shared" si="51"/>
        <v>Q4</v>
      </c>
      <c r="F699" s="24" t="str">
        <f t="shared" si="52"/>
        <v>Nov</v>
      </c>
      <c r="G699" s="24">
        <f t="shared" si="53"/>
        <v>11</v>
      </c>
      <c r="H699" s="19">
        <v>1663</v>
      </c>
      <c r="I699" s="19" t="s">
        <v>10</v>
      </c>
      <c r="J699" s="19" t="s">
        <v>1</v>
      </c>
      <c r="K699" s="20">
        <v>7</v>
      </c>
      <c r="L699" s="21">
        <v>205.75</v>
      </c>
      <c r="M699" s="22">
        <v>0.21</v>
      </c>
      <c r="N699" s="21">
        <f t="shared" si="54"/>
        <v>162.54250000000002</v>
      </c>
      <c r="O699" s="21">
        <v>1137.8</v>
      </c>
      <c r="P699" s="19" t="s">
        <v>6</v>
      </c>
      <c r="Q699" s="23">
        <v>8</v>
      </c>
      <c r="R699" s="45">
        <v>2.4</v>
      </c>
    </row>
    <row r="700" spans="2:18" x14ac:dyDescent="0.2">
      <c r="B700" s="25">
        <v>697</v>
      </c>
      <c r="C700" s="18">
        <v>44527</v>
      </c>
      <c r="D700" s="24">
        <f t="shared" si="50"/>
        <v>2021</v>
      </c>
      <c r="E700" s="24" t="str">
        <f t="shared" si="51"/>
        <v>Q4</v>
      </c>
      <c r="F700" s="24" t="str">
        <f t="shared" si="52"/>
        <v>Nov</v>
      </c>
      <c r="G700" s="24">
        <f t="shared" si="53"/>
        <v>11</v>
      </c>
      <c r="H700" s="19">
        <v>1907</v>
      </c>
      <c r="I700" s="19" t="s">
        <v>7</v>
      </c>
      <c r="J700" s="19" t="s">
        <v>5</v>
      </c>
      <c r="K700" s="20">
        <v>3</v>
      </c>
      <c r="L700" s="21">
        <v>93.13</v>
      </c>
      <c r="M700" s="22">
        <v>0.14000000000000001</v>
      </c>
      <c r="N700" s="21">
        <f t="shared" si="54"/>
        <v>80.091799999999992</v>
      </c>
      <c r="O700" s="21">
        <v>240.28</v>
      </c>
      <c r="P700" s="19" t="s">
        <v>4</v>
      </c>
      <c r="Q700" s="23">
        <v>7</v>
      </c>
      <c r="R700" s="45">
        <v>3.5</v>
      </c>
    </row>
    <row r="701" spans="2:18" x14ac:dyDescent="0.2">
      <c r="B701" s="25">
        <v>698</v>
      </c>
      <c r="C701" s="18">
        <v>44528</v>
      </c>
      <c r="D701" s="24">
        <f t="shared" si="50"/>
        <v>2021</v>
      </c>
      <c r="E701" s="24" t="str">
        <f t="shared" si="51"/>
        <v>Q4</v>
      </c>
      <c r="F701" s="24" t="str">
        <f t="shared" si="52"/>
        <v>Nov</v>
      </c>
      <c r="G701" s="24">
        <f t="shared" si="53"/>
        <v>11</v>
      </c>
      <c r="H701" s="19">
        <v>1689</v>
      </c>
      <c r="I701" s="19" t="s">
        <v>3</v>
      </c>
      <c r="J701" s="19" t="s">
        <v>9</v>
      </c>
      <c r="K701" s="20">
        <v>2</v>
      </c>
      <c r="L701" s="21">
        <v>301.22000000000003</v>
      </c>
      <c r="M701" s="22">
        <v>0.27</v>
      </c>
      <c r="N701" s="21">
        <f t="shared" si="54"/>
        <v>219.89060000000001</v>
      </c>
      <c r="O701" s="21">
        <v>439.78</v>
      </c>
      <c r="P701" s="19" t="s">
        <v>6</v>
      </c>
      <c r="Q701" s="23">
        <v>10</v>
      </c>
      <c r="R701" s="45">
        <v>3.8</v>
      </c>
    </row>
    <row r="702" spans="2:18" x14ac:dyDescent="0.2">
      <c r="B702" s="25">
        <v>699</v>
      </c>
      <c r="C702" s="18">
        <v>44529</v>
      </c>
      <c r="D702" s="24">
        <f t="shared" si="50"/>
        <v>2021</v>
      </c>
      <c r="E702" s="24" t="str">
        <f t="shared" si="51"/>
        <v>Q4</v>
      </c>
      <c r="F702" s="24" t="str">
        <f t="shared" si="52"/>
        <v>Nov</v>
      </c>
      <c r="G702" s="24">
        <f t="shared" si="53"/>
        <v>11</v>
      </c>
      <c r="H702" s="19">
        <v>1674</v>
      </c>
      <c r="I702" s="19" t="s">
        <v>3</v>
      </c>
      <c r="J702" s="19" t="s">
        <v>5</v>
      </c>
      <c r="K702" s="20">
        <v>6</v>
      </c>
      <c r="L702" s="21">
        <v>451.83</v>
      </c>
      <c r="M702" s="22">
        <v>0.21</v>
      </c>
      <c r="N702" s="21">
        <f t="shared" si="54"/>
        <v>356.94569999999999</v>
      </c>
      <c r="O702" s="21">
        <v>2141.67</v>
      </c>
      <c r="P702" s="19" t="s">
        <v>2</v>
      </c>
      <c r="Q702" s="23">
        <v>3</v>
      </c>
      <c r="R702" s="45">
        <v>2.6</v>
      </c>
    </row>
    <row r="703" spans="2:18" x14ac:dyDescent="0.2">
      <c r="B703" s="25">
        <v>700</v>
      </c>
      <c r="C703" s="18">
        <v>44530</v>
      </c>
      <c r="D703" s="24">
        <f t="shared" si="50"/>
        <v>2021</v>
      </c>
      <c r="E703" s="24" t="str">
        <f t="shared" si="51"/>
        <v>Q4</v>
      </c>
      <c r="F703" s="24" t="str">
        <f t="shared" si="52"/>
        <v>Nov</v>
      </c>
      <c r="G703" s="24">
        <f t="shared" si="53"/>
        <v>11</v>
      </c>
      <c r="H703" s="19">
        <v>1379</v>
      </c>
      <c r="I703" s="19" t="s">
        <v>3</v>
      </c>
      <c r="J703" s="19" t="s">
        <v>9</v>
      </c>
      <c r="K703" s="20">
        <v>2</v>
      </c>
      <c r="L703" s="21">
        <v>79.27</v>
      </c>
      <c r="M703" s="22">
        <v>0.17</v>
      </c>
      <c r="N703" s="21">
        <f t="shared" si="54"/>
        <v>65.7941</v>
      </c>
      <c r="O703" s="21">
        <v>131.59</v>
      </c>
      <c r="P703" s="19" t="s">
        <v>4</v>
      </c>
      <c r="Q703" s="23">
        <v>7</v>
      </c>
      <c r="R703" s="45">
        <v>1.4</v>
      </c>
    </row>
    <row r="704" spans="2:18" x14ac:dyDescent="0.2">
      <c r="B704" s="25">
        <v>701</v>
      </c>
      <c r="C704" s="18">
        <v>44531</v>
      </c>
      <c r="D704" s="24">
        <f t="shared" si="50"/>
        <v>2021</v>
      </c>
      <c r="E704" s="24" t="str">
        <f t="shared" si="51"/>
        <v>Q4</v>
      </c>
      <c r="F704" s="24" t="str">
        <f t="shared" si="52"/>
        <v>Dec</v>
      </c>
      <c r="G704" s="24">
        <f t="shared" si="53"/>
        <v>12</v>
      </c>
      <c r="H704" s="19">
        <v>1544</v>
      </c>
      <c r="I704" s="19" t="s">
        <v>10</v>
      </c>
      <c r="J704" s="19" t="s">
        <v>8</v>
      </c>
      <c r="K704" s="20">
        <v>6</v>
      </c>
      <c r="L704" s="21">
        <v>263.44</v>
      </c>
      <c r="M704" s="22">
        <v>0.32</v>
      </c>
      <c r="N704" s="21">
        <f t="shared" si="54"/>
        <v>179.13920000000002</v>
      </c>
      <c r="O704" s="21">
        <v>1074.8399999999999</v>
      </c>
      <c r="P704" s="19" t="s">
        <v>6</v>
      </c>
      <c r="Q704" s="23">
        <v>4</v>
      </c>
      <c r="R704" s="45">
        <v>3.4</v>
      </c>
    </row>
    <row r="705" spans="2:18" x14ac:dyDescent="0.2">
      <c r="B705" s="25">
        <v>702</v>
      </c>
      <c r="C705" s="18">
        <v>44532</v>
      </c>
      <c r="D705" s="24">
        <f t="shared" si="50"/>
        <v>2021</v>
      </c>
      <c r="E705" s="24" t="str">
        <f t="shared" si="51"/>
        <v>Q4</v>
      </c>
      <c r="F705" s="24" t="str">
        <f t="shared" si="52"/>
        <v>Dec</v>
      </c>
      <c r="G705" s="24">
        <f t="shared" si="53"/>
        <v>12</v>
      </c>
      <c r="H705" s="19">
        <v>1928</v>
      </c>
      <c r="I705" s="19" t="s">
        <v>7</v>
      </c>
      <c r="J705" s="19" t="s">
        <v>1</v>
      </c>
      <c r="K705" s="20">
        <v>7</v>
      </c>
      <c r="L705" s="21">
        <v>25.4</v>
      </c>
      <c r="M705" s="22">
        <v>0.13</v>
      </c>
      <c r="N705" s="21">
        <f t="shared" si="54"/>
        <v>22.097999999999999</v>
      </c>
      <c r="O705" s="21">
        <v>154.69</v>
      </c>
      <c r="P705" s="19" t="s">
        <v>6</v>
      </c>
      <c r="Q705" s="23">
        <v>2</v>
      </c>
      <c r="R705" s="45">
        <v>4.2</v>
      </c>
    </row>
    <row r="706" spans="2:18" x14ac:dyDescent="0.2">
      <c r="B706" s="25">
        <v>703</v>
      </c>
      <c r="C706" s="18">
        <v>44533</v>
      </c>
      <c r="D706" s="24">
        <f t="shared" si="50"/>
        <v>2021</v>
      </c>
      <c r="E706" s="24" t="str">
        <f t="shared" si="51"/>
        <v>Q4</v>
      </c>
      <c r="F706" s="24" t="str">
        <f t="shared" si="52"/>
        <v>Dec</v>
      </c>
      <c r="G706" s="24">
        <f t="shared" si="53"/>
        <v>12</v>
      </c>
      <c r="H706" s="19">
        <v>1956</v>
      </c>
      <c r="I706" s="19" t="s">
        <v>7</v>
      </c>
      <c r="J706" s="19" t="s">
        <v>9</v>
      </c>
      <c r="K706" s="20">
        <v>6</v>
      </c>
      <c r="L706" s="21">
        <v>34.630000000000003</v>
      </c>
      <c r="M706" s="22">
        <v>0.08</v>
      </c>
      <c r="N706" s="21">
        <f t="shared" si="54"/>
        <v>31.8596</v>
      </c>
      <c r="O706" s="21">
        <v>191.16</v>
      </c>
      <c r="P706" s="19" t="s">
        <v>2</v>
      </c>
      <c r="Q706" s="23">
        <v>8</v>
      </c>
      <c r="R706" s="45">
        <v>5</v>
      </c>
    </row>
    <row r="707" spans="2:18" x14ac:dyDescent="0.2">
      <c r="B707" s="25">
        <v>704</v>
      </c>
      <c r="C707" s="18">
        <v>44534</v>
      </c>
      <c r="D707" s="24">
        <f t="shared" si="50"/>
        <v>2021</v>
      </c>
      <c r="E707" s="24" t="str">
        <f t="shared" si="51"/>
        <v>Q4</v>
      </c>
      <c r="F707" s="24" t="str">
        <f t="shared" si="52"/>
        <v>Dec</v>
      </c>
      <c r="G707" s="24">
        <f t="shared" si="53"/>
        <v>12</v>
      </c>
      <c r="H707" s="19">
        <v>1690</v>
      </c>
      <c r="I707" s="19" t="s">
        <v>10</v>
      </c>
      <c r="J707" s="19" t="s">
        <v>5</v>
      </c>
      <c r="K707" s="20">
        <v>1</v>
      </c>
      <c r="L707" s="21">
        <v>297.52999999999997</v>
      </c>
      <c r="M707" s="22">
        <v>0.21</v>
      </c>
      <c r="N707" s="21">
        <f t="shared" si="54"/>
        <v>235.0487</v>
      </c>
      <c r="O707" s="21">
        <v>235.05</v>
      </c>
      <c r="P707" s="19" t="s">
        <v>2</v>
      </c>
      <c r="Q707" s="23">
        <v>2</v>
      </c>
      <c r="R707" s="45">
        <v>1.9</v>
      </c>
    </row>
    <row r="708" spans="2:18" x14ac:dyDescent="0.2">
      <c r="B708" s="25">
        <v>705</v>
      </c>
      <c r="C708" s="18">
        <v>44535</v>
      </c>
      <c r="D708" s="24">
        <f t="shared" ref="D708:D771" si="55">YEAR(C708)</f>
        <v>2021</v>
      </c>
      <c r="E708" s="24" t="str">
        <f t="shared" ref="E708:E771" si="56">"Q"&amp;ROUNDUP(MONTH(C708)/3,0)</f>
        <v>Q4</v>
      </c>
      <c r="F708" s="24" t="str">
        <f t="shared" ref="F708:F771" si="57">TEXT(C708,"mmm")</f>
        <v>Dec</v>
      </c>
      <c r="G708" s="24">
        <f t="shared" ref="G708:G771" si="58">MONTH(C708)</f>
        <v>12</v>
      </c>
      <c r="H708" s="19">
        <v>1426</v>
      </c>
      <c r="I708" s="19" t="s">
        <v>3</v>
      </c>
      <c r="J708" s="19" t="s">
        <v>8</v>
      </c>
      <c r="K708" s="20">
        <v>3</v>
      </c>
      <c r="L708" s="21">
        <v>189.45</v>
      </c>
      <c r="M708" s="22">
        <v>0.22</v>
      </c>
      <c r="N708" s="21">
        <f t="shared" si="54"/>
        <v>147.77099999999999</v>
      </c>
      <c r="O708" s="21">
        <v>443.31</v>
      </c>
      <c r="P708" s="19" t="s">
        <v>6</v>
      </c>
      <c r="Q708" s="23">
        <v>1</v>
      </c>
      <c r="R708" s="45">
        <v>3.8</v>
      </c>
    </row>
    <row r="709" spans="2:18" x14ac:dyDescent="0.2">
      <c r="B709" s="25">
        <v>706</v>
      </c>
      <c r="C709" s="18">
        <v>44536</v>
      </c>
      <c r="D709" s="24">
        <f t="shared" si="55"/>
        <v>2021</v>
      </c>
      <c r="E709" s="24" t="str">
        <f t="shared" si="56"/>
        <v>Q4</v>
      </c>
      <c r="F709" s="24" t="str">
        <f t="shared" si="57"/>
        <v>Dec</v>
      </c>
      <c r="G709" s="24">
        <f t="shared" si="58"/>
        <v>12</v>
      </c>
      <c r="H709" s="19">
        <v>1612</v>
      </c>
      <c r="I709" s="19" t="s">
        <v>10</v>
      </c>
      <c r="J709" s="19" t="s">
        <v>5</v>
      </c>
      <c r="K709" s="20">
        <v>6</v>
      </c>
      <c r="L709" s="21">
        <v>509.39</v>
      </c>
      <c r="M709" s="22">
        <v>0.15</v>
      </c>
      <c r="N709" s="21">
        <f t="shared" ref="N709:N772" si="59">L709-(L709*M709)</f>
        <v>432.98149999999998</v>
      </c>
      <c r="O709" s="21">
        <v>2597.89</v>
      </c>
      <c r="P709" s="19" t="s">
        <v>4</v>
      </c>
      <c r="Q709" s="23">
        <v>5</v>
      </c>
      <c r="R709" s="45">
        <v>1.1000000000000001</v>
      </c>
    </row>
    <row r="710" spans="2:18" x14ac:dyDescent="0.2">
      <c r="B710" s="25">
        <v>707</v>
      </c>
      <c r="C710" s="18">
        <v>44537</v>
      </c>
      <c r="D710" s="24">
        <f t="shared" si="55"/>
        <v>2021</v>
      </c>
      <c r="E710" s="24" t="str">
        <f t="shared" si="56"/>
        <v>Q4</v>
      </c>
      <c r="F710" s="24" t="str">
        <f t="shared" si="57"/>
        <v>Dec</v>
      </c>
      <c r="G710" s="24">
        <f t="shared" si="58"/>
        <v>12</v>
      </c>
      <c r="H710" s="19">
        <v>1267</v>
      </c>
      <c r="I710" s="19" t="s">
        <v>10</v>
      </c>
      <c r="J710" s="19" t="s">
        <v>8</v>
      </c>
      <c r="K710" s="20">
        <v>3</v>
      </c>
      <c r="L710" s="21">
        <v>367.26</v>
      </c>
      <c r="M710" s="22">
        <v>0.17</v>
      </c>
      <c r="N710" s="21">
        <f t="shared" si="59"/>
        <v>304.82579999999996</v>
      </c>
      <c r="O710" s="21">
        <v>914.48</v>
      </c>
      <c r="P710" s="19" t="s">
        <v>4</v>
      </c>
      <c r="Q710" s="23">
        <v>10</v>
      </c>
      <c r="R710" s="45">
        <v>4.9000000000000004</v>
      </c>
    </row>
    <row r="711" spans="2:18" x14ac:dyDescent="0.2">
      <c r="B711" s="25">
        <v>708</v>
      </c>
      <c r="C711" s="18">
        <v>44538</v>
      </c>
      <c r="D711" s="24">
        <f t="shared" si="55"/>
        <v>2021</v>
      </c>
      <c r="E711" s="24" t="str">
        <f t="shared" si="56"/>
        <v>Q4</v>
      </c>
      <c r="F711" s="24" t="str">
        <f t="shared" si="57"/>
        <v>Dec</v>
      </c>
      <c r="G711" s="24">
        <f t="shared" si="58"/>
        <v>12</v>
      </c>
      <c r="H711" s="19">
        <v>1834</v>
      </c>
      <c r="I711" s="19" t="s">
        <v>10</v>
      </c>
      <c r="J711" s="19" t="s">
        <v>1</v>
      </c>
      <c r="K711" s="20">
        <v>6</v>
      </c>
      <c r="L711" s="21">
        <v>280.55</v>
      </c>
      <c r="M711" s="22">
        <v>0.34</v>
      </c>
      <c r="N711" s="21">
        <f t="shared" si="59"/>
        <v>185.16300000000001</v>
      </c>
      <c r="O711" s="21">
        <v>1110.98</v>
      </c>
      <c r="P711" s="19" t="s">
        <v>4</v>
      </c>
      <c r="Q711" s="23">
        <v>9</v>
      </c>
      <c r="R711" s="45">
        <v>1.1000000000000001</v>
      </c>
    </row>
    <row r="712" spans="2:18" x14ac:dyDescent="0.2">
      <c r="B712" s="25">
        <v>709</v>
      </c>
      <c r="C712" s="18">
        <v>44539</v>
      </c>
      <c r="D712" s="24">
        <f t="shared" si="55"/>
        <v>2021</v>
      </c>
      <c r="E712" s="24" t="str">
        <f t="shared" si="56"/>
        <v>Q4</v>
      </c>
      <c r="F712" s="24" t="str">
        <f t="shared" si="57"/>
        <v>Dec</v>
      </c>
      <c r="G712" s="24">
        <f t="shared" si="58"/>
        <v>12</v>
      </c>
      <c r="H712" s="19">
        <v>1576</v>
      </c>
      <c r="I712" s="19" t="s">
        <v>3</v>
      </c>
      <c r="J712" s="19" t="s">
        <v>8</v>
      </c>
      <c r="K712" s="20">
        <v>3</v>
      </c>
      <c r="L712" s="21">
        <v>253.64</v>
      </c>
      <c r="M712" s="22">
        <v>0.26</v>
      </c>
      <c r="N712" s="21">
        <f t="shared" si="59"/>
        <v>187.6936</v>
      </c>
      <c r="O712" s="21">
        <v>563.08000000000004</v>
      </c>
      <c r="P712" s="19" t="s">
        <v>6</v>
      </c>
      <c r="Q712" s="23">
        <v>5</v>
      </c>
      <c r="R712" s="45">
        <v>2.4</v>
      </c>
    </row>
    <row r="713" spans="2:18" x14ac:dyDescent="0.2">
      <c r="B713" s="25">
        <v>710</v>
      </c>
      <c r="C713" s="18">
        <v>44540</v>
      </c>
      <c r="D713" s="24">
        <f t="shared" si="55"/>
        <v>2021</v>
      </c>
      <c r="E713" s="24" t="str">
        <f t="shared" si="56"/>
        <v>Q4</v>
      </c>
      <c r="F713" s="24" t="str">
        <f t="shared" si="57"/>
        <v>Dec</v>
      </c>
      <c r="G713" s="24">
        <f t="shared" si="58"/>
        <v>12</v>
      </c>
      <c r="H713" s="19">
        <v>1416</v>
      </c>
      <c r="I713" s="19" t="s">
        <v>7</v>
      </c>
      <c r="J713" s="19" t="s">
        <v>5</v>
      </c>
      <c r="K713" s="20">
        <v>2</v>
      </c>
      <c r="L713" s="21">
        <v>305.89</v>
      </c>
      <c r="M713" s="22">
        <v>0.04</v>
      </c>
      <c r="N713" s="21">
        <f t="shared" si="59"/>
        <v>293.65440000000001</v>
      </c>
      <c r="O713" s="21">
        <v>587.30999999999995</v>
      </c>
      <c r="P713" s="19" t="s">
        <v>6</v>
      </c>
      <c r="Q713" s="23">
        <v>11</v>
      </c>
      <c r="R713" s="45">
        <v>1.3</v>
      </c>
    </row>
    <row r="714" spans="2:18" x14ac:dyDescent="0.2">
      <c r="B714" s="25">
        <v>711</v>
      </c>
      <c r="C714" s="18">
        <v>44541</v>
      </c>
      <c r="D714" s="24">
        <f t="shared" si="55"/>
        <v>2021</v>
      </c>
      <c r="E714" s="24" t="str">
        <f t="shared" si="56"/>
        <v>Q4</v>
      </c>
      <c r="F714" s="24" t="str">
        <f t="shared" si="57"/>
        <v>Dec</v>
      </c>
      <c r="G714" s="24">
        <f t="shared" si="58"/>
        <v>12</v>
      </c>
      <c r="H714" s="19">
        <v>1167</v>
      </c>
      <c r="I714" s="19" t="s">
        <v>10</v>
      </c>
      <c r="J714" s="19" t="s">
        <v>5</v>
      </c>
      <c r="K714" s="20">
        <v>1</v>
      </c>
      <c r="L714" s="21">
        <v>38.659999999999997</v>
      </c>
      <c r="M714" s="22">
        <v>7.0000000000000007E-2</v>
      </c>
      <c r="N714" s="21">
        <f t="shared" si="59"/>
        <v>35.953799999999994</v>
      </c>
      <c r="O714" s="21">
        <v>35.950000000000003</v>
      </c>
      <c r="P714" s="19" t="s">
        <v>2</v>
      </c>
      <c r="Q714" s="23">
        <v>2</v>
      </c>
      <c r="R714" s="45">
        <v>3.5</v>
      </c>
    </row>
    <row r="715" spans="2:18" x14ac:dyDescent="0.2">
      <c r="B715" s="25">
        <v>712</v>
      </c>
      <c r="C715" s="18">
        <v>44542</v>
      </c>
      <c r="D715" s="24">
        <f t="shared" si="55"/>
        <v>2021</v>
      </c>
      <c r="E715" s="24" t="str">
        <f t="shared" si="56"/>
        <v>Q4</v>
      </c>
      <c r="F715" s="24" t="str">
        <f t="shared" si="57"/>
        <v>Dec</v>
      </c>
      <c r="G715" s="24">
        <f t="shared" si="58"/>
        <v>12</v>
      </c>
      <c r="H715" s="19">
        <v>1841</v>
      </c>
      <c r="I715" s="19" t="s">
        <v>3</v>
      </c>
      <c r="J715" s="19" t="s">
        <v>9</v>
      </c>
      <c r="K715" s="20">
        <v>6</v>
      </c>
      <c r="L715" s="21">
        <v>537.28</v>
      </c>
      <c r="M715" s="22">
        <v>0.34</v>
      </c>
      <c r="N715" s="21">
        <f t="shared" si="59"/>
        <v>354.60479999999995</v>
      </c>
      <c r="O715" s="21">
        <v>2127.63</v>
      </c>
      <c r="P715" s="19" t="s">
        <v>6</v>
      </c>
      <c r="Q715" s="23">
        <v>10</v>
      </c>
      <c r="R715" s="45">
        <v>2.4</v>
      </c>
    </row>
    <row r="716" spans="2:18" x14ac:dyDescent="0.2">
      <c r="B716" s="25">
        <v>713</v>
      </c>
      <c r="C716" s="18">
        <v>44543</v>
      </c>
      <c r="D716" s="24">
        <f t="shared" si="55"/>
        <v>2021</v>
      </c>
      <c r="E716" s="24" t="str">
        <f t="shared" si="56"/>
        <v>Q4</v>
      </c>
      <c r="F716" s="24" t="str">
        <f t="shared" si="57"/>
        <v>Dec</v>
      </c>
      <c r="G716" s="24">
        <f t="shared" si="58"/>
        <v>12</v>
      </c>
      <c r="H716" s="19">
        <v>1042</v>
      </c>
      <c r="I716" s="19" t="s">
        <v>7</v>
      </c>
      <c r="J716" s="19" t="s">
        <v>8</v>
      </c>
      <c r="K716" s="20">
        <v>4</v>
      </c>
      <c r="L716" s="21">
        <v>599.01</v>
      </c>
      <c r="M716" s="22">
        <v>0.25</v>
      </c>
      <c r="N716" s="21">
        <f t="shared" si="59"/>
        <v>449.25749999999999</v>
      </c>
      <c r="O716" s="21">
        <v>1797.03</v>
      </c>
      <c r="P716" s="19" t="s">
        <v>6</v>
      </c>
      <c r="Q716" s="23">
        <v>4</v>
      </c>
      <c r="R716" s="45">
        <v>3.9</v>
      </c>
    </row>
    <row r="717" spans="2:18" x14ac:dyDescent="0.2">
      <c r="B717" s="25">
        <v>714</v>
      </c>
      <c r="C717" s="18">
        <v>44544</v>
      </c>
      <c r="D717" s="24">
        <f t="shared" si="55"/>
        <v>2021</v>
      </c>
      <c r="E717" s="24" t="str">
        <f t="shared" si="56"/>
        <v>Q4</v>
      </c>
      <c r="F717" s="24" t="str">
        <f t="shared" si="57"/>
        <v>Dec</v>
      </c>
      <c r="G717" s="24">
        <f t="shared" si="58"/>
        <v>12</v>
      </c>
      <c r="H717" s="19">
        <v>1555</v>
      </c>
      <c r="I717" s="19" t="s">
        <v>0</v>
      </c>
      <c r="J717" s="19" t="s">
        <v>5</v>
      </c>
      <c r="K717" s="20">
        <v>3</v>
      </c>
      <c r="L717" s="21">
        <v>121.17</v>
      </c>
      <c r="M717" s="22">
        <v>0.32</v>
      </c>
      <c r="N717" s="21">
        <f t="shared" si="59"/>
        <v>82.395600000000002</v>
      </c>
      <c r="O717" s="21">
        <v>247.19</v>
      </c>
      <c r="P717" s="19" t="s">
        <v>6</v>
      </c>
      <c r="Q717" s="23">
        <v>8</v>
      </c>
      <c r="R717" s="45">
        <v>2.9</v>
      </c>
    </row>
    <row r="718" spans="2:18" x14ac:dyDescent="0.2">
      <c r="B718" s="25">
        <v>715</v>
      </c>
      <c r="C718" s="18">
        <v>44545</v>
      </c>
      <c r="D718" s="24">
        <f t="shared" si="55"/>
        <v>2021</v>
      </c>
      <c r="E718" s="24" t="str">
        <f t="shared" si="56"/>
        <v>Q4</v>
      </c>
      <c r="F718" s="24" t="str">
        <f t="shared" si="57"/>
        <v>Dec</v>
      </c>
      <c r="G718" s="24">
        <f t="shared" si="58"/>
        <v>12</v>
      </c>
      <c r="H718" s="19">
        <v>1284</v>
      </c>
      <c r="I718" s="19" t="s">
        <v>0</v>
      </c>
      <c r="J718" s="19" t="s">
        <v>9</v>
      </c>
      <c r="K718" s="20">
        <v>3</v>
      </c>
      <c r="L718" s="21">
        <v>85.42</v>
      </c>
      <c r="M718" s="22">
        <v>0.11</v>
      </c>
      <c r="N718" s="21">
        <f t="shared" si="59"/>
        <v>76.023799999999994</v>
      </c>
      <c r="O718" s="21">
        <v>228.07</v>
      </c>
      <c r="P718" s="19" t="s">
        <v>4</v>
      </c>
      <c r="Q718" s="23">
        <v>7</v>
      </c>
      <c r="R718" s="45">
        <v>2.7</v>
      </c>
    </row>
    <row r="719" spans="2:18" x14ac:dyDescent="0.2">
      <c r="B719" s="25">
        <v>716</v>
      </c>
      <c r="C719" s="18">
        <v>44546</v>
      </c>
      <c r="D719" s="24">
        <f t="shared" si="55"/>
        <v>2021</v>
      </c>
      <c r="E719" s="24" t="str">
        <f t="shared" si="56"/>
        <v>Q4</v>
      </c>
      <c r="F719" s="24" t="str">
        <f t="shared" si="57"/>
        <v>Dec</v>
      </c>
      <c r="G719" s="24">
        <f t="shared" si="58"/>
        <v>12</v>
      </c>
      <c r="H719" s="19">
        <v>1396</v>
      </c>
      <c r="I719" s="19" t="s">
        <v>3</v>
      </c>
      <c r="J719" s="19" t="s">
        <v>1</v>
      </c>
      <c r="K719" s="20">
        <v>4</v>
      </c>
      <c r="L719" s="21">
        <v>98.99</v>
      </c>
      <c r="M719" s="22">
        <v>0.26</v>
      </c>
      <c r="N719" s="21">
        <f t="shared" si="59"/>
        <v>73.252600000000001</v>
      </c>
      <c r="O719" s="21">
        <v>293.01</v>
      </c>
      <c r="P719" s="19" t="s">
        <v>6</v>
      </c>
      <c r="Q719" s="23">
        <v>5</v>
      </c>
      <c r="R719" s="45">
        <v>2.4</v>
      </c>
    </row>
    <row r="720" spans="2:18" x14ac:dyDescent="0.2">
      <c r="B720" s="25">
        <v>717</v>
      </c>
      <c r="C720" s="18">
        <v>44547</v>
      </c>
      <c r="D720" s="24">
        <f t="shared" si="55"/>
        <v>2021</v>
      </c>
      <c r="E720" s="24" t="str">
        <f t="shared" si="56"/>
        <v>Q4</v>
      </c>
      <c r="F720" s="24" t="str">
        <f t="shared" si="57"/>
        <v>Dec</v>
      </c>
      <c r="G720" s="24">
        <f t="shared" si="58"/>
        <v>12</v>
      </c>
      <c r="H720" s="19">
        <v>1011</v>
      </c>
      <c r="I720" s="19" t="s">
        <v>7</v>
      </c>
      <c r="J720" s="19" t="s">
        <v>5</v>
      </c>
      <c r="K720" s="20">
        <v>1</v>
      </c>
      <c r="L720" s="21">
        <v>401.7</v>
      </c>
      <c r="M720" s="22">
        <v>0.25</v>
      </c>
      <c r="N720" s="21">
        <f t="shared" si="59"/>
        <v>301.27499999999998</v>
      </c>
      <c r="O720" s="21">
        <v>301.27</v>
      </c>
      <c r="P720" s="19" t="s">
        <v>6</v>
      </c>
      <c r="Q720" s="23">
        <v>4</v>
      </c>
      <c r="R720" s="45">
        <v>1.3</v>
      </c>
    </row>
    <row r="721" spans="2:18" x14ac:dyDescent="0.2">
      <c r="B721" s="25">
        <v>718</v>
      </c>
      <c r="C721" s="18">
        <v>44548</v>
      </c>
      <c r="D721" s="24">
        <f t="shared" si="55"/>
        <v>2021</v>
      </c>
      <c r="E721" s="24" t="str">
        <f t="shared" si="56"/>
        <v>Q4</v>
      </c>
      <c r="F721" s="24" t="str">
        <f t="shared" si="57"/>
        <v>Dec</v>
      </c>
      <c r="G721" s="24">
        <f t="shared" si="58"/>
        <v>12</v>
      </c>
      <c r="H721" s="19">
        <v>1606</v>
      </c>
      <c r="I721" s="19" t="s">
        <v>3</v>
      </c>
      <c r="J721" s="19" t="s">
        <v>9</v>
      </c>
      <c r="K721" s="20">
        <v>3</v>
      </c>
      <c r="L721" s="21">
        <v>401.94</v>
      </c>
      <c r="M721" s="22">
        <v>0.1</v>
      </c>
      <c r="N721" s="21">
        <f t="shared" si="59"/>
        <v>361.74599999999998</v>
      </c>
      <c r="O721" s="21">
        <v>1085.24</v>
      </c>
      <c r="P721" s="19" t="s">
        <v>2</v>
      </c>
      <c r="Q721" s="23">
        <v>5</v>
      </c>
      <c r="R721" s="45">
        <v>1.8</v>
      </c>
    </row>
    <row r="722" spans="2:18" x14ac:dyDescent="0.2">
      <c r="B722" s="25">
        <v>719</v>
      </c>
      <c r="C722" s="18">
        <v>44549</v>
      </c>
      <c r="D722" s="24">
        <f t="shared" si="55"/>
        <v>2021</v>
      </c>
      <c r="E722" s="24" t="str">
        <f t="shared" si="56"/>
        <v>Q4</v>
      </c>
      <c r="F722" s="24" t="str">
        <f t="shared" si="57"/>
        <v>Dec</v>
      </c>
      <c r="G722" s="24">
        <f t="shared" si="58"/>
        <v>12</v>
      </c>
      <c r="H722" s="19">
        <v>1301</v>
      </c>
      <c r="I722" s="19" t="s">
        <v>10</v>
      </c>
      <c r="J722" s="19" t="s">
        <v>5</v>
      </c>
      <c r="K722" s="20">
        <v>1</v>
      </c>
      <c r="L722" s="21">
        <v>511.04</v>
      </c>
      <c r="M722" s="22">
        <v>0.19</v>
      </c>
      <c r="N722" s="21">
        <f t="shared" si="59"/>
        <v>413.94240000000002</v>
      </c>
      <c r="O722" s="21">
        <v>413.94</v>
      </c>
      <c r="P722" s="19" t="s">
        <v>4</v>
      </c>
      <c r="Q722" s="23">
        <v>7</v>
      </c>
      <c r="R722" s="45">
        <v>3.6</v>
      </c>
    </row>
    <row r="723" spans="2:18" x14ac:dyDescent="0.2">
      <c r="B723" s="25">
        <v>720</v>
      </c>
      <c r="C723" s="18">
        <v>44550</v>
      </c>
      <c r="D723" s="24">
        <f t="shared" si="55"/>
        <v>2021</v>
      </c>
      <c r="E723" s="24" t="str">
        <f t="shared" si="56"/>
        <v>Q4</v>
      </c>
      <c r="F723" s="24" t="str">
        <f t="shared" si="57"/>
        <v>Dec</v>
      </c>
      <c r="G723" s="24">
        <f t="shared" si="58"/>
        <v>12</v>
      </c>
      <c r="H723" s="19">
        <v>1897</v>
      </c>
      <c r="I723" s="19" t="s">
        <v>0</v>
      </c>
      <c r="J723" s="19" t="s">
        <v>8</v>
      </c>
      <c r="K723" s="20">
        <v>3</v>
      </c>
      <c r="L723" s="21">
        <v>454.82</v>
      </c>
      <c r="M723" s="22">
        <v>0.22</v>
      </c>
      <c r="N723" s="21">
        <f t="shared" si="59"/>
        <v>354.75959999999998</v>
      </c>
      <c r="O723" s="21">
        <v>1064.28</v>
      </c>
      <c r="P723" s="19" t="s">
        <v>2</v>
      </c>
      <c r="Q723" s="23">
        <v>5</v>
      </c>
      <c r="R723" s="45">
        <v>3</v>
      </c>
    </row>
    <row r="724" spans="2:18" x14ac:dyDescent="0.2">
      <c r="B724" s="25">
        <v>721</v>
      </c>
      <c r="C724" s="18">
        <v>44551</v>
      </c>
      <c r="D724" s="24">
        <f t="shared" si="55"/>
        <v>2021</v>
      </c>
      <c r="E724" s="24" t="str">
        <f t="shared" si="56"/>
        <v>Q4</v>
      </c>
      <c r="F724" s="24" t="str">
        <f t="shared" si="57"/>
        <v>Dec</v>
      </c>
      <c r="G724" s="24">
        <f t="shared" si="58"/>
        <v>12</v>
      </c>
      <c r="H724" s="19">
        <v>1252</v>
      </c>
      <c r="I724" s="19" t="s">
        <v>7</v>
      </c>
      <c r="J724" s="19" t="s">
        <v>9</v>
      </c>
      <c r="K724" s="20">
        <v>7</v>
      </c>
      <c r="L724" s="21">
        <v>278.07</v>
      </c>
      <c r="M724" s="22">
        <v>0.17</v>
      </c>
      <c r="N724" s="21">
        <f t="shared" si="59"/>
        <v>230.79809999999998</v>
      </c>
      <c r="O724" s="21">
        <v>1615.59</v>
      </c>
      <c r="P724" s="19" t="s">
        <v>6</v>
      </c>
      <c r="Q724" s="23">
        <v>8</v>
      </c>
      <c r="R724" s="45">
        <v>1.3</v>
      </c>
    </row>
    <row r="725" spans="2:18" x14ac:dyDescent="0.2">
      <c r="B725" s="25">
        <v>722</v>
      </c>
      <c r="C725" s="18">
        <v>44552</v>
      </c>
      <c r="D725" s="24">
        <f t="shared" si="55"/>
        <v>2021</v>
      </c>
      <c r="E725" s="24" t="str">
        <f t="shared" si="56"/>
        <v>Q4</v>
      </c>
      <c r="F725" s="24" t="str">
        <f t="shared" si="57"/>
        <v>Dec</v>
      </c>
      <c r="G725" s="24">
        <f t="shared" si="58"/>
        <v>12</v>
      </c>
      <c r="H725" s="19">
        <v>1498</v>
      </c>
      <c r="I725" s="19" t="s">
        <v>7</v>
      </c>
      <c r="J725" s="19" t="s">
        <v>8</v>
      </c>
      <c r="K725" s="20">
        <v>5</v>
      </c>
      <c r="L725" s="21">
        <v>373.52</v>
      </c>
      <c r="M725" s="22">
        <v>0.28999999999999998</v>
      </c>
      <c r="N725" s="21">
        <f t="shared" si="59"/>
        <v>265.19920000000002</v>
      </c>
      <c r="O725" s="21">
        <v>1326</v>
      </c>
      <c r="P725" s="19" t="s">
        <v>4</v>
      </c>
      <c r="Q725" s="23">
        <v>7</v>
      </c>
      <c r="R725" s="45">
        <v>3.2</v>
      </c>
    </row>
    <row r="726" spans="2:18" x14ac:dyDescent="0.2">
      <c r="B726" s="25">
        <v>723</v>
      </c>
      <c r="C726" s="18">
        <v>44553</v>
      </c>
      <c r="D726" s="24">
        <f t="shared" si="55"/>
        <v>2021</v>
      </c>
      <c r="E726" s="24" t="str">
        <f t="shared" si="56"/>
        <v>Q4</v>
      </c>
      <c r="F726" s="24" t="str">
        <f t="shared" si="57"/>
        <v>Dec</v>
      </c>
      <c r="G726" s="24">
        <f t="shared" si="58"/>
        <v>12</v>
      </c>
      <c r="H726" s="19">
        <v>1753</v>
      </c>
      <c r="I726" s="19" t="s">
        <v>0</v>
      </c>
      <c r="J726" s="19" t="s">
        <v>1</v>
      </c>
      <c r="K726" s="20">
        <v>7</v>
      </c>
      <c r="L726" s="21">
        <v>417.65</v>
      </c>
      <c r="M726" s="22">
        <v>0.28999999999999998</v>
      </c>
      <c r="N726" s="21">
        <f t="shared" si="59"/>
        <v>296.53149999999999</v>
      </c>
      <c r="O726" s="21">
        <v>2075.7199999999998</v>
      </c>
      <c r="P726" s="19" t="s">
        <v>4</v>
      </c>
      <c r="Q726" s="23">
        <v>7</v>
      </c>
      <c r="R726" s="45">
        <v>1.2</v>
      </c>
    </row>
    <row r="727" spans="2:18" x14ac:dyDescent="0.2">
      <c r="B727" s="25">
        <v>724</v>
      </c>
      <c r="C727" s="18">
        <v>44554</v>
      </c>
      <c r="D727" s="24">
        <f t="shared" si="55"/>
        <v>2021</v>
      </c>
      <c r="E727" s="24" t="str">
        <f t="shared" si="56"/>
        <v>Q4</v>
      </c>
      <c r="F727" s="24" t="str">
        <f t="shared" si="57"/>
        <v>Dec</v>
      </c>
      <c r="G727" s="24">
        <f t="shared" si="58"/>
        <v>12</v>
      </c>
      <c r="H727" s="19">
        <v>1034</v>
      </c>
      <c r="I727" s="19" t="s">
        <v>3</v>
      </c>
      <c r="J727" s="19" t="s">
        <v>8</v>
      </c>
      <c r="K727" s="20">
        <v>3</v>
      </c>
      <c r="L727" s="21">
        <v>314.95</v>
      </c>
      <c r="M727" s="22">
        <v>0.3</v>
      </c>
      <c r="N727" s="21">
        <f t="shared" si="59"/>
        <v>220.46499999999997</v>
      </c>
      <c r="O727" s="21">
        <v>661.39</v>
      </c>
      <c r="P727" s="19" t="s">
        <v>4</v>
      </c>
      <c r="Q727" s="23">
        <v>9</v>
      </c>
      <c r="R727" s="45">
        <v>3</v>
      </c>
    </row>
    <row r="728" spans="2:18" x14ac:dyDescent="0.2">
      <c r="B728" s="25">
        <v>725</v>
      </c>
      <c r="C728" s="18">
        <v>44555</v>
      </c>
      <c r="D728" s="24">
        <f t="shared" si="55"/>
        <v>2021</v>
      </c>
      <c r="E728" s="24" t="str">
        <f t="shared" si="56"/>
        <v>Q4</v>
      </c>
      <c r="F728" s="24" t="str">
        <f t="shared" si="57"/>
        <v>Dec</v>
      </c>
      <c r="G728" s="24">
        <f t="shared" si="58"/>
        <v>12</v>
      </c>
      <c r="H728" s="19">
        <v>1726</v>
      </c>
      <c r="I728" s="19" t="s">
        <v>3</v>
      </c>
      <c r="J728" s="19" t="s">
        <v>9</v>
      </c>
      <c r="K728" s="20">
        <v>5</v>
      </c>
      <c r="L728" s="21">
        <v>293.26</v>
      </c>
      <c r="M728" s="22">
        <v>0.28000000000000003</v>
      </c>
      <c r="N728" s="21">
        <f t="shared" si="59"/>
        <v>211.1472</v>
      </c>
      <c r="O728" s="21">
        <v>1055.74</v>
      </c>
      <c r="P728" s="19" t="s">
        <v>6</v>
      </c>
      <c r="Q728" s="23">
        <v>8</v>
      </c>
      <c r="R728" s="45">
        <v>4.9000000000000004</v>
      </c>
    </row>
    <row r="729" spans="2:18" x14ac:dyDescent="0.2">
      <c r="B729" s="25">
        <v>726</v>
      </c>
      <c r="C729" s="18">
        <v>44556</v>
      </c>
      <c r="D729" s="24">
        <f t="shared" si="55"/>
        <v>2021</v>
      </c>
      <c r="E729" s="24" t="str">
        <f t="shared" si="56"/>
        <v>Q4</v>
      </c>
      <c r="F729" s="24" t="str">
        <f t="shared" si="57"/>
        <v>Dec</v>
      </c>
      <c r="G729" s="24">
        <f t="shared" si="58"/>
        <v>12</v>
      </c>
      <c r="H729" s="19">
        <v>1848</v>
      </c>
      <c r="I729" s="19" t="s">
        <v>0</v>
      </c>
      <c r="J729" s="19" t="s">
        <v>5</v>
      </c>
      <c r="K729" s="20">
        <v>6</v>
      </c>
      <c r="L729" s="21">
        <v>392.38</v>
      </c>
      <c r="M729" s="22">
        <v>0.17</v>
      </c>
      <c r="N729" s="21">
        <f t="shared" si="59"/>
        <v>325.67539999999997</v>
      </c>
      <c r="O729" s="21">
        <v>1954.05</v>
      </c>
      <c r="P729" s="19" t="s">
        <v>4</v>
      </c>
      <c r="Q729" s="23">
        <v>8</v>
      </c>
      <c r="R729" s="45">
        <v>2.2000000000000002</v>
      </c>
    </row>
    <row r="730" spans="2:18" x14ac:dyDescent="0.2">
      <c r="B730" s="25">
        <v>727</v>
      </c>
      <c r="C730" s="18">
        <v>44557</v>
      </c>
      <c r="D730" s="24">
        <f t="shared" si="55"/>
        <v>2021</v>
      </c>
      <c r="E730" s="24" t="str">
        <f t="shared" si="56"/>
        <v>Q4</v>
      </c>
      <c r="F730" s="24" t="str">
        <f t="shared" si="57"/>
        <v>Dec</v>
      </c>
      <c r="G730" s="24">
        <f t="shared" si="58"/>
        <v>12</v>
      </c>
      <c r="H730" s="19">
        <v>1089</v>
      </c>
      <c r="I730" s="19" t="s">
        <v>7</v>
      </c>
      <c r="J730" s="19" t="s">
        <v>9</v>
      </c>
      <c r="K730" s="20">
        <v>1</v>
      </c>
      <c r="L730" s="21">
        <v>341.12</v>
      </c>
      <c r="M730" s="22">
        <v>0.13</v>
      </c>
      <c r="N730" s="21">
        <f t="shared" si="59"/>
        <v>296.77440000000001</v>
      </c>
      <c r="O730" s="21">
        <v>296.77</v>
      </c>
      <c r="P730" s="19" t="s">
        <v>4</v>
      </c>
      <c r="Q730" s="23">
        <v>6</v>
      </c>
      <c r="R730" s="45">
        <v>3.9</v>
      </c>
    </row>
    <row r="731" spans="2:18" x14ac:dyDescent="0.2">
      <c r="B731" s="25">
        <v>728</v>
      </c>
      <c r="C731" s="18">
        <v>44558</v>
      </c>
      <c r="D731" s="24">
        <f t="shared" si="55"/>
        <v>2021</v>
      </c>
      <c r="E731" s="24" t="str">
        <f t="shared" si="56"/>
        <v>Q4</v>
      </c>
      <c r="F731" s="24" t="str">
        <f t="shared" si="57"/>
        <v>Dec</v>
      </c>
      <c r="G731" s="24">
        <f t="shared" si="58"/>
        <v>12</v>
      </c>
      <c r="H731" s="19">
        <v>1775</v>
      </c>
      <c r="I731" s="19" t="s">
        <v>3</v>
      </c>
      <c r="J731" s="19" t="s">
        <v>8</v>
      </c>
      <c r="K731" s="20">
        <v>3</v>
      </c>
      <c r="L731" s="21">
        <v>391.71</v>
      </c>
      <c r="M731" s="22">
        <v>0.28999999999999998</v>
      </c>
      <c r="N731" s="21">
        <f t="shared" si="59"/>
        <v>278.11410000000001</v>
      </c>
      <c r="O731" s="21">
        <v>834.34</v>
      </c>
      <c r="P731" s="19" t="s">
        <v>2</v>
      </c>
      <c r="Q731" s="23">
        <v>7</v>
      </c>
      <c r="R731" s="45">
        <v>4</v>
      </c>
    </row>
    <row r="732" spans="2:18" x14ac:dyDescent="0.2">
      <c r="B732" s="25">
        <v>729</v>
      </c>
      <c r="C732" s="18">
        <v>44559</v>
      </c>
      <c r="D732" s="24">
        <f t="shared" si="55"/>
        <v>2021</v>
      </c>
      <c r="E732" s="24" t="str">
        <f t="shared" si="56"/>
        <v>Q4</v>
      </c>
      <c r="F732" s="24" t="str">
        <f t="shared" si="57"/>
        <v>Dec</v>
      </c>
      <c r="G732" s="24">
        <f t="shared" si="58"/>
        <v>12</v>
      </c>
      <c r="H732" s="19">
        <v>1604</v>
      </c>
      <c r="I732" s="19" t="s">
        <v>7</v>
      </c>
      <c r="J732" s="19" t="s">
        <v>8</v>
      </c>
      <c r="K732" s="20">
        <v>2</v>
      </c>
      <c r="L732" s="21">
        <v>373.52</v>
      </c>
      <c r="M732" s="22">
        <v>0.17</v>
      </c>
      <c r="N732" s="21">
        <f t="shared" si="59"/>
        <v>310.02159999999998</v>
      </c>
      <c r="O732" s="21">
        <v>620.04</v>
      </c>
      <c r="P732" s="19" t="s">
        <v>6</v>
      </c>
      <c r="Q732" s="23">
        <v>8</v>
      </c>
      <c r="R732" s="45">
        <v>2.6</v>
      </c>
    </row>
    <row r="733" spans="2:18" x14ac:dyDescent="0.2">
      <c r="B733" s="25">
        <v>730</v>
      </c>
      <c r="C733" s="18">
        <v>44560</v>
      </c>
      <c r="D733" s="24">
        <f t="shared" si="55"/>
        <v>2021</v>
      </c>
      <c r="E733" s="24" t="str">
        <f t="shared" si="56"/>
        <v>Q4</v>
      </c>
      <c r="F733" s="24" t="str">
        <f t="shared" si="57"/>
        <v>Dec</v>
      </c>
      <c r="G733" s="24">
        <f t="shared" si="58"/>
        <v>12</v>
      </c>
      <c r="H733" s="19">
        <v>1921</v>
      </c>
      <c r="I733" s="19" t="s">
        <v>3</v>
      </c>
      <c r="J733" s="19" t="s">
        <v>5</v>
      </c>
      <c r="K733" s="20">
        <v>2</v>
      </c>
      <c r="L733" s="21">
        <v>435.73</v>
      </c>
      <c r="M733" s="22">
        <v>0.09</v>
      </c>
      <c r="N733" s="21">
        <f t="shared" si="59"/>
        <v>396.51430000000005</v>
      </c>
      <c r="O733" s="21">
        <v>793.03</v>
      </c>
      <c r="P733" s="19" t="s">
        <v>6</v>
      </c>
      <c r="Q733" s="23">
        <v>5</v>
      </c>
      <c r="R733" s="45">
        <v>3.4</v>
      </c>
    </row>
    <row r="734" spans="2:18" x14ac:dyDescent="0.2">
      <c r="B734" s="25">
        <v>731</v>
      </c>
      <c r="C734" s="18">
        <v>44561</v>
      </c>
      <c r="D734" s="24">
        <f t="shared" si="55"/>
        <v>2021</v>
      </c>
      <c r="E734" s="24" t="str">
        <f t="shared" si="56"/>
        <v>Q4</v>
      </c>
      <c r="F734" s="24" t="str">
        <f t="shared" si="57"/>
        <v>Dec</v>
      </c>
      <c r="G734" s="24">
        <f t="shared" si="58"/>
        <v>12</v>
      </c>
      <c r="H734" s="19">
        <v>1969</v>
      </c>
      <c r="I734" s="19" t="s">
        <v>10</v>
      </c>
      <c r="J734" s="19" t="s">
        <v>1</v>
      </c>
      <c r="K734" s="20">
        <v>4</v>
      </c>
      <c r="L734" s="21">
        <v>391.04</v>
      </c>
      <c r="M734" s="22">
        <v>0.18</v>
      </c>
      <c r="N734" s="21">
        <f t="shared" si="59"/>
        <v>320.65280000000001</v>
      </c>
      <c r="O734" s="21">
        <v>1282.6099999999999</v>
      </c>
      <c r="P734" s="19" t="s">
        <v>4</v>
      </c>
      <c r="Q734" s="23">
        <v>10</v>
      </c>
      <c r="R734" s="45">
        <v>2.9</v>
      </c>
    </row>
    <row r="735" spans="2:18" x14ac:dyDescent="0.2">
      <c r="B735" s="25">
        <v>732</v>
      </c>
      <c r="C735" s="18">
        <v>44562</v>
      </c>
      <c r="D735" s="24">
        <f t="shared" si="55"/>
        <v>2022</v>
      </c>
      <c r="E735" s="24" t="str">
        <f t="shared" si="56"/>
        <v>Q1</v>
      </c>
      <c r="F735" s="24" t="str">
        <f t="shared" si="57"/>
        <v>Jan</v>
      </c>
      <c r="G735" s="24">
        <f t="shared" si="58"/>
        <v>1</v>
      </c>
      <c r="H735" s="19">
        <v>1601</v>
      </c>
      <c r="I735" s="19" t="s">
        <v>3</v>
      </c>
      <c r="J735" s="19" t="s">
        <v>9</v>
      </c>
      <c r="K735" s="20">
        <v>2</v>
      </c>
      <c r="L735" s="21">
        <v>319.05</v>
      </c>
      <c r="M735" s="22">
        <v>0.05</v>
      </c>
      <c r="N735" s="21">
        <f t="shared" si="59"/>
        <v>303.09750000000003</v>
      </c>
      <c r="O735" s="21">
        <v>606.20000000000005</v>
      </c>
      <c r="P735" s="19" t="s">
        <v>6</v>
      </c>
      <c r="Q735" s="23">
        <v>2</v>
      </c>
      <c r="R735" s="45">
        <v>2.1</v>
      </c>
    </row>
    <row r="736" spans="2:18" x14ac:dyDescent="0.2">
      <c r="B736" s="25">
        <v>733</v>
      </c>
      <c r="C736" s="18">
        <v>44563</v>
      </c>
      <c r="D736" s="24">
        <f t="shared" si="55"/>
        <v>2022</v>
      </c>
      <c r="E736" s="24" t="str">
        <f t="shared" si="56"/>
        <v>Q1</v>
      </c>
      <c r="F736" s="24" t="str">
        <f t="shared" si="57"/>
        <v>Jan</v>
      </c>
      <c r="G736" s="24">
        <f t="shared" si="58"/>
        <v>1</v>
      </c>
      <c r="H736" s="19">
        <v>1417</v>
      </c>
      <c r="I736" s="19" t="s">
        <v>0</v>
      </c>
      <c r="J736" s="19" t="s">
        <v>5</v>
      </c>
      <c r="K736" s="20">
        <v>5</v>
      </c>
      <c r="L736" s="21">
        <v>413.85</v>
      </c>
      <c r="M736" s="22">
        <v>0.24</v>
      </c>
      <c r="N736" s="21">
        <f t="shared" si="59"/>
        <v>314.52600000000001</v>
      </c>
      <c r="O736" s="21">
        <v>1572.63</v>
      </c>
      <c r="P736" s="19" t="s">
        <v>4</v>
      </c>
      <c r="Q736" s="23">
        <v>7</v>
      </c>
      <c r="R736" s="45">
        <v>4</v>
      </c>
    </row>
    <row r="737" spans="2:18" x14ac:dyDescent="0.2">
      <c r="B737" s="25">
        <v>734</v>
      </c>
      <c r="C737" s="18">
        <v>44564</v>
      </c>
      <c r="D737" s="24">
        <f t="shared" si="55"/>
        <v>2022</v>
      </c>
      <c r="E737" s="24" t="str">
        <f t="shared" si="56"/>
        <v>Q1</v>
      </c>
      <c r="F737" s="24" t="str">
        <f t="shared" si="57"/>
        <v>Jan</v>
      </c>
      <c r="G737" s="24">
        <f t="shared" si="58"/>
        <v>1</v>
      </c>
      <c r="H737" s="19">
        <v>1114</v>
      </c>
      <c r="I737" s="19" t="s">
        <v>3</v>
      </c>
      <c r="J737" s="19" t="s">
        <v>5</v>
      </c>
      <c r="K737" s="20">
        <v>2</v>
      </c>
      <c r="L737" s="21">
        <v>277.95</v>
      </c>
      <c r="M737" s="22">
        <v>0.12</v>
      </c>
      <c r="N737" s="21">
        <f t="shared" si="59"/>
        <v>244.596</v>
      </c>
      <c r="O737" s="21">
        <v>489.19</v>
      </c>
      <c r="P737" s="19" t="s">
        <v>2</v>
      </c>
      <c r="Q737" s="23">
        <v>10</v>
      </c>
      <c r="R737" s="45">
        <v>3.8</v>
      </c>
    </row>
    <row r="738" spans="2:18" x14ac:dyDescent="0.2">
      <c r="B738" s="25">
        <v>735</v>
      </c>
      <c r="C738" s="18">
        <v>44565</v>
      </c>
      <c r="D738" s="24">
        <f t="shared" si="55"/>
        <v>2022</v>
      </c>
      <c r="E738" s="24" t="str">
        <f t="shared" si="56"/>
        <v>Q1</v>
      </c>
      <c r="F738" s="24" t="str">
        <f t="shared" si="57"/>
        <v>Jan</v>
      </c>
      <c r="G738" s="24">
        <f t="shared" si="58"/>
        <v>1</v>
      </c>
      <c r="H738" s="19">
        <v>1616</v>
      </c>
      <c r="I738" s="19" t="s">
        <v>7</v>
      </c>
      <c r="J738" s="19" t="s">
        <v>5</v>
      </c>
      <c r="K738" s="20">
        <v>2</v>
      </c>
      <c r="L738" s="21">
        <v>156.38</v>
      </c>
      <c r="M738" s="22">
        <v>0.09</v>
      </c>
      <c r="N738" s="21">
        <f t="shared" si="59"/>
        <v>142.3058</v>
      </c>
      <c r="O738" s="21">
        <v>284.61</v>
      </c>
      <c r="P738" s="19" t="s">
        <v>4</v>
      </c>
      <c r="Q738" s="23">
        <v>3</v>
      </c>
      <c r="R738" s="45">
        <v>4.5999999999999996</v>
      </c>
    </row>
    <row r="739" spans="2:18" x14ac:dyDescent="0.2">
      <c r="B739" s="25">
        <v>736</v>
      </c>
      <c r="C739" s="18">
        <v>44566</v>
      </c>
      <c r="D739" s="24">
        <f t="shared" si="55"/>
        <v>2022</v>
      </c>
      <c r="E739" s="24" t="str">
        <f t="shared" si="56"/>
        <v>Q1</v>
      </c>
      <c r="F739" s="24" t="str">
        <f t="shared" si="57"/>
        <v>Jan</v>
      </c>
      <c r="G739" s="24">
        <f t="shared" si="58"/>
        <v>1</v>
      </c>
      <c r="H739" s="19">
        <v>1902</v>
      </c>
      <c r="I739" s="19" t="s">
        <v>7</v>
      </c>
      <c r="J739" s="19" t="s">
        <v>9</v>
      </c>
      <c r="K739" s="20">
        <v>2</v>
      </c>
      <c r="L739" s="21">
        <v>15.83</v>
      </c>
      <c r="M739" s="22">
        <v>0.33</v>
      </c>
      <c r="N739" s="21">
        <f t="shared" si="59"/>
        <v>10.6061</v>
      </c>
      <c r="O739" s="21">
        <v>21.21</v>
      </c>
      <c r="P739" s="19" t="s">
        <v>6</v>
      </c>
      <c r="Q739" s="23">
        <v>10</v>
      </c>
      <c r="R739" s="45">
        <v>3.5</v>
      </c>
    </row>
    <row r="740" spans="2:18" x14ac:dyDescent="0.2">
      <c r="B740" s="25">
        <v>737</v>
      </c>
      <c r="C740" s="18">
        <v>44567</v>
      </c>
      <c r="D740" s="24">
        <f t="shared" si="55"/>
        <v>2022</v>
      </c>
      <c r="E740" s="24" t="str">
        <f t="shared" si="56"/>
        <v>Q1</v>
      </c>
      <c r="F740" s="24" t="str">
        <f t="shared" si="57"/>
        <v>Jan</v>
      </c>
      <c r="G740" s="24">
        <f t="shared" si="58"/>
        <v>1</v>
      </c>
      <c r="H740" s="19">
        <v>1195</v>
      </c>
      <c r="I740" s="19" t="s">
        <v>3</v>
      </c>
      <c r="J740" s="19" t="s">
        <v>9</v>
      </c>
      <c r="K740" s="20">
        <v>3</v>
      </c>
      <c r="L740" s="21">
        <v>342.58</v>
      </c>
      <c r="M740" s="22">
        <v>0.27</v>
      </c>
      <c r="N740" s="21">
        <f t="shared" si="59"/>
        <v>250.08339999999998</v>
      </c>
      <c r="O740" s="21">
        <v>750.25</v>
      </c>
      <c r="P740" s="19" t="s">
        <v>6</v>
      </c>
      <c r="Q740" s="23">
        <v>11</v>
      </c>
      <c r="R740" s="45">
        <v>2.6</v>
      </c>
    </row>
    <row r="741" spans="2:18" x14ac:dyDescent="0.2">
      <c r="B741" s="25">
        <v>738</v>
      </c>
      <c r="C741" s="18">
        <v>44568</v>
      </c>
      <c r="D741" s="24">
        <f t="shared" si="55"/>
        <v>2022</v>
      </c>
      <c r="E741" s="24" t="str">
        <f t="shared" si="56"/>
        <v>Q1</v>
      </c>
      <c r="F741" s="24" t="str">
        <f t="shared" si="57"/>
        <v>Jan</v>
      </c>
      <c r="G741" s="24">
        <f t="shared" si="58"/>
        <v>1</v>
      </c>
      <c r="H741" s="19">
        <v>1825</v>
      </c>
      <c r="I741" s="19" t="s">
        <v>3</v>
      </c>
      <c r="J741" s="19" t="s">
        <v>9</v>
      </c>
      <c r="K741" s="20">
        <v>4</v>
      </c>
      <c r="L741" s="21">
        <v>360.53</v>
      </c>
      <c r="M741" s="22">
        <v>0.28000000000000003</v>
      </c>
      <c r="N741" s="21">
        <f t="shared" si="59"/>
        <v>259.58159999999998</v>
      </c>
      <c r="O741" s="21">
        <v>1038.33</v>
      </c>
      <c r="P741" s="19" t="s">
        <v>6</v>
      </c>
      <c r="Q741" s="23">
        <v>8</v>
      </c>
      <c r="R741" s="45">
        <v>3.9</v>
      </c>
    </row>
    <row r="742" spans="2:18" x14ac:dyDescent="0.2">
      <c r="B742" s="25">
        <v>739</v>
      </c>
      <c r="C742" s="18">
        <v>44569</v>
      </c>
      <c r="D742" s="24">
        <f t="shared" si="55"/>
        <v>2022</v>
      </c>
      <c r="E742" s="24" t="str">
        <f t="shared" si="56"/>
        <v>Q1</v>
      </c>
      <c r="F742" s="24" t="str">
        <f t="shared" si="57"/>
        <v>Jan</v>
      </c>
      <c r="G742" s="24">
        <f t="shared" si="58"/>
        <v>1</v>
      </c>
      <c r="H742" s="19">
        <v>1500</v>
      </c>
      <c r="I742" s="19" t="s">
        <v>7</v>
      </c>
      <c r="J742" s="19" t="s">
        <v>1</v>
      </c>
      <c r="K742" s="20">
        <v>1</v>
      </c>
      <c r="L742" s="21">
        <v>583.65</v>
      </c>
      <c r="M742" s="22">
        <v>0.22</v>
      </c>
      <c r="N742" s="21">
        <f t="shared" si="59"/>
        <v>455.24699999999996</v>
      </c>
      <c r="O742" s="21">
        <v>455.25</v>
      </c>
      <c r="P742" s="19" t="s">
        <v>2</v>
      </c>
      <c r="Q742" s="23">
        <v>6</v>
      </c>
      <c r="R742" s="45">
        <v>3.5</v>
      </c>
    </row>
    <row r="743" spans="2:18" x14ac:dyDescent="0.2">
      <c r="B743" s="25">
        <v>740</v>
      </c>
      <c r="C743" s="18">
        <v>44570</v>
      </c>
      <c r="D743" s="24">
        <f t="shared" si="55"/>
        <v>2022</v>
      </c>
      <c r="E743" s="24" t="str">
        <f t="shared" si="56"/>
        <v>Q1</v>
      </c>
      <c r="F743" s="24" t="str">
        <f t="shared" si="57"/>
        <v>Jan</v>
      </c>
      <c r="G743" s="24">
        <f t="shared" si="58"/>
        <v>1</v>
      </c>
      <c r="H743" s="19">
        <v>1625</v>
      </c>
      <c r="I743" s="19" t="s">
        <v>3</v>
      </c>
      <c r="J743" s="19" t="s">
        <v>5</v>
      </c>
      <c r="K743" s="20">
        <v>4</v>
      </c>
      <c r="L743" s="21">
        <v>226.46</v>
      </c>
      <c r="M743" s="22">
        <v>0.28999999999999998</v>
      </c>
      <c r="N743" s="21">
        <f t="shared" si="59"/>
        <v>160.78660000000002</v>
      </c>
      <c r="O743" s="21">
        <v>643.15</v>
      </c>
      <c r="P743" s="19" t="s">
        <v>4</v>
      </c>
      <c r="Q743" s="23">
        <v>11</v>
      </c>
      <c r="R743" s="45">
        <v>3.5</v>
      </c>
    </row>
    <row r="744" spans="2:18" x14ac:dyDescent="0.2">
      <c r="B744" s="25">
        <v>741</v>
      </c>
      <c r="C744" s="18">
        <v>44571</v>
      </c>
      <c r="D744" s="24">
        <f t="shared" si="55"/>
        <v>2022</v>
      </c>
      <c r="E744" s="24" t="str">
        <f t="shared" si="56"/>
        <v>Q1</v>
      </c>
      <c r="F744" s="24" t="str">
        <f t="shared" si="57"/>
        <v>Jan</v>
      </c>
      <c r="G744" s="24">
        <f t="shared" si="58"/>
        <v>1</v>
      </c>
      <c r="H744" s="19">
        <v>1492</v>
      </c>
      <c r="I744" s="19" t="s">
        <v>3</v>
      </c>
      <c r="J744" s="19" t="s">
        <v>8</v>
      </c>
      <c r="K744" s="20">
        <v>5</v>
      </c>
      <c r="L744" s="21">
        <v>245.57</v>
      </c>
      <c r="M744" s="22">
        <v>0.27</v>
      </c>
      <c r="N744" s="21">
        <f t="shared" si="59"/>
        <v>179.26609999999999</v>
      </c>
      <c r="O744" s="21">
        <v>896.33</v>
      </c>
      <c r="P744" s="19" t="s">
        <v>4</v>
      </c>
      <c r="Q744" s="23">
        <v>4</v>
      </c>
      <c r="R744" s="45">
        <v>4.4000000000000004</v>
      </c>
    </row>
    <row r="745" spans="2:18" x14ac:dyDescent="0.2">
      <c r="B745" s="25">
        <v>742</v>
      </c>
      <c r="C745" s="18">
        <v>44572</v>
      </c>
      <c r="D745" s="24">
        <f t="shared" si="55"/>
        <v>2022</v>
      </c>
      <c r="E745" s="24" t="str">
        <f t="shared" si="56"/>
        <v>Q1</v>
      </c>
      <c r="F745" s="24" t="str">
        <f t="shared" si="57"/>
        <v>Jan</v>
      </c>
      <c r="G745" s="24">
        <f t="shared" si="58"/>
        <v>1</v>
      </c>
      <c r="H745" s="19">
        <v>1074</v>
      </c>
      <c r="I745" s="19" t="s">
        <v>10</v>
      </c>
      <c r="J745" s="19" t="s">
        <v>8</v>
      </c>
      <c r="K745" s="20">
        <v>3</v>
      </c>
      <c r="L745" s="21">
        <v>133.05000000000001</v>
      </c>
      <c r="M745" s="22">
        <v>0.21</v>
      </c>
      <c r="N745" s="21">
        <f t="shared" si="59"/>
        <v>105.10950000000001</v>
      </c>
      <c r="O745" s="21">
        <v>315.33</v>
      </c>
      <c r="P745" s="19" t="s">
        <v>6</v>
      </c>
      <c r="Q745" s="23">
        <v>2</v>
      </c>
      <c r="R745" s="45">
        <v>4.5999999999999996</v>
      </c>
    </row>
    <row r="746" spans="2:18" x14ac:dyDescent="0.2">
      <c r="B746" s="25">
        <v>743</v>
      </c>
      <c r="C746" s="18">
        <v>44573</v>
      </c>
      <c r="D746" s="24">
        <f t="shared" si="55"/>
        <v>2022</v>
      </c>
      <c r="E746" s="24" t="str">
        <f t="shared" si="56"/>
        <v>Q1</v>
      </c>
      <c r="F746" s="24" t="str">
        <f t="shared" si="57"/>
        <v>Jan</v>
      </c>
      <c r="G746" s="24">
        <f t="shared" si="58"/>
        <v>1</v>
      </c>
      <c r="H746" s="19">
        <v>1412</v>
      </c>
      <c r="I746" s="19" t="s">
        <v>10</v>
      </c>
      <c r="J746" s="19" t="s">
        <v>5</v>
      </c>
      <c r="K746" s="20">
        <v>6</v>
      </c>
      <c r="L746" s="21">
        <v>56.26</v>
      </c>
      <c r="M746" s="22">
        <v>0.34</v>
      </c>
      <c r="N746" s="21">
        <f t="shared" si="59"/>
        <v>37.131599999999999</v>
      </c>
      <c r="O746" s="21">
        <v>222.79</v>
      </c>
      <c r="P746" s="19" t="s">
        <v>6</v>
      </c>
      <c r="Q746" s="23">
        <v>7</v>
      </c>
      <c r="R746" s="45">
        <v>1.7</v>
      </c>
    </row>
    <row r="747" spans="2:18" x14ac:dyDescent="0.2">
      <c r="B747" s="25">
        <v>744</v>
      </c>
      <c r="C747" s="18">
        <v>44574</v>
      </c>
      <c r="D747" s="24">
        <f t="shared" si="55"/>
        <v>2022</v>
      </c>
      <c r="E747" s="24" t="str">
        <f t="shared" si="56"/>
        <v>Q1</v>
      </c>
      <c r="F747" s="24" t="str">
        <f t="shared" si="57"/>
        <v>Jan</v>
      </c>
      <c r="G747" s="24">
        <f t="shared" si="58"/>
        <v>1</v>
      </c>
      <c r="H747" s="19">
        <v>1375</v>
      </c>
      <c r="I747" s="19" t="s">
        <v>10</v>
      </c>
      <c r="J747" s="19" t="s">
        <v>8</v>
      </c>
      <c r="K747" s="20">
        <v>3</v>
      </c>
      <c r="L747" s="21">
        <v>467.09</v>
      </c>
      <c r="M747" s="22">
        <v>7.0000000000000007E-2</v>
      </c>
      <c r="N747" s="21">
        <f t="shared" si="59"/>
        <v>434.39369999999997</v>
      </c>
      <c r="O747" s="21">
        <v>1303.18</v>
      </c>
      <c r="P747" s="19" t="s">
        <v>4</v>
      </c>
      <c r="Q747" s="23">
        <v>1</v>
      </c>
      <c r="R747" s="45">
        <v>2.2999999999999998</v>
      </c>
    </row>
    <row r="748" spans="2:18" x14ac:dyDescent="0.2">
      <c r="B748" s="25">
        <v>745</v>
      </c>
      <c r="C748" s="18">
        <v>44575</v>
      </c>
      <c r="D748" s="24">
        <f t="shared" si="55"/>
        <v>2022</v>
      </c>
      <c r="E748" s="24" t="str">
        <f t="shared" si="56"/>
        <v>Q1</v>
      </c>
      <c r="F748" s="24" t="str">
        <f t="shared" si="57"/>
        <v>Jan</v>
      </c>
      <c r="G748" s="24">
        <f t="shared" si="58"/>
        <v>1</v>
      </c>
      <c r="H748" s="19">
        <v>1419</v>
      </c>
      <c r="I748" s="19" t="s">
        <v>7</v>
      </c>
      <c r="J748" s="19" t="s">
        <v>1</v>
      </c>
      <c r="K748" s="20">
        <v>7</v>
      </c>
      <c r="L748" s="21">
        <v>161.06</v>
      </c>
      <c r="M748" s="22">
        <v>0.33</v>
      </c>
      <c r="N748" s="21">
        <f t="shared" si="59"/>
        <v>107.9102</v>
      </c>
      <c r="O748" s="21">
        <v>755.37</v>
      </c>
      <c r="P748" s="19" t="s">
        <v>4</v>
      </c>
      <c r="Q748" s="23">
        <v>7</v>
      </c>
      <c r="R748" s="45">
        <v>3.6</v>
      </c>
    </row>
    <row r="749" spans="2:18" x14ac:dyDescent="0.2">
      <c r="B749" s="25">
        <v>746</v>
      </c>
      <c r="C749" s="18">
        <v>44576</v>
      </c>
      <c r="D749" s="24">
        <f t="shared" si="55"/>
        <v>2022</v>
      </c>
      <c r="E749" s="24" t="str">
        <f t="shared" si="56"/>
        <v>Q1</v>
      </c>
      <c r="F749" s="24" t="str">
        <f t="shared" si="57"/>
        <v>Jan</v>
      </c>
      <c r="G749" s="24">
        <f t="shared" si="58"/>
        <v>1</v>
      </c>
      <c r="H749" s="19">
        <v>1728</v>
      </c>
      <c r="I749" s="19" t="s">
        <v>7</v>
      </c>
      <c r="J749" s="19" t="s">
        <v>1</v>
      </c>
      <c r="K749" s="20">
        <v>2</v>
      </c>
      <c r="L749" s="21">
        <v>371.21</v>
      </c>
      <c r="M749" s="22">
        <v>0.14000000000000001</v>
      </c>
      <c r="N749" s="21">
        <f t="shared" si="59"/>
        <v>319.24059999999997</v>
      </c>
      <c r="O749" s="21">
        <v>638.48</v>
      </c>
      <c r="P749" s="19" t="s">
        <v>6</v>
      </c>
      <c r="Q749" s="23">
        <v>10</v>
      </c>
      <c r="R749" s="45">
        <v>3.2</v>
      </c>
    </row>
    <row r="750" spans="2:18" x14ac:dyDescent="0.2">
      <c r="B750" s="25">
        <v>747</v>
      </c>
      <c r="C750" s="18">
        <v>44577</v>
      </c>
      <c r="D750" s="24">
        <f t="shared" si="55"/>
        <v>2022</v>
      </c>
      <c r="E750" s="24" t="str">
        <f t="shared" si="56"/>
        <v>Q1</v>
      </c>
      <c r="F750" s="24" t="str">
        <f t="shared" si="57"/>
        <v>Jan</v>
      </c>
      <c r="G750" s="24">
        <f t="shared" si="58"/>
        <v>1</v>
      </c>
      <c r="H750" s="19">
        <v>1276</v>
      </c>
      <c r="I750" s="19" t="s">
        <v>10</v>
      </c>
      <c r="J750" s="19" t="s">
        <v>9</v>
      </c>
      <c r="K750" s="20">
        <v>2</v>
      </c>
      <c r="L750" s="21">
        <v>417.35</v>
      </c>
      <c r="M750" s="22">
        <v>0.18</v>
      </c>
      <c r="N750" s="21">
        <f t="shared" si="59"/>
        <v>342.22700000000003</v>
      </c>
      <c r="O750" s="21">
        <v>684.45</v>
      </c>
      <c r="P750" s="19" t="s">
        <v>2</v>
      </c>
      <c r="Q750" s="23">
        <v>10</v>
      </c>
      <c r="R750" s="45">
        <v>3.6</v>
      </c>
    </row>
    <row r="751" spans="2:18" x14ac:dyDescent="0.2">
      <c r="B751" s="25">
        <v>748</v>
      </c>
      <c r="C751" s="18">
        <v>44578</v>
      </c>
      <c r="D751" s="24">
        <f t="shared" si="55"/>
        <v>2022</v>
      </c>
      <c r="E751" s="24" t="str">
        <f t="shared" si="56"/>
        <v>Q1</v>
      </c>
      <c r="F751" s="24" t="str">
        <f t="shared" si="57"/>
        <v>Jan</v>
      </c>
      <c r="G751" s="24">
        <f t="shared" si="58"/>
        <v>1</v>
      </c>
      <c r="H751" s="19">
        <v>1760</v>
      </c>
      <c r="I751" s="19" t="s">
        <v>3</v>
      </c>
      <c r="J751" s="19" t="s">
        <v>9</v>
      </c>
      <c r="K751" s="20">
        <v>5</v>
      </c>
      <c r="L751" s="21">
        <v>290.67</v>
      </c>
      <c r="M751" s="22">
        <v>0.04</v>
      </c>
      <c r="N751" s="21">
        <f t="shared" si="59"/>
        <v>279.04320000000001</v>
      </c>
      <c r="O751" s="21">
        <v>1395.22</v>
      </c>
      <c r="P751" s="19" t="s">
        <v>6</v>
      </c>
      <c r="Q751" s="23">
        <v>7</v>
      </c>
      <c r="R751" s="45">
        <v>2.7</v>
      </c>
    </row>
    <row r="752" spans="2:18" x14ac:dyDescent="0.2">
      <c r="B752" s="25">
        <v>749</v>
      </c>
      <c r="C752" s="18">
        <v>44579</v>
      </c>
      <c r="D752" s="24">
        <f t="shared" si="55"/>
        <v>2022</v>
      </c>
      <c r="E752" s="24" t="str">
        <f t="shared" si="56"/>
        <v>Q1</v>
      </c>
      <c r="F752" s="24" t="str">
        <f t="shared" si="57"/>
        <v>Jan</v>
      </c>
      <c r="G752" s="24">
        <f t="shared" si="58"/>
        <v>1</v>
      </c>
      <c r="H752" s="19">
        <v>1675</v>
      </c>
      <c r="I752" s="19" t="s">
        <v>7</v>
      </c>
      <c r="J752" s="19" t="s">
        <v>9</v>
      </c>
      <c r="K752" s="20">
        <v>6</v>
      </c>
      <c r="L752" s="21">
        <v>527.66999999999996</v>
      </c>
      <c r="M752" s="22">
        <v>0.19</v>
      </c>
      <c r="N752" s="21">
        <f t="shared" si="59"/>
        <v>427.41269999999997</v>
      </c>
      <c r="O752" s="21">
        <v>2564.48</v>
      </c>
      <c r="P752" s="19" t="s">
        <v>2</v>
      </c>
      <c r="Q752" s="23">
        <v>10</v>
      </c>
      <c r="R752" s="45">
        <v>2.6</v>
      </c>
    </row>
    <row r="753" spans="2:18" x14ac:dyDescent="0.2">
      <c r="B753" s="25">
        <v>750</v>
      </c>
      <c r="C753" s="18">
        <v>44580</v>
      </c>
      <c r="D753" s="24">
        <f t="shared" si="55"/>
        <v>2022</v>
      </c>
      <c r="E753" s="24" t="str">
        <f t="shared" si="56"/>
        <v>Q1</v>
      </c>
      <c r="F753" s="24" t="str">
        <f t="shared" si="57"/>
        <v>Jan</v>
      </c>
      <c r="G753" s="24">
        <f t="shared" si="58"/>
        <v>1</v>
      </c>
      <c r="H753" s="19">
        <v>1393</v>
      </c>
      <c r="I753" s="19" t="s">
        <v>10</v>
      </c>
      <c r="J753" s="19" t="s">
        <v>9</v>
      </c>
      <c r="K753" s="20">
        <v>7</v>
      </c>
      <c r="L753" s="21">
        <v>274.62</v>
      </c>
      <c r="M753" s="22">
        <v>0.21</v>
      </c>
      <c r="N753" s="21">
        <f t="shared" si="59"/>
        <v>216.94980000000001</v>
      </c>
      <c r="O753" s="21">
        <v>1518.65</v>
      </c>
      <c r="P753" s="19" t="s">
        <v>6</v>
      </c>
      <c r="Q753" s="23">
        <v>3</v>
      </c>
      <c r="R753" s="45">
        <v>1.5</v>
      </c>
    </row>
    <row r="754" spans="2:18" x14ac:dyDescent="0.2">
      <c r="B754" s="25">
        <v>751</v>
      </c>
      <c r="C754" s="18">
        <v>44581</v>
      </c>
      <c r="D754" s="24">
        <f t="shared" si="55"/>
        <v>2022</v>
      </c>
      <c r="E754" s="24" t="str">
        <f t="shared" si="56"/>
        <v>Q1</v>
      </c>
      <c r="F754" s="24" t="str">
        <f t="shared" si="57"/>
        <v>Jan</v>
      </c>
      <c r="G754" s="24">
        <f t="shared" si="58"/>
        <v>1</v>
      </c>
      <c r="H754" s="19">
        <v>1868</v>
      </c>
      <c r="I754" s="19" t="s">
        <v>10</v>
      </c>
      <c r="J754" s="19" t="s">
        <v>9</v>
      </c>
      <c r="K754" s="20">
        <v>3</v>
      </c>
      <c r="L754" s="21">
        <v>181.67</v>
      </c>
      <c r="M754" s="22">
        <v>0.35</v>
      </c>
      <c r="N754" s="21">
        <f t="shared" si="59"/>
        <v>118.0855</v>
      </c>
      <c r="O754" s="21">
        <v>354.26</v>
      </c>
      <c r="P754" s="19" t="s">
        <v>4</v>
      </c>
      <c r="Q754" s="23">
        <v>4</v>
      </c>
      <c r="R754" s="45">
        <v>3.5</v>
      </c>
    </row>
    <row r="755" spans="2:18" x14ac:dyDescent="0.2">
      <c r="B755" s="25">
        <v>752</v>
      </c>
      <c r="C755" s="18">
        <v>44582</v>
      </c>
      <c r="D755" s="24">
        <f t="shared" si="55"/>
        <v>2022</v>
      </c>
      <c r="E755" s="24" t="str">
        <f t="shared" si="56"/>
        <v>Q1</v>
      </c>
      <c r="F755" s="24" t="str">
        <f t="shared" si="57"/>
        <v>Jan</v>
      </c>
      <c r="G755" s="24">
        <f t="shared" si="58"/>
        <v>1</v>
      </c>
      <c r="H755" s="19">
        <v>1456</v>
      </c>
      <c r="I755" s="19" t="s">
        <v>3</v>
      </c>
      <c r="J755" s="19" t="s">
        <v>8</v>
      </c>
      <c r="K755" s="20">
        <v>6</v>
      </c>
      <c r="L755" s="21">
        <v>539.16999999999996</v>
      </c>
      <c r="M755" s="22">
        <v>0.34</v>
      </c>
      <c r="N755" s="21">
        <f t="shared" si="59"/>
        <v>355.85219999999993</v>
      </c>
      <c r="O755" s="21">
        <v>2135.11</v>
      </c>
      <c r="P755" s="19" t="s">
        <v>4</v>
      </c>
      <c r="Q755" s="23">
        <v>4</v>
      </c>
      <c r="R755" s="45">
        <v>1.7</v>
      </c>
    </row>
    <row r="756" spans="2:18" x14ac:dyDescent="0.2">
      <c r="B756" s="25">
        <v>753</v>
      </c>
      <c r="C756" s="18">
        <v>44583</v>
      </c>
      <c r="D756" s="24">
        <f t="shared" si="55"/>
        <v>2022</v>
      </c>
      <c r="E756" s="24" t="str">
        <f t="shared" si="56"/>
        <v>Q1</v>
      </c>
      <c r="F756" s="24" t="str">
        <f t="shared" si="57"/>
        <v>Jan</v>
      </c>
      <c r="G756" s="24">
        <f t="shared" si="58"/>
        <v>1</v>
      </c>
      <c r="H756" s="19">
        <v>1919</v>
      </c>
      <c r="I756" s="19" t="s">
        <v>7</v>
      </c>
      <c r="J756" s="19" t="s">
        <v>8</v>
      </c>
      <c r="K756" s="20">
        <v>1</v>
      </c>
      <c r="L756" s="21">
        <v>519.02</v>
      </c>
      <c r="M756" s="22">
        <v>0.34</v>
      </c>
      <c r="N756" s="21">
        <f t="shared" si="59"/>
        <v>342.55319999999995</v>
      </c>
      <c r="O756" s="21">
        <v>342.55</v>
      </c>
      <c r="P756" s="19" t="s">
        <v>6</v>
      </c>
      <c r="Q756" s="23">
        <v>4</v>
      </c>
      <c r="R756" s="45">
        <v>3.7</v>
      </c>
    </row>
    <row r="757" spans="2:18" x14ac:dyDescent="0.2">
      <c r="B757" s="25">
        <v>754</v>
      </c>
      <c r="C757" s="18">
        <v>44584</v>
      </c>
      <c r="D757" s="24">
        <f t="shared" si="55"/>
        <v>2022</v>
      </c>
      <c r="E757" s="24" t="str">
        <f t="shared" si="56"/>
        <v>Q1</v>
      </c>
      <c r="F757" s="24" t="str">
        <f t="shared" si="57"/>
        <v>Jan</v>
      </c>
      <c r="G757" s="24">
        <f t="shared" si="58"/>
        <v>1</v>
      </c>
      <c r="H757" s="19">
        <v>1191</v>
      </c>
      <c r="I757" s="19" t="s">
        <v>10</v>
      </c>
      <c r="J757" s="19" t="s">
        <v>9</v>
      </c>
      <c r="K757" s="20">
        <v>4</v>
      </c>
      <c r="L757" s="21">
        <v>110.96</v>
      </c>
      <c r="M757" s="22">
        <v>0.12</v>
      </c>
      <c r="N757" s="21">
        <f t="shared" si="59"/>
        <v>97.644799999999989</v>
      </c>
      <c r="O757" s="21">
        <v>390.58</v>
      </c>
      <c r="P757" s="19" t="s">
        <v>6</v>
      </c>
      <c r="Q757" s="23">
        <v>9</v>
      </c>
      <c r="R757" s="45">
        <v>4.9000000000000004</v>
      </c>
    </row>
    <row r="758" spans="2:18" x14ac:dyDescent="0.2">
      <c r="B758" s="25">
        <v>755</v>
      </c>
      <c r="C758" s="18">
        <v>44585</v>
      </c>
      <c r="D758" s="24">
        <f t="shared" si="55"/>
        <v>2022</v>
      </c>
      <c r="E758" s="24" t="str">
        <f t="shared" si="56"/>
        <v>Q1</v>
      </c>
      <c r="F758" s="24" t="str">
        <f t="shared" si="57"/>
        <v>Jan</v>
      </c>
      <c r="G758" s="24">
        <f t="shared" si="58"/>
        <v>1</v>
      </c>
      <c r="H758" s="19">
        <v>1738</v>
      </c>
      <c r="I758" s="19" t="s">
        <v>3</v>
      </c>
      <c r="J758" s="19" t="s">
        <v>1</v>
      </c>
      <c r="K758" s="20">
        <v>3</v>
      </c>
      <c r="L758" s="21">
        <v>30.19</v>
      </c>
      <c r="M758" s="22">
        <v>0.35</v>
      </c>
      <c r="N758" s="21">
        <f t="shared" si="59"/>
        <v>19.6235</v>
      </c>
      <c r="O758" s="21">
        <v>58.87</v>
      </c>
      <c r="P758" s="19" t="s">
        <v>6</v>
      </c>
      <c r="Q758" s="23">
        <v>6</v>
      </c>
      <c r="R758" s="45">
        <v>2</v>
      </c>
    </row>
    <row r="759" spans="2:18" x14ac:dyDescent="0.2">
      <c r="B759" s="25">
        <v>756</v>
      </c>
      <c r="C759" s="18">
        <v>44586</v>
      </c>
      <c r="D759" s="24">
        <f t="shared" si="55"/>
        <v>2022</v>
      </c>
      <c r="E759" s="24" t="str">
        <f t="shared" si="56"/>
        <v>Q1</v>
      </c>
      <c r="F759" s="24" t="str">
        <f t="shared" si="57"/>
        <v>Jan</v>
      </c>
      <c r="G759" s="24">
        <f t="shared" si="58"/>
        <v>1</v>
      </c>
      <c r="H759" s="19">
        <v>1688</v>
      </c>
      <c r="I759" s="19" t="s">
        <v>10</v>
      </c>
      <c r="J759" s="19" t="s">
        <v>8</v>
      </c>
      <c r="K759" s="20">
        <v>6</v>
      </c>
      <c r="L759" s="21">
        <v>67.64</v>
      </c>
      <c r="M759" s="22">
        <v>0.16</v>
      </c>
      <c r="N759" s="21">
        <f t="shared" si="59"/>
        <v>56.817599999999999</v>
      </c>
      <c r="O759" s="21">
        <v>340.91</v>
      </c>
      <c r="P759" s="19" t="s">
        <v>6</v>
      </c>
      <c r="Q759" s="23">
        <v>10</v>
      </c>
      <c r="R759" s="45">
        <v>1.6</v>
      </c>
    </row>
    <row r="760" spans="2:18" x14ac:dyDescent="0.2">
      <c r="B760" s="25">
        <v>757</v>
      </c>
      <c r="C760" s="18">
        <v>44587</v>
      </c>
      <c r="D760" s="24">
        <f t="shared" si="55"/>
        <v>2022</v>
      </c>
      <c r="E760" s="24" t="str">
        <f t="shared" si="56"/>
        <v>Q1</v>
      </c>
      <c r="F760" s="24" t="str">
        <f t="shared" si="57"/>
        <v>Jan</v>
      </c>
      <c r="G760" s="24">
        <f t="shared" si="58"/>
        <v>1</v>
      </c>
      <c r="H760" s="19">
        <v>1098</v>
      </c>
      <c r="I760" s="19" t="s">
        <v>10</v>
      </c>
      <c r="J760" s="19" t="s">
        <v>1</v>
      </c>
      <c r="K760" s="20">
        <v>1</v>
      </c>
      <c r="L760" s="21">
        <v>182.63</v>
      </c>
      <c r="M760" s="22">
        <v>0.3</v>
      </c>
      <c r="N760" s="21">
        <f t="shared" si="59"/>
        <v>127.84100000000001</v>
      </c>
      <c r="O760" s="21">
        <v>127.84</v>
      </c>
      <c r="P760" s="19" t="s">
        <v>2</v>
      </c>
      <c r="Q760" s="23">
        <v>9</v>
      </c>
      <c r="R760" s="45">
        <v>1.1000000000000001</v>
      </c>
    </row>
    <row r="761" spans="2:18" x14ac:dyDescent="0.2">
      <c r="B761" s="25">
        <v>758</v>
      </c>
      <c r="C761" s="18">
        <v>44588</v>
      </c>
      <c r="D761" s="24">
        <f t="shared" si="55"/>
        <v>2022</v>
      </c>
      <c r="E761" s="24" t="str">
        <f t="shared" si="56"/>
        <v>Q1</v>
      </c>
      <c r="F761" s="24" t="str">
        <f t="shared" si="57"/>
        <v>Jan</v>
      </c>
      <c r="G761" s="24">
        <f t="shared" si="58"/>
        <v>1</v>
      </c>
      <c r="H761" s="19">
        <v>1547</v>
      </c>
      <c r="I761" s="19" t="s">
        <v>10</v>
      </c>
      <c r="J761" s="19" t="s">
        <v>1</v>
      </c>
      <c r="K761" s="20">
        <v>1</v>
      </c>
      <c r="L761" s="21">
        <v>583.77</v>
      </c>
      <c r="M761" s="22">
        <v>0.08</v>
      </c>
      <c r="N761" s="21">
        <f t="shared" si="59"/>
        <v>537.0684</v>
      </c>
      <c r="O761" s="21">
        <v>537.07000000000005</v>
      </c>
      <c r="P761" s="19" t="s">
        <v>6</v>
      </c>
      <c r="Q761" s="23">
        <v>4</v>
      </c>
      <c r="R761" s="45">
        <v>2.5</v>
      </c>
    </row>
    <row r="762" spans="2:18" x14ac:dyDescent="0.2">
      <c r="B762" s="25">
        <v>759</v>
      </c>
      <c r="C762" s="18">
        <v>44589</v>
      </c>
      <c r="D762" s="24">
        <f t="shared" si="55"/>
        <v>2022</v>
      </c>
      <c r="E762" s="24" t="str">
        <f t="shared" si="56"/>
        <v>Q1</v>
      </c>
      <c r="F762" s="24" t="str">
        <f t="shared" si="57"/>
        <v>Jan</v>
      </c>
      <c r="G762" s="24">
        <f t="shared" si="58"/>
        <v>1</v>
      </c>
      <c r="H762" s="19">
        <v>1977</v>
      </c>
      <c r="I762" s="19" t="s">
        <v>3</v>
      </c>
      <c r="J762" s="19" t="s">
        <v>5</v>
      </c>
      <c r="K762" s="20">
        <v>7</v>
      </c>
      <c r="L762" s="21">
        <v>341.73</v>
      </c>
      <c r="M762" s="22">
        <v>0.18</v>
      </c>
      <c r="N762" s="21">
        <f t="shared" si="59"/>
        <v>280.21860000000004</v>
      </c>
      <c r="O762" s="21">
        <v>1961.53</v>
      </c>
      <c r="P762" s="19" t="s">
        <v>4</v>
      </c>
      <c r="Q762" s="23">
        <v>7</v>
      </c>
      <c r="R762" s="45">
        <v>1.9</v>
      </c>
    </row>
    <row r="763" spans="2:18" x14ac:dyDescent="0.2">
      <c r="B763" s="25">
        <v>760</v>
      </c>
      <c r="C763" s="18">
        <v>44590</v>
      </c>
      <c r="D763" s="24">
        <f t="shared" si="55"/>
        <v>2022</v>
      </c>
      <c r="E763" s="24" t="str">
        <f t="shared" si="56"/>
        <v>Q1</v>
      </c>
      <c r="F763" s="24" t="str">
        <f t="shared" si="57"/>
        <v>Jan</v>
      </c>
      <c r="G763" s="24">
        <f t="shared" si="58"/>
        <v>1</v>
      </c>
      <c r="H763" s="19">
        <v>1998</v>
      </c>
      <c r="I763" s="19" t="s">
        <v>7</v>
      </c>
      <c r="J763" s="19" t="s">
        <v>5</v>
      </c>
      <c r="K763" s="20">
        <v>7</v>
      </c>
      <c r="L763" s="21">
        <v>233.36</v>
      </c>
      <c r="M763" s="22">
        <v>0.34</v>
      </c>
      <c r="N763" s="21">
        <f t="shared" si="59"/>
        <v>154.01760000000002</v>
      </c>
      <c r="O763" s="21">
        <v>1078.1199999999999</v>
      </c>
      <c r="P763" s="19" t="s">
        <v>4</v>
      </c>
      <c r="Q763" s="23">
        <v>10</v>
      </c>
      <c r="R763" s="45">
        <v>3</v>
      </c>
    </row>
    <row r="764" spans="2:18" x14ac:dyDescent="0.2">
      <c r="B764" s="25">
        <v>761</v>
      </c>
      <c r="C764" s="18">
        <v>44591</v>
      </c>
      <c r="D764" s="24">
        <f t="shared" si="55"/>
        <v>2022</v>
      </c>
      <c r="E764" s="24" t="str">
        <f t="shared" si="56"/>
        <v>Q1</v>
      </c>
      <c r="F764" s="24" t="str">
        <f t="shared" si="57"/>
        <v>Jan</v>
      </c>
      <c r="G764" s="24">
        <f t="shared" si="58"/>
        <v>1</v>
      </c>
      <c r="H764" s="19">
        <v>1095</v>
      </c>
      <c r="I764" s="19" t="s">
        <v>10</v>
      </c>
      <c r="J764" s="19" t="s">
        <v>9</v>
      </c>
      <c r="K764" s="20">
        <v>4</v>
      </c>
      <c r="L764" s="21">
        <v>534.9</v>
      </c>
      <c r="M764" s="22">
        <v>0.33</v>
      </c>
      <c r="N764" s="21">
        <f t="shared" si="59"/>
        <v>358.38299999999998</v>
      </c>
      <c r="O764" s="21">
        <v>1433.53</v>
      </c>
      <c r="P764" s="19" t="s">
        <v>6</v>
      </c>
      <c r="Q764" s="23">
        <v>9</v>
      </c>
      <c r="R764" s="45">
        <v>3.1</v>
      </c>
    </row>
    <row r="765" spans="2:18" x14ac:dyDescent="0.2">
      <c r="B765" s="25">
        <v>762</v>
      </c>
      <c r="C765" s="18">
        <v>44592</v>
      </c>
      <c r="D765" s="24">
        <f t="shared" si="55"/>
        <v>2022</v>
      </c>
      <c r="E765" s="24" t="str">
        <f t="shared" si="56"/>
        <v>Q1</v>
      </c>
      <c r="F765" s="24" t="str">
        <f t="shared" si="57"/>
        <v>Jan</v>
      </c>
      <c r="G765" s="24">
        <f t="shared" si="58"/>
        <v>1</v>
      </c>
      <c r="H765" s="19">
        <v>1663</v>
      </c>
      <c r="I765" s="19" t="s">
        <v>3</v>
      </c>
      <c r="J765" s="19" t="s">
        <v>1</v>
      </c>
      <c r="K765" s="20">
        <v>1</v>
      </c>
      <c r="L765" s="21">
        <v>280.08</v>
      </c>
      <c r="M765" s="22">
        <v>0.24</v>
      </c>
      <c r="N765" s="21">
        <f t="shared" si="59"/>
        <v>212.86079999999998</v>
      </c>
      <c r="O765" s="21">
        <v>212.86</v>
      </c>
      <c r="P765" s="19" t="s">
        <v>2</v>
      </c>
      <c r="Q765" s="23">
        <v>10</v>
      </c>
      <c r="R765" s="45">
        <v>2.4</v>
      </c>
    </row>
    <row r="766" spans="2:18" x14ac:dyDescent="0.2">
      <c r="B766" s="25">
        <v>763</v>
      </c>
      <c r="C766" s="18">
        <v>44593</v>
      </c>
      <c r="D766" s="24">
        <f t="shared" si="55"/>
        <v>2022</v>
      </c>
      <c r="E766" s="24" t="str">
        <f t="shared" si="56"/>
        <v>Q1</v>
      </c>
      <c r="F766" s="24" t="str">
        <f t="shared" si="57"/>
        <v>Feb</v>
      </c>
      <c r="G766" s="24">
        <f t="shared" si="58"/>
        <v>2</v>
      </c>
      <c r="H766" s="19">
        <v>1662</v>
      </c>
      <c r="I766" s="19" t="s">
        <v>10</v>
      </c>
      <c r="J766" s="19" t="s">
        <v>8</v>
      </c>
      <c r="K766" s="20">
        <v>5</v>
      </c>
      <c r="L766" s="21">
        <v>199.41</v>
      </c>
      <c r="M766" s="22">
        <v>0.28000000000000003</v>
      </c>
      <c r="N766" s="21">
        <f t="shared" si="59"/>
        <v>143.5752</v>
      </c>
      <c r="O766" s="21">
        <v>717.88</v>
      </c>
      <c r="P766" s="19" t="s">
        <v>4</v>
      </c>
      <c r="Q766" s="23">
        <v>3</v>
      </c>
      <c r="R766" s="45">
        <v>4</v>
      </c>
    </row>
    <row r="767" spans="2:18" x14ac:dyDescent="0.2">
      <c r="B767" s="25">
        <v>764</v>
      </c>
      <c r="C767" s="18">
        <v>44594</v>
      </c>
      <c r="D767" s="24">
        <f t="shared" si="55"/>
        <v>2022</v>
      </c>
      <c r="E767" s="24" t="str">
        <f t="shared" si="56"/>
        <v>Q1</v>
      </c>
      <c r="F767" s="24" t="str">
        <f t="shared" si="57"/>
        <v>Feb</v>
      </c>
      <c r="G767" s="24">
        <f t="shared" si="58"/>
        <v>2</v>
      </c>
      <c r="H767" s="19">
        <v>1189</v>
      </c>
      <c r="I767" s="19" t="s">
        <v>7</v>
      </c>
      <c r="J767" s="19" t="s">
        <v>5</v>
      </c>
      <c r="K767" s="20">
        <v>1</v>
      </c>
      <c r="L767" s="21">
        <v>565.61</v>
      </c>
      <c r="M767" s="22">
        <v>0.06</v>
      </c>
      <c r="N767" s="21">
        <f t="shared" si="59"/>
        <v>531.67340000000002</v>
      </c>
      <c r="O767" s="21">
        <v>531.66999999999996</v>
      </c>
      <c r="P767" s="19" t="s">
        <v>2</v>
      </c>
      <c r="Q767" s="23">
        <v>3</v>
      </c>
      <c r="R767" s="45">
        <v>4.5999999999999996</v>
      </c>
    </row>
    <row r="768" spans="2:18" x14ac:dyDescent="0.2">
      <c r="B768" s="25">
        <v>765</v>
      </c>
      <c r="C768" s="18">
        <v>44595</v>
      </c>
      <c r="D768" s="24">
        <f t="shared" si="55"/>
        <v>2022</v>
      </c>
      <c r="E768" s="24" t="str">
        <f t="shared" si="56"/>
        <v>Q1</v>
      </c>
      <c r="F768" s="24" t="str">
        <f t="shared" si="57"/>
        <v>Feb</v>
      </c>
      <c r="G768" s="24">
        <f t="shared" si="58"/>
        <v>2</v>
      </c>
      <c r="H768" s="19">
        <v>1735</v>
      </c>
      <c r="I768" s="19" t="s">
        <v>7</v>
      </c>
      <c r="J768" s="19" t="s">
        <v>5</v>
      </c>
      <c r="K768" s="20">
        <v>6</v>
      </c>
      <c r="L768" s="21">
        <v>511.97</v>
      </c>
      <c r="M768" s="22">
        <v>0.25</v>
      </c>
      <c r="N768" s="21">
        <f t="shared" si="59"/>
        <v>383.97750000000002</v>
      </c>
      <c r="O768" s="21">
        <v>2303.87</v>
      </c>
      <c r="P768" s="19" t="s">
        <v>2</v>
      </c>
      <c r="Q768" s="23">
        <v>6</v>
      </c>
      <c r="R768" s="45">
        <v>1.8</v>
      </c>
    </row>
    <row r="769" spans="2:18" x14ac:dyDescent="0.2">
      <c r="B769" s="25">
        <v>766</v>
      </c>
      <c r="C769" s="18">
        <v>44596</v>
      </c>
      <c r="D769" s="24">
        <f t="shared" si="55"/>
        <v>2022</v>
      </c>
      <c r="E769" s="24" t="str">
        <f t="shared" si="56"/>
        <v>Q1</v>
      </c>
      <c r="F769" s="24" t="str">
        <f t="shared" si="57"/>
        <v>Feb</v>
      </c>
      <c r="G769" s="24">
        <f t="shared" si="58"/>
        <v>2</v>
      </c>
      <c r="H769" s="19">
        <v>1036</v>
      </c>
      <c r="I769" s="19" t="s">
        <v>0</v>
      </c>
      <c r="J769" s="19" t="s">
        <v>1</v>
      </c>
      <c r="K769" s="20">
        <v>7</v>
      </c>
      <c r="L769" s="21">
        <v>508.55</v>
      </c>
      <c r="M769" s="22">
        <v>0.22</v>
      </c>
      <c r="N769" s="21">
        <f t="shared" si="59"/>
        <v>396.66899999999998</v>
      </c>
      <c r="O769" s="21">
        <v>2776.68</v>
      </c>
      <c r="P769" s="19" t="s">
        <v>6</v>
      </c>
      <c r="Q769" s="23">
        <v>8</v>
      </c>
      <c r="R769" s="45">
        <v>4.3</v>
      </c>
    </row>
    <row r="770" spans="2:18" x14ac:dyDescent="0.2">
      <c r="B770" s="25">
        <v>767</v>
      </c>
      <c r="C770" s="18">
        <v>44597</v>
      </c>
      <c r="D770" s="24">
        <f t="shared" si="55"/>
        <v>2022</v>
      </c>
      <c r="E770" s="24" t="str">
        <f t="shared" si="56"/>
        <v>Q1</v>
      </c>
      <c r="F770" s="24" t="str">
        <f t="shared" si="57"/>
        <v>Feb</v>
      </c>
      <c r="G770" s="24">
        <f t="shared" si="58"/>
        <v>2</v>
      </c>
      <c r="H770" s="19">
        <v>1779</v>
      </c>
      <c r="I770" s="19" t="s">
        <v>10</v>
      </c>
      <c r="J770" s="19" t="s">
        <v>5</v>
      </c>
      <c r="K770" s="20">
        <v>5</v>
      </c>
      <c r="L770" s="21">
        <v>314.69</v>
      </c>
      <c r="M770" s="22">
        <v>0.03</v>
      </c>
      <c r="N770" s="21">
        <f t="shared" si="59"/>
        <v>305.24930000000001</v>
      </c>
      <c r="O770" s="21">
        <v>1526.25</v>
      </c>
      <c r="P770" s="19" t="s">
        <v>4</v>
      </c>
      <c r="Q770" s="23">
        <v>1</v>
      </c>
      <c r="R770" s="45">
        <v>1.5</v>
      </c>
    </row>
    <row r="771" spans="2:18" x14ac:dyDescent="0.2">
      <c r="B771" s="25">
        <v>768</v>
      </c>
      <c r="C771" s="18">
        <v>44598</v>
      </c>
      <c r="D771" s="24">
        <f t="shared" si="55"/>
        <v>2022</v>
      </c>
      <c r="E771" s="24" t="str">
        <f t="shared" si="56"/>
        <v>Q1</v>
      </c>
      <c r="F771" s="24" t="str">
        <f t="shared" si="57"/>
        <v>Feb</v>
      </c>
      <c r="G771" s="24">
        <f t="shared" si="58"/>
        <v>2</v>
      </c>
      <c r="H771" s="19">
        <v>1368</v>
      </c>
      <c r="I771" s="19" t="s">
        <v>0</v>
      </c>
      <c r="J771" s="19" t="s">
        <v>5</v>
      </c>
      <c r="K771" s="20">
        <v>7</v>
      </c>
      <c r="L771" s="21">
        <v>476.82</v>
      </c>
      <c r="M771" s="22">
        <v>0.04</v>
      </c>
      <c r="N771" s="21">
        <f t="shared" si="59"/>
        <v>457.74720000000002</v>
      </c>
      <c r="O771" s="21">
        <v>3204.23</v>
      </c>
      <c r="P771" s="19" t="s">
        <v>4</v>
      </c>
      <c r="Q771" s="23">
        <v>4</v>
      </c>
      <c r="R771" s="45">
        <v>1.9</v>
      </c>
    </row>
    <row r="772" spans="2:18" x14ac:dyDescent="0.2">
      <c r="B772" s="25">
        <v>769</v>
      </c>
      <c r="C772" s="18">
        <v>44599</v>
      </c>
      <c r="D772" s="24">
        <f t="shared" ref="D772:D835" si="60">YEAR(C772)</f>
        <v>2022</v>
      </c>
      <c r="E772" s="24" t="str">
        <f t="shared" ref="E772:E835" si="61">"Q"&amp;ROUNDUP(MONTH(C772)/3,0)</f>
        <v>Q1</v>
      </c>
      <c r="F772" s="24" t="str">
        <f t="shared" ref="F772:F835" si="62">TEXT(C772,"mmm")</f>
        <v>Feb</v>
      </c>
      <c r="G772" s="24">
        <f t="shared" ref="G772:G835" si="63">MONTH(C772)</f>
        <v>2</v>
      </c>
      <c r="H772" s="19">
        <v>1694</v>
      </c>
      <c r="I772" s="19" t="s">
        <v>10</v>
      </c>
      <c r="J772" s="19" t="s">
        <v>8</v>
      </c>
      <c r="K772" s="20">
        <v>7</v>
      </c>
      <c r="L772" s="21">
        <v>119.92</v>
      </c>
      <c r="M772" s="22">
        <v>0.04</v>
      </c>
      <c r="N772" s="21">
        <f t="shared" si="59"/>
        <v>115.1232</v>
      </c>
      <c r="O772" s="21">
        <v>805.86</v>
      </c>
      <c r="P772" s="19" t="s">
        <v>4</v>
      </c>
      <c r="Q772" s="23">
        <v>8</v>
      </c>
      <c r="R772" s="45">
        <v>3.2</v>
      </c>
    </row>
    <row r="773" spans="2:18" x14ac:dyDescent="0.2">
      <c r="B773" s="25">
        <v>770</v>
      </c>
      <c r="C773" s="18">
        <v>44600</v>
      </c>
      <c r="D773" s="24">
        <f t="shared" si="60"/>
        <v>2022</v>
      </c>
      <c r="E773" s="24" t="str">
        <f t="shared" si="61"/>
        <v>Q1</v>
      </c>
      <c r="F773" s="24" t="str">
        <f t="shared" si="62"/>
        <v>Feb</v>
      </c>
      <c r="G773" s="24">
        <f t="shared" si="63"/>
        <v>2</v>
      </c>
      <c r="H773" s="19">
        <v>1524</v>
      </c>
      <c r="I773" s="19" t="s">
        <v>3</v>
      </c>
      <c r="J773" s="19" t="s">
        <v>1</v>
      </c>
      <c r="K773" s="20">
        <v>7</v>
      </c>
      <c r="L773" s="21">
        <v>350.34</v>
      </c>
      <c r="M773" s="22">
        <v>0.25</v>
      </c>
      <c r="N773" s="21">
        <f t="shared" ref="N773:N836" si="64">L773-(L773*M773)</f>
        <v>262.755</v>
      </c>
      <c r="O773" s="21">
        <v>1839.28</v>
      </c>
      <c r="P773" s="19" t="s">
        <v>4</v>
      </c>
      <c r="Q773" s="23">
        <v>6</v>
      </c>
      <c r="R773" s="45">
        <v>2.2000000000000002</v>
      </c>
    </row>
    <row r="774" spans="2:18" x14ac:dyDescent="0.2">
      <c r="B774" s="25">
        <v>771</v>
      </c>
      <c r="C774" s="18">
        <v>44601</v>
      </c>
      <c r="D774" s="24">
        <f t="shared" si="60"/>
        <v>2022</v>
      </c>
      <c r="E774" s="24" t="str">
        <f t="shared" si="61"/>
        <v>Q1</v>
      </c>
      <c r="F774" s="24" t="str">
        <f t="shared" si="62"/>
        <v>Feb</v>
      </c>
      <c r="G774" s="24">
        <f t="shared" si="63"/>
        <v>2</v>
      </c>
      <c r="H774" s="19">
        <v>1278</v>
      </c>
      <c r="I774" s="19" t="s">
        <v>10</v>
      </c>
      <c r="J774" s="19" t="s">
        <v>5</v>
      </c>
      <c r="K774" s="20">
        <v>1</v>
      </c>
      <c r="L774" s="21">
        <v>590.54999999999995</v>
      </c>
      <c r="M774" s="22">
        <v>0.05</v>
      </c>
      <c r="N774" s="21">
        <f t="shared" si="64"/>
        <v>561.02249999999992</v>
      </c>
      <c r="O774" s="21">
        <v>561.02</v>
      </c>
      <c r="P774" s="19" t="s">
        <v>6</v>
      </c>
      <c r="Q774" s="23">
        <v>2</v>
      </c>
      <c r="R774" s="45">
        <v>1.2</v>
      </c>
    </row>
    <row r="775" spans="2:18" x14ac:dyDescent="0.2">
      <c r="B775" s="25">
        <v>772</v>
      </c>
      <c r="C775" s="18">
        <v>44602</v>
      </c>
      <c r="D775" s="24">
        <f t="shared" si="60"/>
        <v>2022</v>
      </c>
      <c r="E775" s="24" t="str">
        <f t="shared" si="61"/>
        <v>Q1</v>
      </c>
      <c r="F775" s="24" t="str">
        <f t="shared" si="62"/>
        <v>Feb</v>
      </c>
      <c r="G775" s="24">
        <f t="shared" si="63"/>
        <v>2</v>
      </c>
      <c r="H775" s="19">
        <v>1216</v>
      </c>
      <c r="I775" s="19" t="s">
        <v>0</v>
      </c>
      <c r="J775" s="19" t="s">
        <v>1</v>
      </c>
      <c r="K775" s="20">
        <v>2</v>
      </c>
      <c r="L775" s="21">
        <v>185.21</v>
      </c>
      <c r="M775" s="22">
        <v>0.16</v>
      </c>
      <c r="N775" s="21">
        <f t="shared" si="64"/>
        <v>155.57640000000001</v>
      </c>
      <c r="O775" s="21">
        <v>311.14999999999998</v>
      </c>
      <c r="P775" s="19" t="s">
        <v>4</v>
      </c>
      <c r="Q775" s="23">
        <v>8</v>
      </c>
      <c r="R775" s="45">
        <v>2.2000000000000002</v>
      </c>
    </row>
    <row r="776" spans="2:18" x14ac:dyDescent="0.2">
      <c r="B776" s="25">
        <v>773</v>
      </c>
      <c r="C776" s="18">
        <v>44603</v>
      </c>
      <c r="D776" s="24">
        <f t="shared" si="60"/>
        <v>2022</v>
      </c>
      <c r="E776" s="24" t="str">
        <f t="shared" si="61"/>
        <v>Q1</v>
      </c>
      <c r="F776" s="24" t="str">
        <f t="shared" si="62"/>
        <v>Feb</v>
      </c>
      <c r="G776" s="24">
        <f t="shared" si="63"/>
        <v>2</v>
      </c>
      <c r="H776" s="19">
        <v>1866</v>
      </c>
      <c r="I776" s="19" t="s">
        <v>3</v>
      </c>
      <c r="J776" s="19" t="s">
        <v>5</v>
      </c>
      <c r="K776" s="20">
        <v>1</v>
      </c>
      <c r="L776" s="21">
        <v>479.7</v>
      </c>
      <c r="M776" s="22">
        <v>0.12</v>
      </c>
      <c r="N776" s="21">
        <f t="shared" si="64"/>
        <v>422.13599999999997</v>
      </c>
      <c r="O776" s="21">
        <v>422.14</v>
      </c>
      <c r="P776" s="19" t="s">
        <v>6</v>
      </c>
      <c r="Q776" s="23">
        <v>1</v>
      </c>
      <c r="R776" s="45">
        <v>4.5999999999999996</v>
      </c>
    </row>
    <row r="777" spans="2:18" x14ac:dyDescent="0.2">
      <c r="B777" s="25">
        <v>774</v>
      </c>
      <c r="C777" s="18">
        <v>44604</v>
      </c>
      <c r="D777" s="24">
        <f t="shared" si="60"/>
        <v>2022</v>
      </c>
      <c r="E777" s="24" t="str">
        <f t="shared" si="61"/>
        <v>Q1</v>
      </c>
      <c r="F777" s="24" t="str">
        <f t="shared" si="62"/>
        <v>Feb</v>
      </c>
      <c r="G777" s="24">
        <f t="shared" si="63"/>
        <v>2</v>
      </c>
      <c r="H777" s="19">
        <v>1872</v>
      </c>
      <c r="I777" s="19" t="s">
        <v>3</v>
      </c>
      <c r="J777" s="19" t="s">
        <v>8</v>
      </c>
      <c r="K777" s="20">
        <v>7</v>
      </c>
      <c r="L777" s="21">
        <v>301.93</v>
      </c>
      <c r="M777" s="22">
        <v>0.19</v>
      </c>
      <c r="N777" s="21">
        <f t="shared" si="64"/>
        <v>244.5633</v>
      </c>
      <c r="O777" s="21">
        <v>1711.94</v>
      </c>
      <c r="P777" s="19" t="s">
        <v>4</v>
      </c>
      <c r="Q777" s="23">
        <v>1</v>
      </c>
      <c r="R777" s="45">
        <v>1.7</v>
      </c>
    </row>
    <row r="778" spans="2:18" x14ac:dyDescent="0.2">
      <c r="B778" s="25">
        <v>775</v>
      </c>
      <c r="C778" s="18">
        <v>44605</v>
      </c>
      <c r="D778" s="24">
        <f t="shared" si="60"/>
        <v>2022</v>
      </c>
      <c r="E778" s="24" t="str">
        <f t="shared" si="61"/>
        <v>Q1</v>
      </c>
      <c r="F778" s="24" t="str">
        <f t="shared" si="62"/>
        <v>Feb</v>
      </c>
      <c r="G778" s="24">
        <f t="shared" si="63"/>
        <v>2</v>
      </c>
      <c r="H778" s="19">
        <v>1797</v>
      </c>
      <c r="I778" s="19" t="s">
        <v>7</v>
      </c>
      <c r="J778" s="19" t="s">
        <v>1</v>
      </c>
      <c r="K778" s="20">
        <v>5</v>
      </c>
      <c r="L778" s="21">
        <v>38.29</v>
      </c>
      <c r="M778" s="22">
        <v>0.25</v>
      </c>
      <c r="N778" s="21">
        <f t="shared" si="64"/>
        <v>28.717500000000001</v>
      </c>
      <c r="O778" s="21">
        <v>143.59</v>
      </c>
      <c r="P778" s="19" t="s">
        <v>4</v>
      </c>
      <c r="Q778" s="23">
        <v>7</v>
      </c>
      <c r="R778" s="45">
        <v>4.0999999999999996</v>
      </c>
    </row>
    <row r="779" spans="2:18" x14ac:dyDescent="0.2">
      <c r="B779" s="25">
        <v>776</v>
      </c>
      <c r="C779" s="18">
        <v>44606</v>
      </c>
      <c r="D779" s="24">
        <f t="shared" si="60"/>
        <v>2022</v>
      </c>
      <c r="E779" s="24" t="str">
        <f t="shared" si="61"/>
        <v>Q1</v>
      </c>
      <c r="F779" s="24" t="str">
        <f t="shared" si="62"/>
        <v>Feb</v>
      </c>
      <c r="G779" s="24">
        <f t="shared" si="63"/>
        <v>2</v>
      </c>
      <c r="H779" s="19">
        <v>1272</v>
      </c>
      <c r="I779" s="19" t="s">
        <v>3</v>
      </c>
      <c r="J779" s="19" t="s">
        <v>5</v>
      </c>
      <c r="K779" s="20">
        <v>1</v>
      </c>
      <c r="L779" s="21">
        <v>461.37</v>
      </c>
      <c r="M779" s="22">
        <v>0.24</v>
      </c>
      <c r="N779" s="21">
        <f t="shared" si="64"/>
        <v>350.64120000000003</v>
      </c>
      <c r="O779" s="21">
        <v>350.64</v>
      </c>
      <c r="P779" s="19" t="s">
        <v>6</v>
      </c>
      <c r="Q779" s="23">
        <v>10</v>
      </c>
      <c r="R779" s="45">
        <v>3.9</v>
      </c>
    </row>
    <row r="780" spans="2:18" x14ac:dyDescent="0.2">
      <c r="B780" s="25">
        <v>777</v>
      </c>
      <c r="C780" s="18">
        <v>44607</v>
      </c>
      <c r="D780" s="24">
        <f t="shared" si="60"/>
        <v>2022</v>
      </c>
      <c r="E780" s="24" t="str">
        <f t="shared" si="61"/>
        <v>Q1</v>
      </c>
      <c r="F780" s="24" t="str">
        <f t="shared" si="62"/>
        <v>Feb</v>
      </c>
      <c r="G780" s="24">
        <f t="shared" si="63"/>
        <v>2</v>
      </c>
      <c r="H780" s="19">
        <v>1880</v>
      </c>
      <c r="I780" s="19" t="s">
        <v>10</v>
      </c>
      <c r="J780" s="19" t="s">
        <v>8</v>
      </c>
      <c r="K780" s="20">
        <v>7</v>
      </c>
      <c r="L780" s="21">
        <v>113.61</v>
      </c>
      <c r="M780" s="22">
        <v>0.18</v>
      </c>
      <c r="N780" s="21">
        <f t="shared" si="64"/>
        <v>93.160200000000003</v>
      </c>
      <c r="O780" s="21">
        <v>652.12</v>
      </c>
      <c r="P780" s="19" t="s">
        <v>2</v>
      </c>
      <c r="Q780" s="23">
        <v>3</v>
      </c>
      <c r="R780" s="45">
        <v>1.4</v>
      </c>
    </row>
    <row r="781" spans="2:18" x14ac:dyDescent="0.2">
      <c r="B781" s="25">
        <v>778</v>
      </c>
      <c r="C781" s="18">
        <v>44608</v>
      </c>
      <c r="D781" s="24">
        <f t="shared" si="60"/>
        <v>2022</v>
      </c>
      <c r="E781" s="24" t="str">
        <f t="shared" si="61"/>
        <v>Q1</v>
      </c>
      <c r="F781" s="24" t="str">
        <f t="shared" si="62"/>
        <v>Feb</v>
      </c>
      <c r="G781" s="24">
        <f t="shared" si="63"/>
        <v>2</v>
      </c>
      <c r="H781" s="19">
        <v>1061</v>
      </c>
      <c r="I781" s="19" t="s">
        <v>7</v>
      </c>
      <c r="J781" s="19" t="s">
        <v>5</v>
      </c>
      <c r="K781" s="20">
        <v>7</v>
      </c>
      <c r="L781" s="21">
        <v>384.41</v>
      </c>
      <c r="M781" s="22">
        <v>0.16</v>
      </c>
      <c r="N781" s="21">
        <f t="shared" si="64"/>
        <v>322.90440000000001</v>
      </c>
      <c r="O781" s="21">
        <v>2260.33</v>
      </c>
      <c r="P781" s="19" t="s">
        <v>6</v>
      </c>
      <c r="Q781" s="23">
        <v>8</v>
      </c>
      <c r="R781" s="45">
        <v>2.2999999999999998</v>
      </c>
    </row>
    <row r="782" spans="2:18" x14ac:dyDescent="0.2">
      <c r="B782" s="25">
        <v>779</v>
      </c>
      <c r="C782" s="18">
        <v>44609</v>
      </c>
      <c r="D782" s="24">
        <f t="shared" si="60"/>
        <v>2022</v>
      </c>
      <c r="E782" s="24" t="str">
        <f t="shared" si="61"/>
        <v>Q1</v>
      </c>
      <c r="F782" s="24" t="str">
        <f t="shared" si="62"/>
        <v>Feb</v>
      </c>
      <c r="G782" s="24">
        <f t="shared" si="63"/>
        <v>2</v>
      </c>
      <c r="H782" s="19">
        <v>1595</v>
      </c>
      <c r="I782" s="19" t="s">
        <v>7</v>
      </c>
      <c r="J782" s="19" t="s">
        <v>1</v>
      </c>
      <c r="K782" s="20">
        <v>1</v>
      </c>
      <c r="L782" s="21">
        <v>65.11</v>
      </c>
      <c r="M782" s="22">
        <v>0.14000000000000001</v>
      </c>
      <c r="N782" s="21">
        <f t="shared" si="64"/>
        <v>55.994599999999998</v>
      </c>
      <c r="O782" s="21">
        <v>55.99</v>
      </c>
      <c r="P782" s="19" t="s">
        <v>6</v>
      </c>
      <c r="Q782" s="23">
        <v>9</v>
      </c>
      <c r="R782" s="45">
        <v>1.8</v>
      </c>
    </row>
    <row r="783" spans="2:18" x14ac:dyDescent="0.2">
      <c r="B783" s="25">
        <v>780</v>
      </c>
      <c r="C783" s="18">
        <v>44610</v>
      </c>
      <c r="D783" s="24">
        <f t="shared" si="60"/>
        <v>2022</v>
      </c>
      <c r="E783" s="24" t="str">
        <f t="shared" si="61"/>
        <v>Q1</v>
      </c>
      <c r="F783" s="24" t="str">
        <f t="shared" si="62"/>
        <v>Feb</v>
      </c>
      <c r="G783" s="24">
        <f t="shared" si="63"/>
        <v>2</v>
      </c>
      <c r="H783" s="19">
        <v>1879</v>
      </c>
      <c r="I783" s="19" t="s">
        <v>7</v>
      </c>
      <c r="J783" s="19" t="s">
        <v>5</v>
      </c>
      <c r="K783" s="20">
        <v>1</v>
      </c>
      <c r="L783" s="21">
        <v>568.91999999999996</v>
      </c>
      <c r="M783" s="22">
        <v>0.3</v>
      </c>
      <c r="N783" s="21">
        <f t="shared" si="64"/>
        <v>398.24399999999997</v>
      </c>
      <c r="O783" s="21">
        <v>398.24</v>
      </c>
      <c r="P783" s="19" t="s">
        <v>6</v>
      </c>
      <c r="Q783" s="23">
        <v>8</v>
      </c>
      <c r="R783" s="45">
        <v>1.1000000000000001</v>
      </c>
    </row>
    <row r="784" spans="2:18" x14ac:dyDescent="0.2">
      <c r="B784" s="25">
        <v>781</v>
      </c>
      <c r="C784" s="18">
        <v>44611</v>
      </c>
      <c r="D784" s="24">
        <f t="shared" si="60"/>
        <v>2022</v>
      </c>
      <c r="E784" s="24" t="str">
        <f t="shared" si="61"/>
        <v>Q1</v>
      </c>
      <c r="F784" s="24" t="str">
        <f t="shared" si="62"/>
        <v>Feb</v>
      </c>
      <c r="G784" s="24">
        <f t="shared" si="63"/>
        <v>2</v>
      </c>
      <c r="H784" s="19">
        <v>1728</v>
      </c>
      <c r="I784" s="19" t="s">
        <v>7</v>
      </c>
      <c r="J784" s="19" t="s">
        <v>1</v>
      </c>
      <c r="K784" s="20">
        <v>5</v>
      </c>
      <c r="L784" s="21">
        <v>185.66</v>
      </c>
      <c r="M784" s="22">
        <v>0.12</v>
      </c>
      <c r="N784" s="21">
        <f t="shared" si="64"/>
        <v>163.38079999999999</v>
      </c>
      <c r="O784" s="21">
        <v>816.9</v>
      </c>
      <c r="P784" s="19" t="s">
        <v>6</v>
      </c>
      <c r="Q784" s="23">
        <v>1</v>
      </c>
      <c r="R784" s="45">
        <v>1.7</v>
      </c>
    </row>
    <row r="785" spans="2:18" x14ac:dyDescent="0.2">
      <c r="B785" s="25">
        <v>782</v>
      </c>
      <c r="C785" s="18">
        <v>44612</v>
      </c>
      <c r="D785" s="24">
        <f t="shared" si="60"/>
        <v>2022</v>
      </c>
      <c r="E785" s="24" t="str">
        <f t="shared" si="61"/>
        <v>Q1</v>
      </c>
      <c r="F785" s="24" t="str">
        <f t="shared" si="62"/>
        <v>Feb</v>
      </c>
      <c r="G785" s="24">
        <f t="shared" si="63"/>
        <v>2</v>
      </c>
      <c r="H785" s="19">
        <v>1341</v>
      </c>
      <c r="I785" s="19" t="s">
        <v>7</v>
      </c>
      <c r="J785" s="19" t="s">
        <v>1</v>
      </c>
      <c r="K785" s="20">
        <v>1</v>
      </c>
      <c r="L785" s="21">
        <v>147.47999999999999</v>
      </c>
      <c r="M785" s="22">
        <v>0.09</v>
      </c>
      <c r="N785" s="21">
        <f t="shared" si="64"/>
        <v>134.20679999999999</v>
      </c>
      <c r="O785" s="21">
        <v>134.21</v>
      </c>
      <c r="P785" s="19" t="s">
        <v>2</v>
      </c>
      <c r="Q785" s="23">
        <v>1</v>
      </c>
      <c r="R785" s="45">
        <v>1.8</v>
      </c>
    </row>
    <row r="786" spans="2:18" x14ac:dyDescent="0.2">
      <c r="B786" s="25">
        <v>783</v>
      </c>
      <c r="C786" s="18">
        <v>44613</v>
      </c>
      <c r="D786" s="24">
        <f t="shared" si="60"/>
        <v>2022</v>
      </c>
      <c r="E786" s="24" t="str">
        <f t="shared" si="61"/>
        <v>Q1</v>
      </c>
      <c r="F786" s="24" t="str">
        <f t="shared" si="62"/>
        <v>Feb</v>
      </c>
      <c r="G786" s="24">
        <f t="shared" si="63"/>
        <v>2</v>
      </c>
      <c r="H786" s="19">
        <v>1396</v>
      </c>
      <c r="I786" s="19" t="s">
        <v>3</v>
      </c>
      <c r="J786" s="19" t="s">
        <v>5</v>
      </c>
      <c r="K786" s="20">
        <v>4</v>
      </c>
      <c r="L786" s="21">
        <v>90.54</v>
      </c>
      <c r="M786" s="22">
        <v>0.26</v>
      </c>
      <c r="N786" s="21">
        <f t="shared" si="64"/>
        <v>66.999600000000001</v>
      </c>
      <c r="O786" s="21">
        <v>268</v>
      </c>
      <c r="P786" s="19" t="s">
        <v>4</v>
      </c>
      <c r="Q786" s="23">
        <v>6</v>
      </c>
      <c r="R786" s="45">
        <v>1.7</v>
      </c>
    </row>
    <row r="787" spans="2:18" x14ac:dyDescent="0.2">
      <c r="B787" s="25">
        <v>784</v>
      </c>
      <c r="C787" s="18">
        <v>44614</v>
      </c>
      <c r="D787" s="24">
        <f t="shared" si="60"/>
        <v>2022</v>
      </c>
      <c r="E787" s="24" t="str">
        <f t="shared" si="61"/>
        <v>Q1</v>
      </c>
      <c r="F787" s="24" t="str">
        <f t="shared" si="62"/>
        <v>Feb</v>
      </c>
      <c r="G787" s="24">
        <f t="shared" si="63"/>
        <v>2</v>
      </c>
      <c r="H787" s="19">
        <v>1698</v>
      </c>
      <c r="I787" s="19" t="s">
        <v>0</v>
      </c>
      <c r="J787" s="19" t="s">
        <v>8</v>
      </c>
      <c r="K787" s="20">
        <v>6</v>
      </c>
      <c r="L787" s="21">
        <v>568.41</v>
      </c>
      <c r="M787" s="22">
        <v>0.13</v>
      </c>
      <c r="N787" s="21">
        <f t="shared" si="64"/>
        <v>494.51669999999996</v>
      </c>
      <c r="O787" s="21">
        <v>2967.1</v>
      </c>
      <c r="P787" s="19" t="s">
        <v>2</v>
      </c>
      <c r="Q787" s="23">
        <v>1</v>
      </c>
      <c r="R787" s="45">
        <v>1.4</v>
      </c>
    </row>
    <row r="788" spans="2:18" x14ac:dyDescent="0.2">
      <c r="B788" s="25">
        <v>785</v>
      </c>
      <c r="C788" s="18">
        <v>44615</v>
      </c>
      <c r="D788" s="24">
        <f t="shared" si="60"/>
        <v>2022</v>
      </c>
      <c r="E788" s="24" t="str">
        <f t="shared" si="61"/>
        <v>Q1</v>
      </c>
      <c r="F788" s="24" t="str">
        <f t="shared" si="62"/>
        <v>Feb</v>
      </c>
      <c r="G788" s="24">
        <f t="shared" si="63"/>
        <v>2</v>
      </c>
      <c r="H788" s="19">
        <v>1018</v>
      </c>
      <c r="I788" s="19" t="s">
        <v>3</v>
      </c>
      <c r="J788" s="19" t="s">
        <v>9</v>
      </c>
      <c r="K788" s="20">
        <v>4</v>
      </c>
      <c r="L788" s="21">
        <v>431.46</v>
      </c>
      <c r="M788" s="22">
        <v>0.3</v>
      </c>
      <c r="N788" s="21">
        <f t="shared" si="64"/>
        <v>302.02199999999999</v>
      </c>
      <c r="O788" s="21">
        <v>1208.0899999999999</v>
      </c>
      <c r="P788" s="19" t="s">
        <v>4</v>
      </c>
      <c r="Q788" s="23">
        <v>8</v>
      </c>
      <c r="R788" s="45">
        <v>3.1</v>
      </c>
    </row>
    <row r="789" spans="2:18" x14ac:dyDescent="0.2">
      <c r="B789" s="25">
        <v>786</v>
      </c>
      <c r="C789" s="18">
        <v>44616</v>
      </c>
      <c r="D789" s="24">
        <f t="shared" si="60"/>
        <v>2022</v>
      </c>
      <c r="E789" s="24" t="str">
        <f t="shared" si="61"/>
        <v>Q1</v>
      </c>
      <c r="F789" s="24" t="str">
        <f t="shared" si="62"/>
        <v>Feb</v>
      </c>
      <c r="G789" s="24">
        <f t="shared" si="63"/>
        <v>2</v>
      </c>
      <c r="H789" s="19">
        <v>1176</v>
      </c>
      <c r="I789" s="19" t="s">
        <v>7</v>
      </c>
      <c r="J789" s="19" t="s">
        <v>8</v>
      </c>
      <c r="K789" s="20">
        <v>5</v>
      </c>
      <c r="L789" s="21">
        <v>448.87</v>
      </c>
      <c r="M789" s="22">
        <v>0.11</v>
      </c>
      <c r="N789" s="21">
        <f t="shared" si="64"/>
        <v>399.49430000000001</v>
      </c>
      <c r="O789" s="21">
        <v>1997.47</v>
      </c>
      <c r="P789" s="19" t="s">
        <v>2</v>
      </c>
      <c r="Q789" s="23">
        <v>6</v>
      </c>
      <c r="R789" s="45">
        <v>2.2999999999999998</v>
      </c>
    </row>
    <row r="790" spans="2:18" x14ac:dyDescent="0.2">
      <c r="B790" s="25">
        <v>787</v>
      </c>
      <c r="C790" s="18">
        <v>44617</v>
      </c>
      <c r="D790" s="24">
        <f t="shared" si="60"/>
        <v>2022</v>
      </c>
      <c r="E790" s="24" t="str">
        <f t="shared" si="61"/>
        <v>Q1</v>
      </c>
      <c r="F790" s="24" t="str">
        <f t="shared" si="62"/>
        <v>Feb</v>
      </c>
      <c r="G790" s="24">
        <f t="shared" si="63"/>
        <v>2</v>
      </c>
      <c r="H790" s="19">
        <v>1611</v>
      </c>
      <c r="I790" s="19" t="s">
        <v>7</v>
      </c>
      <c r="J790" s="19" t="s">
        <v>8</v>
      </c>
      <c r="K790" s="20">
        <v>2</v>
      </c>
      <c r="L790" s="21">
        <v>307.14999999999998</v>
      </c>
      <c r="M790" s="22">
        <v>0.25</v>
      </c>
      <c r="N790" s="21">
        <f t="shared" si="64"/>
        <v>230.36249999999998</v>
      </c>
      <c r="O790" s="21">
        <v>460.72</v>
      </c>
      <c r="P790" s="19" t="s">
        <v>4</v>
      </c>
      <c r="Q790" s="23">
        <v>5</v>
      </c>
      <c r="R790" s="45">
        <v>4.5999999999999996</v>
      </c>
    </row>
    <row r="791" spans="2:18" x14ac:dyDescent="0.2">
      <c r="B791" s="25">
        <v>788</v>
      </c>
      <c r="C791" s="18">
        <v>44618</v>
      </c>
      <c r="D791" s="24">
        <f t="shared" si="60"/>
        <v>2022</v>
      </c>
      <c r="E791" s="24" t="str">
        <f t="shared" si="61"/>
        <v>Q1</v>
      </c>
      <c r="F791" s="24" t="str">
        <f t="shared" si="62"/>
        <v>Feb</v>
      </c>
      <c r="G791" s="24">
        <f t="shared" si="63"/>
        <v>2</v>
      </c>
      <c r="H791" s="19">
        <v>1395</v>
      </c>
      <c r="I791" s="19" t="s">
        <v>10</v>
      </c>
      <c r="J791" s="19" t="s">
        <v>5</v>
      </c>
      <c r="K791" s="20">
        <v>4</v>
      </c>
      <c r="L791" s="21">
        <v>292.72000000000003</v>
      </c>
      <c r="M791" s="22">
        <v>0.02</v>
      </c>
      <c r="N791" s="21">
        <f t="shared" si="64"/>
        <v>286.86560000000003</v>
      </c>
      <c r="O791" s="21">
        <v>1147.46</v>
      </c>
      <c r="P791" s="19" t="s">
        <v>2</v>
      </c>
      <c r="Q791" s="23">
        <v>6</v>
      </c>
      <c r="R791" s="45">
        <v>1.7</v>
      </c>
    </row>
    <row r="792" spans="2:18" x14ac:dyDescent="0.2">
      <c r="B792" s="25">
        <v>789</v>
      </c>
      <c r="C792" s="18">
        <v>44619</v>
      </c>
      <c r="D792" s="24">
        <f t="shared" si="60"/>
        <v>2022</v>
      </c>
      <c r="E792" s="24" t="str">
        <f t="shared" si="61"/>
        <v>Q1</v>
      </c>
      <c r="F792" s="24" t="str">
        <f t="shared" si="62"/>
        <v>Feb</v>
      </c>
      <c r="G792" s="24">
        <f t="shared" si="63"/>
        <v>2</v>
      </c>
      <c r="H792" s="19">
        <v>1444</v>
      </c>
      <c r="I792" s="19" t="s">
        <v>3</v>
      </c>
      <c r="J792" s="19" t="s">
        <v>8</v>
      </c>
      <c r="K792" s="20">
        <v>7</v>
      </c>
      <c r="L792" s="21">
        <v>79.36</v>
      </c>
      <c r="M792" s="22">
        <v>0.13</v>
      </c>
      <c r="N792" s="21">
        <f t="shared" si="64"/>
        <v>69.043199999999999</v>
      </c>
      <c r="O792" s="21">
        <v>483.3</v>
      </c>
      <c r="P792" s="19" t="s">
        <v>2</v>
      </c>
      <c r="Q792" s="23">
        <v>4</v>
      </c>
      <c r="R792" s="45">
        <v>3.4</v>
      </c>
    </row>
    <row r="793" spans="2:18" x14ac:dyDescent="0.2">
      <c r="B793" s="25">
        <v>790</v>
      </c>
      <c r="C793" s="18">
        <v>44620</v>
      </c>
      <c r="D793" s="24">
        <f t="shared" si="60"/>
        <v>2022</v>
      </c>
      <c r="E793" s="24" t="str">
        <f t="shared" si="61"/>
        <v>Q1</v>
      </c>
      <c r="F793" s="24" t="str">
        <f t="shared" si="62"/>
        <v>Feb</v>
      </c>
      <c r="G793" s="24">
        <f t="shared" si="63"/>
        <v>2</v>
      </c>
      <c r="H793" s="19">
        <v>1232</v>
      </c>
      <c r="I793" s="19" t="s">
        <v>10</v>
      </c>
      <c r="J793" s="19" t="s">
        <v>8</v>
      </c>
      <c r="K793" s="20">
        <v>6</v>
      </c>
      <c r="L793" s="21">
        <v>342.51</v>
      </c>
      <c r="M793" s="22">
        <v>0.12</v>
      </c>
      <c r="N793" s="21">
        <f t="shared" si="64"/>
        <v>301.40879999999999</v>
      </c>
      <c r="O793" s="21">
        <v>1808.45</v>
      </c>
      <c r="P793" s="19" t="s">
        <v>4</v>
      </c>
      <c r="Q793" s="23">
        <v>1</v>
      </c>
      <c r="R793" s="45">
        <v>4.5999999999999996</v>
      </c>
    </row>
    <row r="794" spans="2:18" x14ac:dyDescent="0.2">
      <c r="B794" s="25">
        <v>791</v>
      </c>
      <c r="C794" s="18">
        <v>44621</v>
      </c>
      <c r="D794" s="24">
        <f t="shared" si="60"/>
        <v>2022</v>
      </c>
      <c r="E794" s="24" t="str">
        <f t="shared" si="61"/>
        <v>Q1</v>
      </c>
      <c r="F794" s="24" t="str">
        <f t="shared" si="62"/>
        <v>Mar</v>
      </c>
      <c r="G794" s="24">
        <f t="shared" si="63"/>
        <v>3</v>
      </c>
      <c r="H794" s="19">
        <v>1914</v>
      </c>
      <c r="I794" s="19" t="s">
        <v>10</v>
      </c>
      <c r="J794" s="19" t="s">
        <v>9</v>
      </c>
      <c r="K794" s="20">
        <v>3</v>
      </c>
      <c r="L794" s="21">
        <v>159.44999999999999</v>
      </c>
      <c r="M794" s="22">
        <v>0.28999999999999998</v>
      </c>
      <c r="N794" s="21">
        <f t="shared" si="64"/>
        <v>113.20949999999999</v>
      </c>
      <c r="O794" s="21">
        <v>339.63</v>
      </c>
      <c r="P794" s="19" t="s">
        <v>2</v>
      </c>
      <c r="Q794" s="23">
        <v>7</v>
      </c>
      <c r="R794" s="45">
        <v>1.2</v>
      </c>
    </row>
    <row r="795" spans="2:18" x14ac:dyDescent="0.2">
      <c r="B795" s="25">
        <v>792</v>
      </c>
      <c r="C795" s="18">
        <v>44622</v>
      </c>
      <c r="D795" s="24">
        <f t="shared" si="60"/>
        <v>2022</v>
      </c>
      <c r="E795" s="24" t="str">
        <f t="shared" si="61"/>
        <v>Q1</v>
      </c>
      <c r="F795" s="24" t="str">
        <f t="shared" si="62"/>
        <v>Mar</v>
      </c>
      <c r="G795" s="24">
        <f t="shared" si="63"/>
        <v>3</v>
      </c>
      <c r="H795" s="19">
        <v>1075</v>
      </c>
      <c r="I795" s="19" t="s">
        <v>10</v>
      </c>
      <c r="J795" s="19" t="s">
        <v>8</v>
      </c>
      <c r="K795" s="20">
        <v>6</v>
      </c>
      <c r="L795" s="21">
        <v>586.63</v>
      </c>
      <c r="M795" s="22">
        <v>0.34</v>
      </c>
      <c r="N795" s="21">
        <f t="shared" si="64"/>
        <v>387.17579999999998</v>
      </c>
      <c r="O795" s="21">
        <v>2323.0500000000002</v>
      </c>
      <c r="P795" s="19" t="s">
        <v>4</v>
      </c>
      <c r="Q795" s="23">
        <v>10</v>
      </c>
      <c r="R795" s="45">
        <v>3.1</v>
      </c>
    </row>
    <row r="796" spans="2:18" x14ac:dyDescent="0.2">
      <c r="B796" s="25">
        <v>793</v>
      </c>
      <c r="C796" s="18">
        <v>44623</v>
      </c>
      <c r="D796" s="24">
        <f t="shared" si="60"/>
        <v>2022</v>
      </c>
      <c r="E796" s="24" t="str">
        <f t="shared" si="61"/>
        <v>Q1</v>
      </c>
      <c r="F796" s="24" t="str">
        <f t="shared" si="62"/>
        <v>Mar</v>
      </c>
      <c r="G796" s="24">
        <f t="shared" si="63"/>
        <v>3</v>
      </c>
      <c r="H796" s="19">
        <v>1264</v>
      </c>
      <c r="I796" s="19" t="s">
        <v>7</v>
      </c>
      <c r="J796" s="19" t="s">
        <v>9</v>
      </c>
      <c r="K796" s="20">
        <v>4</v>
      </c>
      <c r="L796" s="21">
        <v>481</v>
      </c>
      <c r="M796" s="22">
        <v>0.16</v>
      </c>
      <c r="N796" s="21">
        <f t="shared" si="64"/>
        <v>404.03999999999996</v>
      </c>
      <c r="O796" s="21">
        <v>1616.16</v>
      </c>
      <c r="P796" s="19" t="s">
        <v>4</v>
      </c>
      <c r="Q796" s="23">
        <v>9</v>
      </c>
      <c r="R796" s="45">
        <v>2.8</v>
      </c>
    </row>
    <row r="797" spans="2:18" x14ac:dyDescent="0.2">
      <c r="B797" s="25">
        <v>794</v>
      </c>
      <c r="C797" s="18">
        <v>44624</v>
      </c>
      <c r="D797" s="24">
        <f t="shared" si="60"/>
        <v>2022</v>
      </c>
      <c r="E797" s="24" t="str">
        <f t="shared" si="61"/>
        <v>Q1</v>
      </c>
      <c r="F797" s="24" t="str">
        <f t="shared" si="62"/>
        <v>Mar</v>
      </c>
      <c r="G797" s="24">
        <f t="shared" si="63"/>
        <v>3</v>
      </c>
      <c r="H797" s="19">
        <v>1454</v>
      </c>
      <c r="I797" s="19" t="s">
        <v>10</v>
      </c>
      <c r="J797" s="19" t="s">
        <v>5</v>
      </c>
      <c r="K797" s="20">
        <v>3</v>
      </c>
      <c r="L797" s="21">
        <v>256.60000000000002</v>
      </c>
      <c r="M797" s="22">
        <v>0.28999999999999998</v>
      </c>
      <c r="N797" s="21">
        <f t="shared" si="64"/>
        <v>182.18600000000004</v>
      </c>
      <c r="O797" s="21">
        <v>546.55999999999995</v>
      </c>
      <c r="P797" s="19" t="s">
        <v>4</v>
      </c>
      <c r="Q797" s="23">
        <v>4</v>
      </c>
      <c r="R797" s="45">
        <v>4.7</v>
      </c>
    </row>
    <row r="798" spans="2:18" x14ac:dyDescent="0.2">
      <c r="B798" s="25">
        <v>795</v>
      </c>
      <c r="C798" s="18">
        <v>44625</v>
      </c>
      <c r="D798" s="24">
        <f t="shared" si="60"/>
        <v>2022</v>
      </c>
      <c r="E798" s="24" t="str">
        <f t="shared" si="61"/>
        <v>Q1</v>
      </c>
      <c r="F798" s="24" t="str">
        <f t="shared" si="62"/>
        <v>Mar</v>
      </c>
      <c r="G798" s="24">
        <f t="shared" si="63"/>
        <v>3</v>
      </c>
      <c r="H798" s="19">
        <v>1795</v>
      </c>
      <c r="I798" s="19" t="s">
        <v>7</v>
      </c>
      <c r="J798" s="19" t="s">
        <v>9</v>
      </c>
      <c r="K798" s="20">
        <v>5</v>
      </c>
      <c r="L798" s="21">
        <v>103.53</v>
      </c>
      <c r="M798" s="22">
        <v>0.24</v>
      </c>
      <c r="N798" s="21">
        <f t="shared" si="64"/>
        <v>78.6828</v>
      </c>
      <c r="O798" s="21">
        <v>393.41</v>
      </c>
      <c r="P798" s="19" t="s">
        <v>2</v>
      </c>
      <c r="Q798" s="23">
        <v>4</v>
      </c>
      <c r="R798" s="45">
        <v>3.7</v>
      </c>
    </row>
    <row r="799" spans="2:18" x14ac:dyDescent="0.2">
      <c r="B799" s="25">
        <v>796</v>
      </c>
      <c r="C799" s="18">
        <v>44626</v>
      </c>
      <c r="D799" s="24">
        <f t="shared" si="60"/>
        <v>2022</v>
      </c>
      <c r="E799" s="24" t="str">
        <f t="shared" si="61"/>
        <v>Q1</v>
      </c>
      <c r="F799" s="24" t="str">
        <f t="shared" si="62"/>
        <v>Mar</v>
      </c>
      <c r="G799" s="24">
        <f t="shared" si="63"/>
        <v>3</v>
      </c>
      <c r="H799" s="19">
        <v>1717</v>
      </c>
      <c r="I799" s="19" t="s">
        <v>0</v>
      </c>
      <c r="J799" s="19" t="s">
        <v>1</v>
      </c>
      <c r="K799" s="20">
        <v>6</v>
      </c>
      <c r="L799" s="21">
        <v>474.42</v>
      </c>
      <c r="M799" s="22">
        <v>0.34</v>
      </c>
      <c r="N799" s="21">
        <f t="shared" si="64"/>
        <v>313.11720000000003</v>
      </c>
      <c r="O799" s="21">
        <v>1878.7</v>
      </c>
      <c r="P799" s="19" t="s">
        <v>6</v>
      </c>
      <c r="Q799" s="23">
        <v>9</v>
      </c>
      <c r="R799" s="45">
        <v>2.4</v>
      </c>
    </row>
    <row r="800" spans="2:18" x14ac:dyDescent="0.2">
      <c r="B800" s="25">
        <v>797</v>
      </c>
      <c r="C800" s="18">
        <v>44627</v>
      </c>
      <c r="D800" s="24">
        <f t="shared" si="60"/>
        <v>2022</v>
      </c>
      <c r="E800" s="24" t="str">
        <f t="shared" si="61"/>
        <v>Q1</v>
      </c>
      <c r="F800" s="24" t="str">
        <f t="shared" si="62"/>
        <v>Mar</v>
      </c>
      <c r="G800" s="24">
        <f t="shared" si="63"/>
        <v>3</v>
      </c>
      <c r="H800" s="19">
        <v>1734</v>
      </c>
      <c r="I800" s="19" t="s">
        <v>3</v>
      </c>
      <c r="J800" s="19" t="s">
        <v>1</v>
      </c>
      <c r="K800" s="20">
        <v>2</v>
      </c>
      <c r="L800" s="21">
        <v>86.4</v>
      </c>
      <c r="M800" s="22">
        <v>0.28000000000000003</v>
      </c>
      <c r="N800" s="21">
        <f t="shared" si="64"/>
        <v>62.207999999999998</v>
      </c>
      <c r="O800" s="21">
        <v>124.42</v>
      </c>
      <c r="P800" s="19" t="s">
        <v>6</v>
      </c>
      <c r="Q800" s="23">
        <v>4</v>
      </c>
      <c r="R800" s="45">
        <v>3.8</v>
      </c>
    </row>
    <row r="801" spans="2:18" x14ac:dyDescent="0.2">
      <c r="B801" s="25">
        <v>798</v>
      </c>
      <c r="C801" s="18">
        <v>44628</v>
      </c>
      <c r="D801" s="24">
        <f t="shared" si="60"/>
        <v>2022</v>
      </c>
      <c r="E801" s="24" t="str">
        <f t="shared" si="61"/>
        <v>Q1</v>
      </c>
      <c r="F801" s="24" t="str">
        <f t="shared" si="62"/>
        <v>Mar</v>
      </c>
      <c r="G801" s="24">
        <f t="shared" si="63"/>
        <v>3</v>
      </c>
      <c r="H801" s="19">
        <v>1383</v>
      </c>
      <c r="I801" s="19" t="s">
        <v>7</v>
      </c>
      <c r="J801" s="19" t="s">
        <v>9</v>
      </c>
      <c r="K801" s="20">
        <v>3</v>
      </c>
      <c r="L801" s="21">
        <v>125.76</v>
      </c>
      <c r="M801" s="22">
        <v>0.03</v>
      </c>
      <c r="N801" s="21">
        <f t="shared" si="64"/>
        <v>121.9872</v>
      </c>
      <c r="O801" s="21">
        <v>365.96</v>
      </c>
      <c r="P801" s="19" t="s">
        <v>6</v>
      </c>
      <c r="Q801" s="23">
        <v>10</v>
      </c>
      <c r="R801" s="45">
        <v>3.3</v>
      </c>
    </row>
    <row r="802" spans="2:18" x14ac:dyDescent="0.2">
      <c r="B802" s="25">
        <v>799</v>
      </c>
      <c r="C802" s="18">
        <v>44629</v>
      </c>
      <c r="D802" s="24">
        <f t="shared" si="60"/>
        <v>2022</v>
      </c>
      <c r="E802" s="24" t="str">
        <f t="shared" si="61"/>
        <v>Q1</v>
      </c>
      <c r="F802" s="24" t="str">
        <f t="shared" si="62"/>
        <v>Mar</v>
      </c>
      <c r="G802" s="24">
        <f t="shared" si="63"/>
        <v>3</v>
      </c>
      <c r="H802" s="19">
        <v>1563</v>
      </c>
      <c r="I802" s="19" t="s">
        <v>7</v>
      </c>
      <c r="J802" s="19" t="s">
        <v>1</v>
      </c>
      <c r="K802" s="20">
        <v>3</v>
      </c>
      <c r="L802" s="21">
        <v>138.74</v>
      </c>
      <c r="M802" s="22">
        <v>0.25</v>
      </c>
      <c r="N802" s="21">
        <f t="shared" si="64"/>
        <v>104.05500000000001</v>
      </c>
      <c r="O802" s="21">
        <v>312.17</v>
      </c>
      <c r="P802" s="19" t="s">
        <v>2</v>
      </c>
      <c r="Q802" s="23">
        <v>4</v>
      </c>
      <c r="R802" s="45">
        <v>2.4</v>
      </c>
    </row>
    <row r="803" spans="2:18" x14ac:dyDescent="0.2">
      <c r="B803" s="25">
        <v>800</v>
      </c>
      <c r="C803" s="18">
        <v>44630</v>
      </c>
      <c r="D803" s="24">
        <f t="shared" si="60"/>
        <v>2022</v>
      </c>
      <c r="E803" s="24" t="str">
        <f t="shared" si="61"/>
        <v>Q1</v>
      </c>
      <c r="F803" s="24" t="str">
        <f t="shared" si="62"/>
        <v>Mar</v>
      </c>
      <c r="G803" s="24">
        <f t="shared" si="63"/>
        <v>3</v>
      </c>
      <c r="H803" s="19">
        <v>1850</v>
      </c>
      <c r="I803" s="19" t="s">
        <v>7</v>
      </c>
      <c r="J803" s="19" t="s">
        <v>5</v>
      </c>
      <c r="K803" s="20">
        <v>6</v>
      </c>
      <c r="L803" s="21">
        <v>340.78</v>
      </c>
      <c r="M803" s="22">
        <v>0.19</v>
      </c>
      <c r="N803" s="21">
        <f t="shared" si="64"/>
        <v>276.03179999999998</v>
      </c>
      <c r="O803" s="21">
        <v>1656.19</v>
      </c>
      <c r="P803" s="19" t="s">
        <v>6</v>
      </c>
      <c r="Q803" s="23">
        <v>8</v>
      </c>
      <c r="R803" s="45">
        <v>4.0999999999999996</v>
      </c>
    </row>
    <row r="804" spans="2:18" x14ac:dyDescent="0.2">
      <c r="B804" s="25">
        <v>801</v>
      </c>
      <c r="C804" s="18">
        <v>44631</v>
      </c>
      <c r="D804" s="24">
        <f t="shared" si="60"/>
        <v>2022</v>
      </c>
      <c r="E804" s="24" t="str">
        <f t="shared" si="61"/>
        <v>Q1</v>
      </c>
      <c r="F804" s="24" t="str">
        <f t="shared" si="62"/>
        <v>Mar</v>
      </c>
      <c r="G804" s="24">
        <f t="shared" si="63"/>
        <v>3</v>
      </c>
      <c r="H804" s="19">
        <v>1505</v>
      </c>
      <c r="I804" s="19" t="s">
        <v>10</v>
      </c>
      <c r="J804" s="19" t="s">
        <v>1</v>
      </c>
      <c r="K804" s="20">
        <v>4</v>
      </c>
      <c r="L804" s="21">
        <v>475.43</v>
      </c>
      <c r="M804" s="22">
        <v>0.01</v>
      </c>
      <c r="N804" s="21">
        <f t="shared" si="64"/>
        <v>470.67570000000001</v>
      </c>
      <c r="O804" s="21">
        <v>1882.7</v>
      </c>
      <c r="P804" s="19" t="s">
        <v>4</v>
      </c>
      <c r="Q804" s="23">
        <v>11</v>
      </c>
      <c r="R804" s="45">
        <v>3.7</v>
      </c>
    </row>
    <row r="805" spans="2:18" x14ac:dyDescent="0.2">
      <c r="B805" s="25">
        <v>802</v>
      </c>
      <c r="C805" s="18">
        <v>44632</v>
      </c>
      <c r="D805" s="24">
        <f t="shared" si="60"/>
        <v>2022</v>
      </c>
      <c r="E805" s="24" t="str">
        <f t="shared" si="61"/>
        <v>Q1</v>
      </c>
      <c r="F805" s="24" t="str">
        <f t="shared" si="62"/>
        <v>Mar</v>
      </c>
      <c r="G805" s="24">
        <f t="shared" si="63"/>
        <v>3</v>
      </c>
      <c r="H805" s="19">
        <v>1366</v>
      </c>
      <c r="I805" s="19" t="s">
        <v>7</v>
      </c>
      <c r="J805" s="19" t="s">
        <v>9</v>
      </c>
      <c r="K805" s="20">
        <v>3</v>
      </c>
      <c r="L805" s="21">
        <v>198.87</v>
      </c>
      <c r="M805" s="22">
        <v>0.09</v>
      </c>
      <c r="N805" s="21">
        <f t="shared" si="64"/>
        <v>180.9717</v>
      </c>
      <c r="O805" s="21">
        <v>542.91999999999996</v>
      </c>
      <c r="P805" s="19" t="s">
        <v>4</v>
      </c>
      <c r="Q805" s="23">
        <v>4</v>
      </c>
      <c r="R805" s="45">
        <v>1</v>
      </c>
    </row>
    <row r="806" spans="2:18" x14ac:dyDescent="0.2">
      <c r="B806" s="25">
        <v>803</v>
      </c>
      <c r="C806" s="18">
        <v>44633</v>
      </c>
      <c r="D806" s="24">
        <f t="shared" si="60"/>
        <v>2022</v>
      </c>
      <c r="E806" s="24" t="str">
        <f t="shared" si="61"/>
        <v>Q1</v>
      </c>
      <c r="F806" s="24" t="str">
        <f t="shared" si="62"/>
        <v>Mar</v>
      </c>
      <c r="G806" s="24">
        <f t="shared" si="63"/>
        <v>3</v>
      </c>
      <c r="H806" s="19">
        <v>1143</v>
      </c>
      <c r="I806" s="19" t="s">
        <v>3</v>
      </c>
      <c r="J806" s="19" t="s">
        <v>5</v>
      </c>
      <c r="K806" s="20">
        <v>5</v>
      </c>
      <c r="L806" s="21">
        <v>64.53</v>
      </c>
      <c r="M806" s="22">
        <v>0.32</v>
      </c>
      <c r="N806" s="21">
        <f t="shared" si="64"/>
        <v>43.880400000000002</v>
      </c>
      <c r="O806" s="21">
        <v>219.4</v>
      </c>
      <c r="P806" s="19" t="s">
        <v>4</v>
      </c>
      <c r="Q806" s="23">
        <v>9</v>
      </c>
      <c r="R806" s="45">
        <v>4.5</v>
      </c>
    </row>
    <row r="807" spans="2:18" x14ac:dyDescent="0.2">
      <c r="B807" s="25">
        <v>804</v>
      </c>
      <c r="C807" s="18">
        <v>44634</v>
      </c>
      <c r="D807" s="24">
        <f t="shared" si="60"/>
        <v>2022</v>
      </c>
      <c r="E807" s="24" t="str">
        <f t="shared" si="61"/>
        <v>Q1</v>
      </c>
      <c r="F807" s="24" t="str">
        <f t="shared" si="62"/>
        <v>Mar</v>
      </c>
      <c r="G807" s="24">
        <f t="shared" si="63"/>
        <v>3</v>
      </c>
      <c r="H807" s="19">
        <v>1884</v>
      </c>
      <c r="I807" s="19" t="s">
        <v>7</v>
      </c>
      <c r="J807" s="19" t="s">
        <v>1</v>
      </c>
      <c r="K807" s="20">
        <v>6</v>
      </c>
      <c r="L807" s="21">
        <v>286.76</v>
      </c>
      <c r="M807" s="22">
        <v>0.32</v>
      </c>
      <c r="N807" s="21">
        <f t="shared" si="64"/>
        <v>194.99680000000001</v>
      </c>
      <c r="O807" s="21">
        <v>1169.98</v>
      </c>
      <c r="P807" s="19" t="s">
        <v>6</v>
      </c>
      <c r="Q807" s="23">
        <v>11</v>
      </c>
      <c r="R807" s="45">
        <v>2.6</v>
      </c>
    </row>
    <row r="808" spans="2:18" x14ac:dyDescent="0.2">
      <c r="B808" s="25">
        <v>805</v>
      </c>
      <c r="C808" s="18">
        <v>44635</v>
      </c>
      <c r="D808" s="24">
        <f t="shared" si="60"/>
        <v>2022</v>
      </c>
      <c r="E808" s="24" t="str">
        <f t="shared" si="61"/>
        <v>Q1</v>
      </c>
      <c r="F808" s="24" t="str">
        <f t="shared" si="62"/>
        <v>Mar</v>
      </c>
      <c r="G808" s="24">
        <f t="shared" si="63"/>
        <v>3</v>
      </c>
      <c r="H808" s="19">
        <v>1068</v>
      </c>
      <c r="I808" s="19" t="s">
        <v>10</v>
      </c>
      <c r="J808" s="19" t="s">
        <v>5</v>
      </c>
      <c r="K808" s="20">
        <v>5</v>
      </c>
      <c r="L808" s="21">
        <v>452.64</v>
      </c>
      <c r="M808" s="22">
        <v>0.28000000000000003</v>
      </c>
      <c r="N808" s="21">
        <f t="shared" si="64"/>
        <v>325.9008</v>
      </c>
      <c r="O808" s="21">
        <v>1629.5</v>
      </c>
      <c r="P808" s="19" t="s">
        <v>4</v>
      </c>
      <c r="Q808" s="23">
        <v>8</v>
      </c>
      <c r="R808" s="45">
        <v>3.6</v>
      </c>
    </row>
    <row r="809" spans="2:18" x14ac:dyDescent="0.2">
      <c r="B809" s="25">
        <v>806</v>
      </c>
      <c r="C809" s="18">
        <v>44636</v>
      </c>
      <c r="D809" s="24">
        <f t="shared" si="60"/>
        <v>2022</v>
      </c>
      <c r="E809" s="24" t="str">
        <f t="shared" si="61"/>
        <v>Q1</v>
      </c>
      <c r="F809" s="24" t="str">
        <f t="shared" si="62"/>
        <v>Mar</v>
      </c>
      <c r="G809" s="24">
        <f t="shared" si="63"/>
        <v>3</v>
      </c>
      <c r="H809" s="19">
        <v>1098</v>
      </c>
      <c r="I809" s="19" t="s">
        <v>10</v>
      </c>
      <c r="J809" s="19" t="s">
        <v>9</v>
      </c>
      <c r="K809" s="20">
        <v>6</v>
      </c>
      <c r="L809" s="21">
        <v>144.66999999999999</v>
      </c>
      <c r="M809" s="22">
        <v>0.34</v>
      </c>
      <c r="N809" s="21">
        <f t="shared" si="64"/>
        <v>95.482199999999992</v>
      </c>
      <c r="O809" s="21">
        <v>572.89</v>
      </c>
      <c r="P809" s="19" t="s">
        <v>4</v>
      </c>
      <c r="Q809" s="23">
        <v>5</v>
      </c>
      <c r="R809" s="45">
        <v>2.6</v>
      </c>
    </row>
    <row r="810" spans="2:18" x14ac:dyDescent="0.2">
      <c r="B810" s="25">
        <v>807</v>
      </c>
      <c r="C810" s="18">
        <v>44637</v>
      </c>
      <c r="D810" s="24">
        <f t="shared" si="60"/>
        <v>2022</v>
      </c>
      <c r="E810" s="24" t="str">
        <f t="shared" si="61"/>
        <v>Q1</v>
      </c>
      <c r="F810" s="24" t="str">
        <f t="shared" si="62"/>
        <v>Mar</v>
      </c>
      <c r="G810" s="24">
        <f t="shared" si="63"/>
        <v>3</v>
      </c>
      <c r="H810" s="19">
        <v>1395</v>
      </c>
      <c r="I810" s="19" t="s">
        <v>10</v>
      </c>
      <c r="J810" s="19" t="s">
        <v>1</v>
      </c>
      <c r="K810" s="20">
        <v>5</v>
      </c>
      <c r="L810" s="21">
        <v>143.66</v>
      </c>
      <c r="M810" s="22">
        <v>0.28000000000000003</v>
      </c>
      <c r="N810" s="21">
        <f t="shared" si="64"/>
        <v>103.43519999999999</v>
      </c>
      <c r="O810" s="21">
        <v>517.17999999999995</v>
      </c>
      <c r="P810" s="19" t="s">
        <v>2</v>
      </c>
      <c r="Q810" s="23">
        <v>9</v>
      </c>
      <c r="R810" s="45">
        <v>4.5</v>
      </c>
    </row>
    <row r="811" spans="2:18" x14ac:dyDescent="0.2">
      <c r="B811" s="25">
        <v>808</v>
      </c>
      <c r="C811" s="18">
        <v>44638</v>
      </c>
      <c r="D811" s="24">
        <f t="shared" si="60"/>
        <v>2022</v>
      </c>
      <c r="E811" s="24" t="str">
        <f t="shared" si="61"/>
        <v>Q1</v>
      </c>
      <c r="F811" s="24" t="str">
        <f t="shared" si="62"/>
        <v>Mar</v>
      </c>
      <c r="G811" s="24">
        <f t="shared" si="63"/>
        <v>3</v>
      </c>
      <c r="H811" s="19">
        <v>1024</v>
      </c>
      <c r="I811" s="19" t="s">
        <v>10</v>
      </c>
      <c r="J811" s="19" t="s">
        <v>5</v>
      </c>
      <c r="K811" s="20">
        <v>4</v>
      </c>
      <c r="L811" s="21">
        <v>569.13</v>
      </c>
      <c r="M811" s="22">
        <v>0</v>
      </c>
      <c r="N811" s="21">
        <f t="shared" si="64"/>
        <v>569.13</v>
      </c>
      <c r="O811" s="21">
        <v>2276.52</v>
      </c>
      <c r="P811" s="19" t="s">
        <v>4</v>
      </c>
      <c r="Q811" s="23">
        <v>8</v>
      </c>
      <c r="R811" s="45">
        <v>3.6</v>
      </c>
    </row>
    <row r="812" spans="2:18" x14ac:dyDescent="0.2">
      <c r="B812" s="25">
        <v>809</v>
      </c>
      <c r="C812" s="18">
        <v>44639</v>
      </c>
      <c r="D812" s="24">
        <f t="shared" si="60"/>
        <v>2022</v>
      </c>
      <c r="E812" s="24" t="str">
        <f t="shared" si="61"/>
        <v>Q1</v>
      </c>
      <c r="F812" s="24" t="str">
        <f t="shared" si="62"/>
        <v>Mar</v>
      </c>
      <c r="G812" s="24">
        <f t="shared" si="63"/>
        <v>3</v>
      </c>
      <c r="H812" s="19">
        <v>1947</v>
      </c>
      <c r="I812" s="19" t="s">
        <v>7</v>
      </c>
      <c r="J812" s="19" t="s">
        <v>5</v>
      </c>
      <c r="K812" s="20">
        <v>6</v>
      </c>
      <c r="L812" s="21">
        <v>573.17999999999995</v>
      </c>
      <c r="M812" s="22">
        <v>0.1</v>
      </c>
      <c r="N812" s="21">
        <f t="shared" si="64"/>
        <v>515.86199999999997</v>
      </c>
      <c r="O812" s="21">
        <v>3095.17</v>
      </c>
      <c r="P812" s="19" t="s">
        <v>6</v>
      </c>
      <c r="Q812" s="23">
        <v>10</v>
      </c>
      <c r="R812" s="45">
        <v>3.3</v>
      </c>
    </row>
    <row r="813" spans="2:18" x14ac:dyDescent="0.2">
      <c r="B813" s="25">
        <v>810</v>
      </c>
      <c r="C813" s="18">
        <v>44640</v>
      </c>
      <c r="D813" s="24">
        <f t="shared" si="60"/>
        <v>2022</v>
      </c>
      <c r="E813" s="24" t="str">
        <f t="shared" si="61"/>
        <v>Q1</v>
      </c>
      <c r="F813" s="24" t="str">
        <f t="shared" si="62"/>
        <v>Mar</v>
      </c>
      <c r="G813" s="24">
        <f t="shared" si="63"/>
        <v>3</v>
      </c>
      <c r="H813" s="19">
        <v>1890</v>
      </c>
      <c r="I813" s="19" t="s">
        <v>7</v>
      </c>
      <c r="J813" s="19" t="s">
        <v>1</v>
      </c>
      <c r="K813" s="20">
        <v>7</v>
      </c>
      <c r="L813" s="21">
        <v>594.41999999999996</v>
      </c>
      <c r="M813" s="22">
        <v>0.01</v>
      </c>
      <c r="N813" s="21">
        <f t="shared" si="64"/>
        <v>588.47579999999994</v>
      </c>
      <c r="O813" s="21">
        <v>4119.33</v>
      </c>
      <c r="P813" s="19" t="s">
        <v>4</v>
      </c>
      <c r="Q813" s="23">
        <v>4</v>
      </c>
      <c r="R813" s="45">
        <v>4.9000000000000004</v>
      </c>
    </row>
    <row r="814" spans="2:18" x14ac:dyDescent="0.2">
      <c r="B814" s="25">
        <v>811</v>
      </c>
      <c r="C814" s="18">
        <v>44641</v>
      </c>
      <c r="D814" s="24">
        <f t="shared" si="60"/>
        <v>2022</v>
      </c>
      <c r="E814" s="24" t="str">
        <f t="shared" si="61"/>
        <v>Q1</v>
      </c>
      <c r="F814" s="24" t="str">
        <f t="shared" si="62"/>
        <v>Mar</v>
      </c>
      <c r="G814" s="24">
        <f t="shared" si="63"/>
        <v>3</v>
      </c>
      <c r="H814" s="19">
        <v>1468</v>
      </c>
      <c r="I814" s="19" t="s">
        <v>10</v>
      </c>
      <c r="J814" s="19" t="s">
        <v>5</v>
      </c>
      <c r="K814" s="20">
        <v>2</v>
      </c>
      <c r="L814" s="21">
        <v>487.48</v>
      </c>
      <c r="M814" s="22">
        <v>0.03</v>
      </c>
      <c r="N814" s="21">
        <f t="shared" si="64"/>
        <v>472.85560000000004</v>
      </c>
      <c r="O814" s="21">
        <v>945.71</v>
      </c>
      <c r="P814" s="19" t="s">
        <v>4</v>
      </c>
      <c r="Q814" s="23">
        <v>4</v>
      </c>
      <c r="R814" s="45">
        <v>2.1</v>
      </c>
    </row>
    <row r="815" spans="2:18" x14ac:dyDescent="0.2">
      <c r="B815" s="25">
        <v>812</v>
      </c>
      <c r="C815" s="18">
        <v>44642</v>
      </c>
      <c r="D815" s="24">
        <f t="shared" si="60"/>
        <v>2022</v>
      </c>
      <c r="E815" s="24" t="str">
        <f t="shared" si="61"/>
        <v>Q1</v>
      </c>
      <c r="F815" s="24" t="str">
        <f t="shared" si="62"/>
        <v>Mar</v>
      </c>
      <c r="G815" s="24">
        <f t="shared" si="63"/>
        <v>3</v>
      </c>
      <c r="H815" s="19">
        <v>1483</v>
      </c>
      <c r="I815" s="19" t="s">
        <v>3</v>
      </c>
      <c r="J815" s="19" t="s">
        <v>5</v>
      </c>
      <c r="K815" s="20">
        <v>4</v>
      </c>
      <c r="L815" s="21">
        <v>125.09</v>
      </c>
      <c r="M815" s="22">
        <v>0.08</v>
      </c>
      <c r="N815" s="21">
        <f t="shared" si="64"/>
        <v>115.08280000000001</v>
      </c>
      <c r="O815" s="21">
        <v>460.33</v>
      </c>
      <c r="P815" s="19" t="s">
        <v>4</v>
      </c>
      <c r="Q815" s="23">
        <v>1</v>
      </c>
      <c r="R815" s="45">
        <v>1.3</v>
      </c>
    </row>
    <row r="816" spans="2:18" x14ac:dyDescent="0.2">
      <c r="B816" s="25">
        <v>813</v>
      </c>
      <c r="C816" s="18">
        <v>44643</v>
      </c>
      <c r="D816" s="24">
        <f t="shared" si="60"/>
        <v>2022</v>
      </c>
      <c r="E816" s="24" t="str">
        <f t="shared" si="61"/>
        <v>Q1</v>
      </c>
      <c r="F816" s="24" t="str">
        <f t="shared" si="62"/>
        <v>Mar</v>
      </c>
      <c r="G816" s="24">
        <f t="shared" si="63"/>
        <v>3</v>
      </c>
      <c r="H816" s="19">
        <v>1564</v>
      </c>
      <c r="I816" s="19" t="s">
        <v>3</v>
      </c>
      <c r="J816" s="19" t="s">
        <v>9</v>
      </c>
      <c r="K816" s="20">
        <v>5</v>
      </c>
      <c r="L816" s="21">
        <v>139.01</v>
      </c>
      <c r="M816" s="22">
        <v>0.18</v>
      </c>
      <c r="N816" s="21">
        <f t="shared" si="64"/>
        <v>113.98819999999999</v>
      </c>
      <c r="O816" s="21">
        <v>569.94000000000005</v>
      </c>
      <c r="P816" s="19" t="s">
        <v>4</v>
      </c>
      <c r="Q816" s="23">
        <v>4</v>
      </c>
      <c r="R816" s="45">
        <v>3.1</v>
      </c>
    </row>
    <row r="817" spans="2:18" x14ac:dyDescent="0.2">
      <c r="B817" s="25">
        <v>814</v>
      </c>
      <c r="C817" s="18">
        <v>44644</v>
      </c>
      <c r="D817" s="24">
        <f t="shared" si="60"/>
        <v>2022</v>
      </c>
      <c r="E817" s="24" t="str">
        <f t="shared" si="61"/>
        <v>Q1</v>
      </c>
      <c r="F817" s="24" t="str">
        <f t="shared" si="62"/>
        <v>Mar</v>
      </c>
      <c r="G817" s="24">
        <f t="shared" si="63"/>
        <v>3</v>
      </c>
      <c r="H817" s="19">
        <v>1150</v>
      </c>
      <c r="I817" s="19" t="s">
        <v>7</v>
      </c>
      <c r="J817" s="19" t="s">
        <v>9</v>
      </c>
      <c r="K817" s="20">
        <v>6</v>
      </c>
      <c r="L817" s="21">
        <v>214.03</v>
      </c>
      <c r="M817" s="22">
        <v>0.3</v>
      </c>
      <c r="N817" s="21">
        <f t="shared" si="64"/>
        <v>149.821</v>
      </c>
      <c r="O817" s="21">
        <v>898.93</v>
      </c>
      <c r="P817" s="19" t="s">
        <v>2</v>
      </c>
      <c r="Q817" s="23">
        <v>8</v>
      </c>
      <c r="R817" s="45">
        <v>2.7</v>
      </c>
    </row>
    <row r="818" spans="2:18" x14ac:dyDescent="0.2">
      <c r="B818" s="25">
        <v>815</v>
      </c>
      <c r="C818" s="18">
        <v>44645</v>
      </c>
      <c r="D818" s="24">
        <f t="shared" si="60"/>
        <v>2022</v>
      </c>
      <c r="E818" s="24" t="str">
        <f t="shared" si="61"/>
        <v>Q1</v>
      </c>
      <c r="F818" s="24" t="str">
        <f t="shared" si="62"/>
        <v>Mar</v>
      </c>
      <c r="G818" s="24">
        <f t="shared" si="63"/>
        <v>3</v>
      </c>
      <c r="H818" s="19">
        <v>1143</v>
      </c>
      <c r="I818" s="19" t="s">
        <v>7</v>
      </c>
      <c r="J818" s="19" t="s">
        <v>9</v>
      </c>
      <c r="K818" s="20">
        <v>4</v>
      </c>
      <c r="L818" s="21">
        <v>201.11</v>
      </c>
      <c r="M818" s="22">
        <v>0.3</v>
      </c>
      <c r="N818" s="21">
        <f t="shared" si="64"/>
        <v>140.77700000000002</v>
      </c>
      <c r="O818" s="21">
        <v>563.11</v>
      </c>
      <c r="P818" s="19" t="s">
        <v>4</v>
      </c>
      <c r="Q818" s="23">
        <v>5</v>
      </c>
      <c r="R818" s="45">
        <v>2.8</v>
      </c>
    </row>
    <row r="819" spans="2:18" x14ac:dyDescent="0.2">
      <c r="B819" s="25">
        <v>816</v>
      </c>
      <c r="C819" s="18">
        <v>44646</v>
      </c>
      <c r="D819" s="24">
        <f t="shared" si="60"/>
        <v>2022</v>
      </c>
      <c r="E819" s="24" t="str">
        <f t="shared" si="61"/>
        <v>Q1</v>
      </c>
      <c r="F819" s="24" t="str">
        <f t="shared" si="62"/>
        <v>Mar</v>
      </c>
      <c r="G819" s="24">
        <f t="shared" si="63"/>
        <v>3</v>
      </c>
      <c r="H819" s="19">
        <v>1568</v>
      </c>
      <c r="I819" s="19" t="s">
        <v>7</v>
      </c>
      <c r="J819" s="19" t="s">
        <v>9</v>
      </c>
      <c r="K819" s="20">
        <v>5</v>
      </c>
      <c r="L819" s="21">
        <v>574.57000000000005</v>
      </c>
      <c r="M819" s="22">
        <v>0.22</v>
      </c>
      <c r="N819" s="21">
        <f t="shared" si="64"/>
        <v>448.16460000000006</v>
      </c>
      <c r="O819" s="21">
        <v>2240.8200000000002</v>
      </c>
      <c r="P819" s="19" t="s">
        <v>4</v>
      </c>
      <c r="Q819" s="23">
        <v>6</v>
      </c>
      <c r="R819" s="45">
        <v>3.5</v>
      </c>
    </row>
    <row r="820" spans="2:18" x14ac:dyDescent="0.2">
      <c r="B820" s="25">
        <v>817</v>
      </c>
      <c r="C820" s="18">
        <v>44647</v>
      </c>
      <c r="D820" s="24">
        <f t="shared" si="60"/>
        <v>2022</v>
      </c>
      <c r="E820" s="24" t="str">
        <f t="shared" si="61"/>
        <v>Q1</v>
      </c>
      <c r="F820" s="24" t="str">
        <f t="shared" si="62"/>
        <v>Mar</v>
      </c>
      <c r="G820" s="24">
        <f t="shared" si="63"/>
        <v>3</v>
      </c>
      <c r="H820" s="19">
        <v>1038</v>
      </c>
      <c r="I820" s="19" t="s">
        <v>0</v>
      </c>
      <c r="J820" s="19" t="s">
        <v>9</v>
      </c>
      <c r="K820" s="20">
        <v>1</v>
      </c>
      <c r="L820" s="21">
        <v>476.61</v>
      </c>
      <c r="M820" s="22">
        <v>0.32</v>
      </c>
      <c r="N820" s="21">
        <f t="shared" si="64"/>
        <v>324.09479999999996</v>
      </c>
      <c r="O820" s="21">
        <v>324.08999999999997</v>
      </c>
      <c r="P820" s="19" t="s">
        <v>6</v>
      </c>
      <c r="Q820" s="23">
        <v>4</v>
      </c>
      <c r="R820" s="45">
        <v>3.5</v>
      </c>
    </row>
    <row r="821" spans="2:18" x14ac:dyDescent="0.2">
      <c r="B821" s="25">
        <v>818</v>
      </c>
      <c r="C821" s="18">
        <v>44648</v>
      </c>
      <c r="D821" s="24">
        <f t="shared" si="60"/>
        <v>2022</v>
      </c>
      <c r="E821" s="24" t="str">
        <f t="shared" si="61"/>
        <v>Q1</v>
      </c>
      <c r="F821" s="24" t="str">
        <f t="shared" si="62"/>
        <v>Mar</v>
      </c>
      <c r="G821" s="24">
        <f t="shared" si="63"/>
        <v>3</v>
      </c>
      <c r="H821" s="19">
        <v>1108</v>
      </c>
      <c r="I821" s="19" t="s">
        <v>7</v>
      </c>
      <c r="J821" s="19" t="s">
        <v>9</v>
      </c>
      <c r="K821" s="20">
        <v>1</v>
      </c>
      <c r="L821" s="21">
        <v>438.55</v>
      </c>
      <c r="M821" s="22">
        <v>0.18</v>
      </c>
      <c r="N821" s="21">
        <f t="shared" si="64"/>
        <v>359.61099999999999</v>
      </c>
      <c r="O821" s="21">
        <v>359.61</v>
      </c>
      <c r="P821" s="19" t="s">
        <v>6</v>
      </c>
      <c r="Q821" s="23">
        <v>5</v>
      </c>
      <c r="R821" s="45">
        <v>2.6</v>
      </c>
    </row>
    <row r="822" spans="2:18" x14ac:dyDescent="0.2">
      <c r="B822" s="25">
        <v>819</v>
      </c>
      <c r="C822" s="18">
        <v>44649</v>
      </c>
      <c r="D822" s="24">
        <f t="shared" si="60"/>
        <v>2022</v>
      </c>
      <c r="E822" s="24" t="str">
        <f t="shared" si="61"/>
        <v>Q1</v>
      </c>
      <c r="F822" s="24" t="str">
        <f t="shared" si="62"/>
        <v>Mar</v>
      </c>
      <c r="G822" s="24">
        <f t="shared" si="63"/>
        <v>3</v>
      </c>
      <c r="H822" s="19">
        <v>1692</v>
      </c>
      <c r="I822" s="19" t="s">
        <v>3</v>
      </c>
      <c r="J822" s="19" t="s">
        <v>1</v>
      </c>
      <c r="K822" s="20">
        <v>3</v>
      </c>
      <c r="L822" s="21">
        <v>123.79</v>
      </c>
      <c r="M822" s="22">
        <v>0.31</v>
      </c>
      <c r="N822" s="21">
        <f t="shared" si="64"/>
        <v>85.415099999999995</v>
      </c>
      <c r="O822" s="21">
        <v>256.25</v>
      </c>
      <c r="P822" s="19" t="s">
        <v>6</v>
      </c>
      <c r="Q822" s="23">
        <v>10</v>
      </c>
      <c r="R822" s="45">
        <v>4.5</v>
      </c>
    </row>
    <row r="823" spans="2:18" x14ac:dyDescent="0.2">
      <c r="B823" s="25">
        <v>820</v>
      </c>
      <c r="C823" s="18">
        <v>44650</v>
      </c>
      <c r="D823" s="24">
        <f t="shared" si="60"/>
        <v>2022</v>
      </c>
      <c r="E823" s="24" t="str">
        <f t="shared" si="61"/>
        <v>Q1</v>
      </c>
      <c r="F823" s="24" t="str">
        <f t="shared" si="62"/>
        <v>Mar</v>
      </c>
      <c r="G823" s="24">
        <f t="shared" si="63"/>
        <v>3</v>
      </c>
      <c r="H823" s="19">
        <v>1041</v>
      </c>
      <c r="I823" s="19" t="s">
        <v>7</v>
      </c>
      <c r="J823" s="19" t="s">
        <v>9</v>
      </c>
      <c r="K823" s="20">
        <v>2</v>
      </c>
      <c r="L823" s="21">
        <v>547.07000000000005</v>
      </c>
      <c r="M823" s="22">
        <v>0.16</v>
      </c>
      <c r="N823" s="21">
        <f t="shared" si="64"/>
        <v>459.53880000000004</v>
      </c>
      <c r="O823" s="21">
        <v>919.08</v>
      </c>
      <c r="P823" s="19" t="s">
        <v>2</v>
      </c>
      <c r="Q823" s="23">
        <v>8</v>
      </c>
      <c r="R823" s="45">
        <v>3.6</v>
      </c>
    </row>
    <row r="824" spans="2:18" x14ac:dyDescent="0.2">
      <c r="B824" s="25">
        <v>821</v>
      </c>
      <c r="C824" s="18">
        <v>44651</v>
      </c>
      <c r="D824" s="24">
        <f t="shared" si="60"/>
        <v>2022</v>
      </c>
      <c r="E824" s="24" t="str">
        <f t="shared" si="61"/>
        <v>Q1</v>
      </c>
      <c r="F824" s="24" t="str">
        <f t="shared" si="62"/>
        <v>Mar</v>
      </c>
      <c r="G824" s="24">
        <f t="shared" si="63"/>
        <v>3</v>
      </c>
      <c r="H824" s="19">
        <v>1185</v>
      </c>
      <c r="I824" s="19" t="s">
        <v>10</v>
      </c>
      <c r="J824" s="19" t="s">
        <v>5</v>
      </c>
      <c r="K824" s="20">
        <v>1</v>
      </c>
      <c r="L824" s="21">
        <v>499.3</v>
      </c>
      <c r="M824" s="22">
        <v>0.1</v>
      </c>
      <c r="N824" s="21">
        <f t="shared" si="64"/>
        <v>449.37</v>
      </c>
      <c r="O824" s="21">
        <v>449.37</v>
      </c>
      <c r="P824" s="19" t="s">
        <v>6</v>
      </c>
      <c r="Q824" s="23">
        <v>9</v>
      </c>
      <c r="R824" s="45">
        <v>4.5999999999999996</v>
      </c>
    </row>
    <row r="825" spans="2:18" x14ac:dyDescent="0.2">
      <c r="B825" s="25">
        <v>822</v>
      </c>
      <c r="C825" s="18">
        <v>44652</v>
      </c>
      <c r="D825" s="24">
        <f t="shared" si="60"/>
        <v>2022</v>
      </c>
      <c r="E825" s="24" t="str">
        <f t="shared" si="61"/>
        <v>Q2</v>
      </c>
      <c r="F825" s="24" t="str">
        <f t="shared" si="62"/>
        <v>Apr</v>
      </c>
      <c r="G825" s="24">
        <f t="shared" si="63"/>
        <v>4</v>
      </c>
      <c r="H825" s="19">
        <v>1934</v>
      </c>
      <c r="I825" s="19" t="s">
        <v>7</v>
      </c>
      <c r="J825" s="19" t="s">
        <v>1</v>
      </c>
      <c r="K825" s="20">
        <v>7</v>
      </c>
      <c r="L825" s="21">
        <v>110.73</v>
      </c>
      <c r="M825" s="22">
        <v>0.32</v>
      </c>
      <c r="N825" s="21">
        <f t="shared" si="64"/>
        <v>75.296400000000006</v>
      </c>
      <c r="O825" s="21">
        <v>527.07000000000005</v>
      </c>
      <c r="P825" s="19" t="s">
        <v>4</v>
      </c>
      <c r="Q825" s="23">
        <v>3</v>
      </c>
      <c r="R825" s="45">
        <v>4.7</v>
      </c>
    </row>
    <row r="826" spans="2:18" x14ac:dyDescent="0.2">
      <c r="B826" s="25">
        <v>823</v>
      </c>
      <c r="C826" s="18">
        <v>44653</v>
      </c>
      <c r="D826" s="24">
        <f t="shared" si="60"/>
        <v>2022</v>
      </c>
      <c r="E826" s="24" t="str">
        <f t="shared" si="61"/>
        <v>Q2</v>
      </c>
      <c r="F826" s="24" t="str">
        <f t="shared" si="62"/>
        <v>Apr</v>
      </c>
      <c r="G826" s="24">
        <f t="shared" si="63"/>
        <v>4</v>
      </c>
      <c r="H826" s="19">
        <v>1397</v>
      </c>
      <c r="I826" s="19" t="s">
        <v>0</v>
      </c>
      <c r="J826" s="19" t="s">
        <v>5</v>
      </c>
      <c r="K826" s="20">
        <v>5</v>
      </c>
      <c r="L826" s="21">
        <v>524.63</v>
      </c>
      <c r="M826" s="22">
        <v>0.14000000000000001</v>
      </c>
      <c r="N826" s="21">
        <f t="shared" si="64"/>
        <v>451.18180000000001</v>
      </c>
      <c r="O826" s="21">
        <v>2255.91</v>
      </c>
      <c r="P826" s="19" t="s">
        <v>2</v>
      </c>
      <c r="Q826" s="23">
        <v>10</v>
      </c>
      <c r="R826" s="45">
        <v>1.7</v>
      </c>
    </row>
    <row r="827" spans="2:18" x14ac:dyDescent="0.2">
      <c r="B827" s="25">
        <v>824</v>
      </c>
      <c r="C827" s="18">
        <v>44654</v>
      </c>
      <c r="D827" s="24">
        <f t="shared" si="60"/>
        <v>2022</v>
      </c>
      <c r="E827" s="24" t="str">
        <f t="shared" si="61"/>
        <v>Q2</v>
      </c>
      <c r="F827" s="24" t="str">
        <f t="shared" si="62"/>
        <v>Apr</v>
      </c>
      <c r="G827" s="24">
        <f t="shared" si="63"/>
        <v>4</v>
      </c>
      <c r="H827" s="19">
        <v>1222</v>
      </c>
      <c r="I827" s="19" t="s">
        <v>0</v>
      </c>
      <c r="J827" s="19" t="s">
        <v>9</v>
      </c>
      <c r="K827" s="20">
        <v>4</v>
      </c>
      <c r="L827" s="21">
        <v>174.26</v>
      </c>
      <c r="M827" s="22">
        <v>0.18</v>
      </c>
      <c r="N827" s="21">
        <f t="shared" si="64"/>
        <v>142.89319999999998</v>
      </c>
      <c r="O827" s="21">
        <v>571.57000000000005</v>
      </c>
      <c r="P827" s="19" t="s">
        <v>6</v>
      </c>
      <c r="Q827" s="23">
        <v>4</v>
      </c>
      <c r="R827" s="45">
        <v>3.7</v>
      </c>
    </row>
    <row r="828" spans="2:18" x14ac:dyDescent="0.2">
      <c r="B828" s="25">
        <v>825</v>
      </c>
      <c r="C828" s="18">
        <v>44655</v>
      </c>
      <c r="D828" s="24">
        <f t="shared" si="60"/>
        <v>2022</v>
      </c>
      <c r="E828" s="24" t="str">
        <f t="shared" si="61"/>
        <v>Q2</v>
      </c>
      <c r="F828" s="24" t="str">
        <f t="shared" si="62"/>
        <v>Apr</v>
      </c>
      <c r="G828" s="24">
        <f t="shared" si="63"/>
        <v>4</v>
      </c>
      <c r="H828" s="19">
        <v>1633</v>
      </c>
      <c r="I828" s="19" t="s">
        <v>7</v>
      </c>
      <c r="J828" s="19" t="s">
        <v>9</v>
      </c>
      <c r="K828" s="20">
        <v>6</v>
      </c>
      <c r="L828" s="21">
        <v>62.31</v>
      </c>
      <c r="M828" s="22">
        <v>0.12</v>
      </c>
      <c r="N828" s="21">
        <f t="shared" si="64"/>
        <v>54.832800000000006</v>
      </c>
      <c r="O828" s="21">
        <v>329</v>
      </c>
      <c r="P828" s="19" t="s">
        <v>4</v>
      </c>
      <c r="Q828" s="23">
        <v>1</v>
      </c>
      <c r="R828" s="45">
        <v>2.2999999999999998</v>
      </c>
    </row>
    <row r="829" spans="2:18" x14ac:dyDescent="0.2">
      <c r="B829" s="25">
        <v>826</v>
      </c>
      <c r="C829" s="18">
        <v>44656</v>
      </c>
      <c r="D829" s="24">
        <f t="shared" si="60"/>
        <v>2022</v>
      </c>
      <c r="E829" s="24" t="str">
        <f t="shared" si="61"/>
        <v>Q2</v>
      </c>
      <c r="F829" s="24" t="str">
        <f t="shared" si="62"/>
        <v>Apr</v>
      </c>
      <c r="G829" s="24">
        <f t="shared" si="63"/>
        <v>4</v>
      </c>
      <c r="H829" s="19">
        <v>1132</v>
      </c>
      <c r="I829" s="19" t="s">
        <v>0</v>
      </c>
      <c r="J829" s="19" t="s">
        <v>5</v>
      </c>
      <c r="K829" s="20">
        <v>4</v>
      </c>
      <c r="L829" s="21">
        <v>399.24</v>
      </c>
      <c r="M829" s="22">
        <v>0.23</v>
      </c>
      <c r="N829" s="21">
        <f t="shared" si="64"/>
        <v>307.41480000000001</v>
      </c>
      <c r="O829" s="21">
        <v>1229.6600000000001</v>
      </c>
      <c r="P829" s="19" t="s">
        <v>4</v>
      </c>
      <c r="Q829" s="23">
        <v>11</v>
      </c>
      <c r="R829" s="45">
        <v>4.3</v>
      </c>
    </row>
    <row r="830" spans="2:18" x14ac:dyDescent="0.2">
      <c r="B830" s="25">
        <v>827</v>
      </c>
      <c r="C830" s="18">
        <v>44657</v>
      </c>
      <c r="D830" s="24">
        <f t="shared" si="60"/>
        <v>2022</v>
      </c>
      <c r="E830" s="24" t="str">
        <f t="shared" si="61"/>
        <v>Q2</v>
      </c>
      <c r="F830" s="24" t="str">
        <f t="shared" si="62"/>
        <v>Apr</v>
      </c>
      <c r="G830" s="24">
        <f t="shared" si="63"/>
        <v>4</v>
      </c>
      <c r="H830" s="19">
        <v>1162</v>
      </c>
      <c r="I830" s="19" t="s">
        <v>0</v>
      </c>
      <c r="J830" s="19" t="s">
        <v>5</v>
      </c>
      <c r="K830" s="20">
        <v>3</v>
      </c>
      <c r="L830" s="21">
        <v>397.48</v>
      </c>
      <c r="M830" s="22">
        <v>0.35</v>
      </c>
      <c r="N830" s="21">
        <f t="shared" si="64"/>
        <v>258.36200000000002</v>
      </c>
      <c r="O830" s="21">
        <v>775.09</v>
      </c>
      <c r="P830" s="19" t="s">
        <v>4</v>
      </c>
      <c r="Q830" s="23">
        <v>5</v>
      </c>
      <c r="R830" s="45">
        <v>3.9</v>
      </c>
    </row>
    <row r="831" spans="2:18" x14ac:dyDescent="0.2">
      <c r="B831" s="25">
        <v>828</v>
      </c>
      <c r="C831" s="18">
        <v>44658</v>
      </c>
      <c r="D831" s="24">
        <f t="shared" si="60"/>
        <v>2022</v>
      </c>
      <c r="E831" s="24" t="str">
        <f t="shared" si="61"/>
        <v>Q2</v>
      </c>
      <c r="F831" s="24" t="str">
        <f t="shared" si="62"/>
        <v>Apr</v>
      </c>
      <c r="G831" s="24">
        <f t="shared" si="63"/>
        <v>4</v>
      </c>
      <c r="H831" s="19">
        <v>1214</v>
      </c>
      <c r="I831" s="19" t="s">
        <v>10</v>
      </c>
      <c r="J831" s="19" t="s">
        <v>5</v>
      </c>
      <c r="K831" s="20">
        <v>4</v>
      </c>
      <c r="L831" s="21">
        <v>70.540000000000006</v>
      </c>
      <c r="M831" s="22">
        <v>0.01</v>
      </c>
      <c r="N831" s="21">
        <f t="shared" si="64"/>
        <v>69.834600000000009</v>
      </c>
      <c r="O831" s="21">
        <v>279.33999999999997</v>
      </c>
      <c r="P831" s="19" t="s">
        <v>4</v>
      </c>
      <c r="Q831" s="23">
        <v>4</v>
      </c>
      <c r="R831" s="45">
        <v>1.8</v>
      </c>
    </row>
    <row r="832" spans="2:18" x14ac:dyDescent="0.2">
      <c r="B832" s="25">
        <v>829</v>
      </c>
      <c r="C832" s="18">
        <v>44659</v>
      </c>
      <c r="D832" s="24">
        <f t="shared" si="60"/>
        <v>2022</v>
      </c>
      <c r="E832" s="24" t="str">
        <f t="shared" si="61"/>
        <v>Q2</v>
      </c>
      <c r="F832" s="24" t="str">
        <f t="shared" si="62"/>
        <v>Apr</v>
      </c>
      <c r="G832" s="24">
        <f t="shared" si="63"/>
        <v>4</v>
      </c>
      <c r="H832" s="19">
        <v>1732</v>
      </c>
      <c r="I832" s="19" t="s">
        <v>10</v>
      </c>
      <c r="J832" s="19" t="s">
        <v>8</v>
      </c>
      <c r="K832" s="20">
        <v>1</v>
      </c>
      <c r="L832" s="21">
        <v>201.53</v>
      </c>
      <c r="M832" s="22">
        <v>0.31</v>
      </c>
      <c r="N832" s="21">
        <f t="shared" si="64"/>
        <v>139.0557</v>
      </c>
      <c r="O832" s="21">
        <v>139.06</v>
      </c>
      <c r="P832" s="19" t="s">
        <v>4</v>
      </c>
      <c r="Q832" s="23">
        <v>6</v>
      </c>
      <c r="R832" s="45">
        <v>4.8</v>
      </c>
    </row>
    <row r="833" spans="2:18" x14ac:dyDescent="0.2">
      <c r="B833" s="25">
        <v>830</v>
      </c>
      <c r="C833" s="18">
        <v>44660</v>
      </c>
      <c r="D833" s="24">
        <f t="shared" si="60"/>
        <v>2022</v>
      </c>
      <c r="E833" s="24" t="str">
        <f t="shared" si="61"/>
        <v>Q2</v>
      </c>
      <c r="F833" s="24" t="str">
        <f t="shared" si="62"/>
        <v>Apr</v>
      </c>
      <c r="G833" s="24">
        <f t="shared" si="63"/>
        <v>4</v>
      </c>
      <c r="H833" s="19">
        <v>1234</v>
      </c>
      <c r="I833" s="19" t="s">
        <v>7</v>
      </c>
      <c r="J833" s="19" t="s">
        <v>8</v>
      </c>
      <c r="K833" s="20">
        <v>4</v>
      </c>
      <c r="L833" s="21">
        <v>595.79999999999995</v>
      </c>
      <c r="M833" s="22">
        <v>0</v>
      </c>
      <c r="N833" s="21">
        <f t="shared" si="64"/>
        <v>595.79999999999995</v>
      </c>
      <c r="O833" s="21">
        <v>2383.1999999999998</v>
      </c>
      <c r="P833" s="19" t="s">
        <v>4</v>
      </c>
      <c r="Q833" s="23">
        <v>6</v>
      </c>
      <c r="R833" s="45">
        <v>3.7</v>
      </c>
    </row>
    <row r="834" spans="2:18" x14ac:dyDescent="0.2">
      <c r="B834" s="25">
        <v>831</v>
      </c>
      <c r="C834" s="18">
        <v>44661</v>
      </c>
      <c r="D834" s="24">
        <f t="shared" si="60"/>
        <v>2022</v>
      </c>
      <c r="E834" s="24" t="str">
        <f t="shared" si="61"/>
        <v>Q2</v>
      </c>
      <c r="F834" s="24" t="str">
        <f t="shared" si="62"/>
        <v>Apr</v>
      </c>
      <c r="G834" s="24">
        <f t="shared" si="63"/>
        <v>4</v>
      </c>
      <c r="H834" s="19">
        <v>1842</v>
      </c>
      <c r="I834" s="19" t="s">
        <v>3</v>
      </c>
      <c r="J834" s="19" t="s">
        <v>8</v>
      </c>
      <c r="K834" s="20">
        <v>1</v>
      </c>
      <c r="L834" s="21">
        <v>411.88</v>
      </c>
      <c r="M834" s="22">
        <v>0.13</v>
      </c>
      <c r="N834" s="21">
        <f t="shared" si="64"/>
        <v>358.3356</v>
      </c>
      <c r="O834" s="21">
        <v>358.34</v>
      </c>
      <c r="P834" s="19" t="s">
        <v>2</v>
      </c>
      <c r="Q834" s="23">
        <v>10</v>
      </c>
      <c r="R834" s="45">
        <v>4.8</v>
      </c>
    </row>
    <row r="835" spans="2:18" x14ac:dyDescent="0.2">
      <c r="B835" s="25">
        <v>832</v>
      </c>
      <c r="C835" s="18">
        <v>44662</v>
      </c>
      <c r="D835" s="24">
        <f t="shared" si="60"/>
        <v>2022</v>
      </c>
      <c r="E835" s="24" t="str">
        <f t="shared" si="61"/>
        <v>Q2</v>
      </c>
      <c r="F835" s="24" t="str">
        <f t="shared" si="62"/>
        <v>Apr</v>
      </c>
      <c r="G835" s="24">
        <f t="shared" si="63"/>
        <v>4</v>
      </c>
      <c r="H835" s="19">
        <v>1657</v>
      </c>
      <c r="I835" s="19" t="s">
        <v>7</v>
      </c>
      <c r="J835" s="19" t="s">
        <v>8</v>
      </c>
      <c r="K835" s="20">
        <v>1</v>
      </c>
      <c r="L835" s="21">
        <v>442.09</v>
      </c>
      <c r="M835" s="22">
        <v>0.06</v>
      </c>
      <c r="N835" s="21">
        <f t="shared" si="64"/>
        <v>415.56459999999998</v>
      </c>
      <c r="O835" s="21">
        <v>415.56</v>
      </c>
      <c r="P835" s="19" t="s">
        <v>2</v>
      </c>
      <c r="Q835" s="23">
        <v>6</v>
      </c>
      <c r="R835" s="45">
        <v>1.8</v>
      </c>
    </row>
    <row r="836" spans="2:18" x14ac:dyDescent="0.2">
      <c r="B836" s="25">
        <v>833</v>
      </c>
      <c r="C836" s="18">
        <v>44663</v>
      </c>
      <c r="D836" s="24">
        <f t="shared" ref="D836:D899" si="65">YEAR(C836)</f>
        <v>2022</v>
      </c>
      <c r="E836" s="24" t="str">
        <f t="shared" ref="E836:E899" si="66">"Q"&amp;ROUNDUP(MONTH(C836)/3,0)</f>
        <v>Q2</v>
      </c>
      <c r="F836" s="24" t="str">
        <f t="shared" ref="F836:F899" si="67">TEXT(C836,"mmm")</f>
        <v>Apr</v>
      </c>
      <c r="G836" s="24">
        <f t="shared" ref="G836:G899" si="68">MONTH(C836)</f>
        <v>4</v>
      </c>
      <c r="H836" s="19">
        <v>1750</v>
      </c>
      <c r="I836" s="19" t="s">
        <v>7</v>
      </c>
      <c r="J836" s="19" t="s">
        <v>1</v>
      </c>
      <c r="K836" s="20">
        <v>2</v>
      </c>
      <c r="L836" s="21">
        <v>139.56</v>
      </c>
      <c r="M836" s="22">
        <v>0.27</v>
      </c>
      <c r="N836" s="21">
        <f t="shared" si="64"/>
        <v>101.8788</v>
      </c>
      <c r="O836" s="21">
        <v>203.76</v>
      </c>
      <c r="P836" s="19" t="s">
        <v>6</v>
      </c>
      <c r="Q836" s="23">
        <v>3</v>
      </c>
      <c r="R836" s="45">
        <v>4.5</v>
      </c>
    </row>
    <row r="837" spans="2:18" x14ac:dyDescent="0.2">
      <c r="B837" s="25">
        <v>834</v>
      </c>
      <c r="C837" s="18">
        <v>44664</v>
      </c>
      <c r="D837" s="24">
        <f t="shared" si="65"/>
        <v>2022</v>
      </c>
      <c r="E837" s="24" t="str">
        <f t="shared" si="66"/>
        <v>Q2</v>
      </c>
      <c r="F837" s="24" t="str">
        <f t="shared" si="67"/>
        <v>Apr</v>
      </c>
      <c r="G837" s="24">
        <f t="shared" si="68"/>
        <v>4</v>
      </c>
      <c r="H837" s="19">
        <v>1587</v>
      </c>
      <c r="I837" s="19" t="s">
        <v>0</v>
      </c>
      <c r="J837" s="19" t="s">
        <v>9</v>
      </c>
      <c r="K837" s="20">
        <v>3</v>
      </c>
      <c r="L837" s="21">
        <v>61.09</v>
      </c>
      <c r="M837" s="22">
        <v>0.02</v>
      </c>
      <c r="N837" s="21">
        <f t="shared" ref="N837:N900" si="69">L837-(L837*M837)</f>
        <v>59.868200000000002</v>
      </c>
      <c r="O837" s="21">
        <v>179.6</v>
      </c>
      <c r="P837" s="19" t="s">
        <v>2</v>
      </c>
      <c r="Q837" s="23">
        <v>7</v>
      </c>
      <c r="R837" s="45">
        <v>3.7</v>
      </c>
    </row>
    <row r="838" spans="2:18" x14ac:dyDescent="0.2">
      <c r="B838" s="25">
        <v>835</v>
      </c>
      <c r="C838" s="18">
        <v>44665</v>
      </c>
      <c r="D838" s="24">
        <f t="shared" si="65"/>
        <v>2022</v>
      </c>
      <c r="E838" s="24" t="str">
        <f t="shared" si="66"/>
        <v>Q2</v>
      </c>
      <c r="F838" s="24" t="str">
        <f t="shared" si="67"/>
        <v>Apr</v>
      </c>
      <c r="G838" s="24">
        <f t="shared" si="68"/>
        <v>4</v>
      </c>
      <c r="H838" s="19">
        <v>1008</v>
      </c>
      <c r="I838" s="19" t="s">
        <v>7</v>
      </c>
      <c r="J838" s="19" t="s">
        <v>5</v>
      </c>
      <c r="K838" s="20">
        <v>7</v>
      </c>
      <c r="L838" s="21">
        <v>176.99</v>
      </c>
      <c r="M838" s="22">
        <v>0.19</v>
      </c>
      <c r="N838" s="21">
        <f t="shared" si="69"/>
        <v>143.36189999999999</v>
      </c>
      <c r="O838" s="21">
        <v>1003.53</v>
      </c>
      <c r="P838" s="19" t="s">
        <v>4</v>
      </c>
      <c r="Q838" s="23">
        <v>3</v>
      </c>
      <c r="R838" s="45">
        <v>3.2</v>
      </c>
    </row>
    <row r="839" spans="2:18" x14ac:dyDescent="0.2">
      <c r="B839" s="25">
        <v>836</v>
      </c>
      <c r="C839" s="18">
        <v>44666</v>
      </c>
      <c r="D839" s="24">
        <f t="shared" si="65"/>
        <v>2022</v>
      </c>
      <c r="E839" s="24" t="str">
        <f t="shared" si="66"/>
        <v>Q2</v>
      </c>
      <c r="F839" s="24" t="str">
        <f t="shared" si="67"/>
        <v>Apr</v>
      </c>
      <c r="G839" s="24">
        <f t="shared" si="68"/>
        <v>4</v>
      </c>
      <c r="H839" s="19">
        <v>1073</v>
      </c>
      <c r="I839" s="19" t="s">
        <v>10</v>
      </c>
      <c r="J839" s="19" t="s">
        <v>9</v>
      </c>
      <c r="K839" s="20">
        <v>7</v>
      </c>
      <c r="L839" s="21">
        <v>160.61000000000001</v>
      </c>
      <c r="M839" s="22">
        <v>0.1</v>
      </c>
      <c r="N839" s="21">
        <f t="shared" si="69"/>
        <v>144.54900000000001</v>
      </c>
      <c r="O839" s="21">
        <v>1011.84</v>
      </c>
      <c r="P839" s="19" t="s">
        <v>2</v>
      </c>
      <c r="Q839" s="23">
        <v>6</v>
      </c>
      <c r="R839" s="45">
        <v>4.3</v>
      </c>
    </row>
    <row r="840" spans="2:18" x14ac:dyDescent="0.2">
      <c r="B840" s="25">
        <v>837</v>
      </c>
      <c r="C840" s="18">
        <v>44667</v>
      </c>
      <c r="D840" s="24">
        <f t="shared" si="65"/>
        <v>2022</v>
      </c>
      <c r="E840" s="24" t="str">
        <f t="shared" si="66"/>
        <v>Q2</v>
      </c>
      <c r="F840" s="24" t="str">
        <f t="shared" si="67"/>
        <v>Apr</v>
      </c>
      <c r="G840" s="24">
        <f t="shared" si="68"/>
        <v>4</v>
      </c>
      <c r="H840" s="19">
        <v>1953</v>
      </c>
      <c r="I840" s="19" t="s">
        <v>10</v>
      </c>
      <c r="J840" s="19" t="s">
        <v>5</v>
      </c>
      <c r="K840" s="20">
        <v>5</v>
      </c>
      <c r="L840" s="21">
        <v>152.21</v>
      </c>
      <c r="M840" s="22">
        <v>0.05</v>
      </c>
      <c r="N840" s="21">
        <f t="shared" si="69"/>
        <v>144.59950000000001</v>
      </c>
      <c r="O840" s="21">
        <v>723</v>
      </c>
      <c r="P840" s="19" t="s">
        <v>6</v>
      </c>
      <c r="Q840" s="23">
        <v>10</v>
      </c>
      <c r="R840" s="45">
        <v>3.5</v>
      </c>
    </row>
    <row r="841" spans="2:18" x14ac:dyDescent="0.2">
      <c r="B841" s="25">
        <v>838</v>
      </c>
      <c r="C841" s="18">
        <v>44668</v>
      </c>
      <c r="D841" s="24">
        <f t="shared" si="65"/>
        <v>2022</v>
      </c>
      <c r="E841" s="24" t="str">
        <f t="shared" si="66"/>
        <v>Q2</v>
      </c>
      <c r="F841" s="24" t="str">
        <f t="shared" si="67"/>
        <v>Apr</v>
      </c>
      <c r="G841" s="24">
        <f t="shared" si="68"/>
        <v>4</v>
      </c>
      <c r="H841" s="19">
        <v>1491</v>
      </c>
      <c r="I841" s="19" t="s">
        <v>0</v>
      </c>
      <c r="J841" s="19" t="s">
        <v>9</v>
      </c>
      <c r="K841" s="20">
        <v>7</v>
      </c>
      <c r="L841" s="21">
        <v>127.76</v>
      </c>
      <c r="M841" s="22">
        <v>0.27</v>
      </c>
      <c r="N841" s="21">
        <f t="shared" si="69"/>
        <v>93.264800000000008</v>
      </c>
      <c r="O841" s="21">
        <v>652.85</v>
      </c>
      <c r="P841" s="19" t="s">
        <v>4</v>
      </c>
      <c r="Q841" s="23">
        <v>1</v>
      </c>
      <c r="R841" s="45">
        <v>3.7</v>
      </c>
    </row>
    <row r="842" spans="2:18" x14ac:dyDescent="0.2">
      <c r="B842" s="25">
        <v>839</v>
      </c>
      <c r="C842" s="18">
        <v>44669</v>
      </c>
      <c r="D842" s="24">
        <f t="shared" si="65"/>
        <v>2022</v>
      </c>
      <c r="E842" s="24" t="str">
        <f t="shared" si="66"/>
        <v>Q2</v>
      </c>
      <c r="F842" s="24" t="str">
        <f t="shared" si="67"/>
        <v>Apr</v>
      </c>
      <c r="G842" s="24">
        <f t="shared" si="68"/>
        <v>4</v>
      </c>
      <c r="H842" s="19">
        <v>1912</v>
      </c>
      <c r="I842" s="19" t="s">
        <v>0</v>
      </c>
      <c r="J842" s="19" t="s">
        <v>1</v>
      </c>
      <c r="K842" s="20">
        <v>1</v>
      </c>
      <c r="L842" s="21">
        <v>351.23</v>
      </c>
      <c r="M842" s="22">
        <v>0.08</v>
      </c>
      <c r="N842" s="21">
        <f t="shared" si="69"/>
        <v>323.13159999999999</v>
      </c>
      <c r="O842" s="21">
        <v>323.13</v>
      </c>
      <c r="P842" s="19" t="s">
        <v>4</v>
      </c>
      <c r="Q842" s="23">
        <v>8</v>
      </c>
      <c r="R842" s="45">
        <v>2</v>
      </c>
    </row>
    <row r="843" spans="2:18" x14ac:dyDescent="0.2">
      <c r="B843" s="25">
        <v>840</v>
      </c>
      <c r="C843" s="18">
        <v>44670</v>
      </c>
      <c r="D843" s="24">
        <f t="shared" si="65"/>
        <v>2022</v>
      </c>
      <c r="E843" s="24" t="str">
        <f t="shared" si="66"/>
        <v>Q2</v>
      </c>
      <c r="F843" s="24" t="str">
        <f t="shared" si="67"/>
        <v>Apr</v>
      </c>
      <c r="G843" s="24">
        <f t="shared" si="68"/>
        <v>4</v>
      </c>
      <c r="H843" s="19">
        <v>1252</v>
      </c>
      <c r="I843" s="19" t="s">
        <v>7</v>
      </c>
      <c r="J843" s="19" t="s">
        <v>8</v>
      </c>
      <c r="K843" s="20">
        <v>6</v>
      </c>
      <c r="L843" s="21">
        <v>206.94</v>
      </c>
      <c r="M843" s="22">
        <v>0.08</v>
      </c>
      <c r="N843" s="21">
        <f t="shared" si="69"/>
        <v>190.38479999999998</v>
      </c>
      <c r="O843" s="21">
        <v>1142.31</v>
      </c>
      <c r="P843" s="19" t="s">
        <v>4</v>
      </c>
      <c r="Q843" s="23">
        <v>7</v>
      </c>
      <c r="R843" s="45">
        <v>4.3</v>
      </c>
    </row>
    <row r="844" spans="2:18" x14ac:dyDescent="0.2">
      <c r="B844" s="25">
        <v>841</v>
      </c>
      <c r="C844" s="18">
        <v>44671</v>
      </c>
      <c r="D844" s="24">
        <f t="shared" si="65"/>
        <v>2022</v>
      </c>
      <c r="E844" s="24" t="str">
        <f t="shared" si="66"/>
        <v>Q2</v>
      </c>
      <c r="F844" s="24" t="str">
        <f t="shared" si="67"/>
        <v>Apr</v>
      </c>
      <c r="G844" s="24">
        <f t="shared" si="68"/>
        <v>4</v>
      </c>
      <c r="H844" s="19">
        <v>1229</v>
      </c>
      <c r="I844" s="19" t="s">
        <v>7</v>
      </c>
      <c r="J844" s="19" t="s">
        <v>9</v>
      </c>
      <c r="K844" s="20">
        <v>3</v>
      </c>
      <c r="L844" s="21">
        <v>494.9</v>
      </c>
      <c r="M844" s="22">
        <v>0.1</v>
      </c>
      <c r="N844" s="21">
        <f t="shared" si="69"/>
        <v>445.40999999999997</v>
      </c>
      <c r="O844" s="21">
        <v>1336.23</v>
      </c>
      <c r="P844" s="19" t="s">
        <v>4</v>
      </c>
      <c r="Q844" s="23">
        <v>9</v>
      </c>
      <c r="R844" s="45">
        <v>3.6</v>
      </c>
    </row>
    <row r="845" spans="2:18" x14ac:dyDescent="0.2">
      <c r="B845" s="25">
        <v>842</v>
      </c>
      <c r="C845" s="18">
        <v>44672</v>
      </c>
      <c r="D845" s="24">
        <f t="shared" si="65"/>
        <v>2022</v>
      </c>
      <c r="E845" s="24" t="str">
        <f t="shared" si="66"/>
        <v>Q2</v>
      </c>
      <c r="F845" s="24" t="str">
        <f t="shared" si="67"/>
        <v>Apr</v>
      </c>
      <c r="G845" s="24">
        <f t="shared" si="68"/>
        <v>4</v>
      </c>
      <c r="H845" s="19">
        <v>1518</v>
      </c>
      <c r="I845" s="19" t="s">
        <v>3</v>
      </c>
      <c r="J845" s="19" t="s">
        <v>5</v>
      </c>
      <c r="K845" s="20">
        <v>5</v>
      </c>
      <c r="L845" s="21">
        <v>122.61</v>
      </c>
      <c r="M845" s="22">
        <v>0.21</v>
      </c>
      <c r="N845" s="21">
        <f t="shared" si="69"/>
        <v>96.861900000000006</v>
      </c>
      <c r="O845" s="21">
        <v>484.31</v>
      </c>
      <c r="P845" s="19" t="s">
        <v>4</v>
      </c>
      <c r="Q845" s="23">
        <v>3</v>
      </c>
      <c r="R845" s="45">
        <v>4.4000000000000004</v>
      </c>
    </row>
    <row r="846" spans="2:18" x14ac:dyDescent="0.2">
      <c r="B846" s="25">
        <v>843</v>
      </c>
      <c r="C846" s="18">
        <v>44673</v>
      </c>
      <c r="D846" s="24">
        <f t="shared" si="65"/>
        <v>2022</v>
      </c>
      <c r="E846" s="24" t="str">
        <f t="shared" si="66"/>
        <v>Q2</v>
      </c>
      <c r="F846" s="24" t="str">
        <f t="shared" si="67"/>
        <v>Apr</v>
      </c>
      <c r="G846" s="24">
        <f t="shared" si="68"/>
        <v>4</v>
      </c>
      <c r="H846" s="19">
        <v>1173</v>
      </c>
      <c r="I846" s="19" t="s">
        <v>7</v>
      </c>
      <c r="J846" s="19" t="s">
        <v>9</v>
      </c>
      <c r="K846" s="20">
        <v>7</v>
      </c>
      <c r="L846" s="21">
        <v>286.81</v>
      </c>
      <c r="M846" s="22">
        <v>0.23</v>
      </c>
      <c r="N846" s="21">
        <f t="shared" si="69"/>
        <v>220.84370000000001</v>
      </c>
      <c r="O846" s="21">
        <v>1545.91</v>
      </c>
      <c r="P846" s="19" t="s">
        <v>4</v>
      </c>
      <c r="Q846" s="23">
        <v>8</v>
      </c>
      <c r="R846" s="45">
        <v>2.4</v>
      </c>
    </row>
    <row r="847" spans="2:18" x14ac:dyDescent="0.2">
      <c r="B847" s="25">
        <v>844</v>
      </c>
      <c r="C847" s="18">
        <v>44674</v>
      </c>
      <c r="D847" s="24">
        <f t="shared" si="65"/>
        <v>2022</v>
      </c>
      <c r="E847" s="24" t="str">
        <f t="shared" si="66"/>
        <v>Q2</v>
      </c>
      <c r="F847" s="24" t="str">
        <f t="shared" si="67"/>
        <v>Apr</v>
      </c>
      <c r="G847" s="24">
        <f t="shared" si="68"/>
        <v>4</v>
      </c>
      <c r="H847" s="19">
        <v>1652</v>
      </c>
      <c r="I847" s="19" t="s">
        <v>7</v>
      </c>
      <c r="J847" s="19" t="s">
        <v>1</v>
      </c>
      <c r="K847" s="20">
        <v>7</v>
      </c>
      <c r="L847" s="21">
        <v>22.99</v>
      </c>
      <c r="M847" s="22">
        <v>0.01</v>
      </c>
      <c r="N847" s="21">
        <f t="shared" si="69"/>
        <v>22.760099999999998</v>
      </c>
      <c r="O847" s="21">
        <v>159.32</v>
      </c>
      <c r="P847" s="19" t="s">
        <v>4</v>
      </c>
      <c r="Q847" s="23">
        <v>2</v>
      </c>
      <c r="R847" s="45">
        <v>2.2999999999999998</v>
      </c>
    </row>
    <row r="848" spans="2:18" x14ac:dyDescent="0.2">
      <c r="B848" s="25">
        <v>845</v>
      </c>
      <c r="C848" s="18">
        <v>44675</v>
      </c>
      <c r="D848" s="24">
        <f t="shared" si="65"/>
        <v>2022</v>
      </c>
      <c r="E848" s="24" t="str">
        <f t="shared" si="66"/>
        <v>Q2</v>
      </c>
      <c r="F848" s="24" t="str">
        <f t="shared" si="67"/>
        <v>Apr</v>
      </c>
      <c r="G848" s="24">
        <f t="shared" si="68"/>
        <v>4</v>
      </c>
      <c r="H848" s="19">
        <v>1167</v>
      </c>
      <c r="I848" s="19" t="s">
        <v>3</v>
      </c>
      <c r="J848" s="19" t="s">
        <v>1</v>
      </c>
      <c r="K848" s="20">
        <v>6</v>
      </c>
      <c r="L848" s="21">
        <v>296.77999999999997</v>
      </c>
      <c r="M848" s="22">
        <v>0.08</v>
      </c>
      <c r="N848" s="21">
        <f t="shared" si="69"/>
        <v>273.0376</v>
      </c>
      <c r="O848" s="21">
        <v>1638.23</v>
      </c>
      <c r="P848" s="19" t="s">
        <v>4</v>
      </c>
      <c r="Q848" s="23">
        <v>9</v>
      </c>
      <c r="R848" s="45">
        <v>1.1000000000000001</v>
      </c>
    </row>
    <row r="849" spans="2:18" x14ac:dyDescent="0.2">
      <c r="B849" s="25">
        <v>846</v>
      </c>
      <c r="C849" s="18">
        <v>44676</v>
      </c>
      <c r="D849" s="24">
        <f t="shared" si="65"/>
        <v>2022</v>
      </c>
      <c r="E849" s="24" t="str">
        <f t="shared" si="66"/>
        <v>Q2</v>
      </c>
      <c r="F849" s="24" t="str">
        <f t="shared" si="67"/>
        <v>Apr</v>
      </c>
      <c r="G849" s="24">
        <f t="shared" si="68"/>
        <v>4</v>
      </c>
      <c r="H849" s="19">
        <v>1169</v>
      </c>
      <c r="I849" s="19" t="s">
        <v>10</v>
      </c>
      <c r="J849" s="19" t="s">
        <v>9</v>
      </c>
      <c r="K849" s="20">
        <v>4</v>
      </c>
      <c r="L849" s="21">
        <v>47.67</v>
      </c>
      <c r="M849" s="22">
        <v>0.15</v>
      </c>
      <c r="N849" s="21">
        <f t="shared" si="69"/>
        <v>40.519500000000001</v>
      </c>
      <c r="O849" s="21">
        <v>162.08000000000001</v>
      </c>
      <c r="P849" s="19" t="s">
        <v>2</v>
      </c>
      <c r="Q849" s="23">
        <v>1</v>
      </c>
      <c r="R849" s="45">
        <v>4.0999999999999996</v>
      </c>
    </row>
    <row r="850" spans="2:18" x14ac:dyDescent="0.2">
      <c r="B850" s="25">
        <v>847</v>
      </c>
      <c r="C850" s="18">
        <v>44677</v>
      </c>
      <c r="D850" s="24">
        <f t="shared" si="65"/>
        <v>2022</v>
      </c>
      <c r="E850" s="24" t="str">
        <f t="shared" si="66"/>
        <v>Q2</v>
      </c>
      <c r="F850" s="24" t="str">
        <f t="shared" si="67"/>
        <v>Apr</v>
      </c>
      <c r="G850" s="24">
        <f t="shared" si="68"/>
        <v>4</v>
      </c>
      <c r="H850" s="19">
        <v>1392</v>
      </c>
      <c r="I850" s="19" t="s">
        <v>3</v>
      </c>
      <c r="J850" s="19" t="s">
        <v>8</v>
      </c>
      <c r="K850" s="20">
        <v>3</v>
      </c>
      <c r="L850" s="21">
        <v>586.97</v>
      </c>
      <c r="M850" s="22">
        <v>0.12</v>
      </c>
      <c r="N850" s="21">
        <f t="shared" si="69"/>
        <v>516.53359999999998</v>
      </c>
      <c r="O850" s="21">
        <v>1549.6</v>
      </c>
      <c r="P850" s="19" t="s">
        <v>4</v>
      </c>
      <c r="Q850" s="23">
        <v>10</v>
      </c>
      <c r="R850" s="45">
        <v>2.2999999999999998</v>
      </c>
    </row>
    <row r="851" spans="2:18" x14ac:dyDescent="0.2">
      <c r="B851" s="25">
        <v>848</v>
      </c>
      <c r="C851" s="18">
        <v>44678</v>
      </c>
      <c r="D851" s="24">
        <f t="shared" si="65"/>
        <v>2022</v>
      </c>
      <c r="E851" s="24" t="str">
        <f t="shared" si="66"/>
        <v>Q2</v>
      </c>
      <c r="F851" s="24" t="str">
        <f t="shared" si="67"/>
        <v>Apr</v>
      </c>
      <c r="G851" s="24">
        <f t="shared" si="68"/>
        <v>4</v>
      </c>
      <c r="H851" s="19">
        <v>1945</v>
      </c>
      <c r="I851" s="19" t="s">
        <v>7</v>
      </c>
      <c r="J851" s="19" t="s">
        <v>5</v>
      </c>
      <c r="K851" s="20">
        <v>6</v>
      </c>
      <c r="L851" s="21">
        <v>477.5</v>
      </c>
      <c r="M851" s="22">
        <v>0.31</v>
      </c>
      <c r="N851" s="21">
        <f t="shared" si="69"/>
        <v>329.47500000000002</v>
      </c>
      <c r="O851" s="21">
        <v>1976.85</v>
      </c>
      <c r="P851" s="19" t="s">
        <v>4</v>
      </c>
      <c r="Q851" s="23">
        <v>7</v>
      </c>
      <c r="R851" s="45">
        <v>2.2999999999999998</v>
      </c>
    </row>
    <row r="852" spans="2:18" x14ac:dyDescent="0.2">
      <c r="B852" s="25">
        <v>849</v>
      </c>
      <c r="C852" s="18">
        <v>44679</v>
      </c>
      <c r="D852" s="24">
        <f t="shared" si="65"/>
        <v>2022</v>
      </c>
      <c r="E852" s="24" t="str">
        <f t="shared" si="66"/>
        <v>Q2</v>
      </c>
      <c r="F852" s="24" t="str">
        <f t="shared" si="67"/>
        <v>Apr</v>
      </c>
      <c r="G852" s="24">
        <f t="shared" si="68"/>
        <v>4</v>
      </c>
      <c r="H852" s="19">
        <v>1794</v>
      </c>
      <c r="I852" s="19" t="s">
        <v>10</v>
      </c>
      <c r="J852" s="19" t="s">
        <v>1</v>
      </c>
      <c r="K852" s="20">
        <v>7</v>
      </c>
      <c r="L852" s="21">
        <v>301.72000000000003</v>
      </c>
      <c r="M852" s="22">
        <v>0.28000000000000003</v>
      </c>
      <c r="N852" s="21">
        <f t="shared" si="69"/>
        <v>217.23840000000001</v>
      </c>
      <c r="O852" s="21">
        <v>1520.67</v>
      </c>
      <c r="P852" s="19" t="s">
        <v>6</v>
      </c>
      <c r="Q852" s="23">
        <v>10</v>
      </c>
      <c r="R852" s="45">
        <v>3.8</v>
      </c>
    </row>
    <row r="853" spans="2:18" x14ac:dyDescent="0.2">
      <c r="B853" s="25">
        <v>850</v>
      </c>
      <c r="C853" s="18">
        <v>44680</v>
      </c>
      <c r="D853" s="24">
        <f t="shared" si="65"/>
        <v>2022</v>
      </c>
      <c r="E853" s="24" t="str">
        <f t="shared" si="66"/>
        <v>Q2</v>
      </c>
      <c r="F853" s="24" t="str">
        <f t="shared" si="67"/>
        <v>Apr</v>
      </c>
      <c r="G853" s="24">
        <f t="shared" si="68"/>
        <v>4</v>
      </c>
      <c r="H853" s="19">
        <v>1633</v>
      </c>
      <c r="I853" s="19" t="s">
        <v>7</v>
      </c>
      <c r="J853" s="19" t="s">
        <v>1</v>
      </c>
      <c r="K853" s="20">
        <v>3</v>
      </c>
      <c r="L853" s="21">
        <v>65.650000000000006</v>
      </c>
      <c r="M853" s="22">
        <v>0.22</v>
      </c>
      <c r="N853" s="21">
        <f t="shared" si="69"/>
        <v>51.207000000000008</v>
      </c>
      <c r="O853" s="21">
        <v>153.62</v>
      </c>
      <c r="P853" s="19" t="s">
        <v>2</v>
      </c>
      <c r="Q853" s="23">
        <v>1</v>
      </c>
      <c r="R853" s="45">
        <v>2</v>
      </c>
    </row>
    <row r="854" spans="2:18" x14ac:dyDescent="0.2">
      <c r="B854" s="25">
        <v>851</v>
      </c>
      <c r="C854" s="18">
        <v>44681</v>
      </c>
      <c r="D854" s="24">
        <f t="shared" si="65"/>
        <v>2022</v>
      </c>
      <c r="E854" s="24" t="str">
        <f t="shared" si="66"/>
        <v>Q2</v>
      </c>
      <c r="F854" s="24" t="str">
        <f t="shared" si="67"/>
        <v>Apr</v>
      </c>
      <c r="G854" s="24">
        <f t="shared" si="68"/>
        <v>4</v>
      </c>
      <c r="H854" s="19">
        <v>1193</v>
      </c>
      <c r="I854" s="19" t="s">
        <v>7</v>
      </c>
      <c r="J854" s="19" t="s">
        <v>9</v>
      </c>
      <c r="K854" s="20">
        <v>3</v>
      </c>
      <c r="L854" s="21">
        <v>361.58</v>
      </c>
      <c r="M854" s="22">
        <v>0.12</v>
      </c>
      <c r="N854" s="21">
        <f t="shared" si="69"/>
        <v>318.19040000000001</v>
      </c>
      <c r="O854" s="21">
        <v>954.57</v>
      </c>
      <c r="P854" s="19" t="s">
        <v>4</v>
      </c>
      <c r="Q854" s="23">
        <v>6</v>
      </c>
      <c r="R854" s="45">
        <v>4.5999999999999996</v>
      </c>
    </row>
    <row r="855" spans="2:18" x14ac:dyDescent="0.2">
      <c r="B855" s="25">
        <v>852</v>
      </c>
      <c r="C855" s="18">
        <v>44682</v>
      </c>
      <c r="D855" s="24">
        <f t="shared" si="65"/>
        <v>2022</v>
      </c>
      <c r="E855" s="24" t="str">
        <f t="shared" si="66"/>
        <v>Q2</v>
      </c>
      <c r="F855" s="24" t="str">
        <f t="shared" si="67"/>
        <v>May</v>
      </c>
      <c r="G855" s="24">
        <f t="shared" si="68"/>
        <v>5</v>
      </c>
      <c r="H855" s="19">
        <v>1516</v>
      </c>
      <c r="I855" s="19" t="s">
        <v>10</v>
      </c>
      <c r="J855" s="19" t="s">
        <v>1</v>
      </c>
      <c r="K855" s="20">
        <v>7</v>
      </c>
      <c r="L855" s="21">
        <v>458.88</v>
      </c>
      <c r="M855" s="22">
        <v>0.25</v>
      </c>
      <c r="N855" s="21">
        <f t="shared" si="69"/>
        <v>344.15999999999997</v>
      </c>
      <c r="O855" s="21">
        <v>2409.12</v>
      </c>
      <c r="P855" s="19" t="s">
        <v>2</v>
      </c>
      <c r="Q855" s="23">
        <v>1</v>
      </c>
      <c r="R855" s="45">
        <v>3.2</v>
      </c>
    </row>
    <row r="856" spans="2:18" x14ac:dyDescent="0.2">
      <c r="B856" s="25">
        <v>853</v>
      </c>
      <c r="C856" s="18">
        <v>44683</v>
      </c>
      <c r="D856" s="24">
        <f t="shared" si="65"/>
        <v>2022</v>
      </c>
      <c r="E856" s="24" t="str">
        <f t="shared" si="66"/>
        <v>Q2</v>
      </c>
      <c r="F856" s="24" t="str">
        <f t="shared" si="67"/>
        <v>May</v>
      </c>
      <c r="G856" s="24">
        <f t="shared" si="68"/>
        <v>5</v>
      </c>
      <c r="H856" s="19">
        <v>1028</v>
      </c>
      <c r="I856" s="19" t="s">
        <v>3</v>
      </c>
      <c r="J856" s="19" t="s">
        <v>1</v>
      </c>
      <c r="K856" s="20">
        <v>4</v>
      </c>
      <c r="L856" s="21">
        <v>126.57</v>
      </c>
      <c r="M856" s="22">
        <v>0.3</v>
      </c>
      <c r="N856" s="21">
        <f t="shared" si="69"/>
        <v>88.59899999999999</v>
      </c>
      <c r="O856" s="21">
        <v>354.4</v>
      </c>
      <c r="P856" s="19" t="s">
        <v>4</v>
      </c>
      <c r="Q856" s="23">
        <v>4</v>
      </c>
      <c r="R856" s="45">
        <v>4.9000000000000004</v>
      </c>
    </row>
    <row r="857" spans="2:18" x14ac:dyDescent="0.2">
      <c r="B857" s="25">
        <v>854</v>
      </c>
      <c r="C857" s="18">
        <v>44684</v>
      </c>
      <c r="D857" s="24">
        <f t="shared" si="65"/>
        <v>2022</v>
      </c>
      <c r="E857" s="24" t="str">
        <f t="shared" si="66"/>
        <v>Q2</v>
      </c>
      <c r="F857" s="24" t="str">
        <f t="shared" si="67"/>
        <v>May</v>
      </c>
      <c r="G857" s="24">
        <f t="shared" si="68"/>
        <v>5</v>
      </c>
      <c r="H857" s="19">
        <v>1164</v>
      </c>
      <c r="I857" s="19" t="s">
        <v>10</v>
      </c>
      <c r="J857" s="19" t="s">
        <v>5</v>
      </c>
      <c r="K857" s="20">
        <v>4</v>
      </c>
      <c r="L857" s="21">
        <v>347.4</v>
      </c>
      <c r="M857" s="22">
        <v>0.21</v>
      </c>
      <c r="N857" s="21">
        <f t="shared" si="69"/>
        <v>274.44599999999997</v>
      </c>
      <c r="O857" s="21">
        <v>1097.78</v>
      </c>
      <c r="P857" s="19" t="s">
        <v>4</v>
      </c>
      <c r="Q857" s="23">
        <v>7</v>
      </c>
      <c r="R857" s="45">
        <v>1.3</v>
      </c>
    </row>
    <row r="858" spans="2:18" x14ac:dyDescent="0.2">
      <c r="B858" s="25">
        <v>855</v>
      </c>
      <c r="C858" s="18">
        <v>44685</v>
      </c>
      <c r="D858" s="24">
        <f t="shared" si="65"/>
        <v>2022</v>
      </c>
      <c r="E858" s="24" t="str">
        <f t="shared" si="66"/>
        <v>Q2</v>
      </c>
      <c r="F858" s="24" t="str">
        <f t="shared" si="67"/>
        <v>May</v>
      </c>
      <c r="G858" s="24">
        <f t="shared" si="68"/>
        <v>5</v>
      </c>
      <c r="H858" s="19">
        <v>1421</v>
      </c>
      <c r="I858" s="19" t="s">
        <v>7</v>
      </c>
      <c r="J858" s="19" t="s">
        <v>8</v>
      </c>
      <c r="K858" s="20">
        <v>7</v>
      </c>
      <c r="L858" s="21">
        <v>491.31</v>
      </c>
      <c r="M858" s="22">
        <v>0.27</v>
      </c>
      <c r="N858" s="21">
        <f t="shared" si="69"/>
        <v>358.65629999999999</v>
      </c>
      <c r="O858" s="21">
        <v>2510.59</v>
      </c>
      <c r="P858" s="19" t="s">
        <v>4</v>
      </c>
      <c r="Q858" s="23">
        <v>2</v>
      </c>
      <c r="R858" s="45">
        <v>2.2999999999999998</v>
      </c>
    </row>
    <row r="859" spans="2:18" x14ac:dyDescent="0.2">
      <c r="B859" s="25">
        <v>856</v>
      </c>
      <c r="C859" s="18">
        <v>44686</v>
      </c>
      <c r="D859" s="24">
        <f t="shared" si="65"/>
        <v>2022</v>
      </c>
      <c r="E859" s="24" t="str">
        <f t="shared" si="66"/>
        <v>Q2</v>
      </c>
      <c r="F859" s="24" t="str">
        <f t="shared" si="67"/>
        <v>May</v>
      </c>
      <c r="G859" s="24">
        <f t="shared" si="68"/>
        <v>5</v>
      </c>
      <c r="H859" s="19">
        <v>1338</v>
      </c>
      <c r="I859" s="19" t="s">
        <v>10</v>
      </c>
      <c r="J859" s="19" t="s">
        <v>5</v>
      </c>
      <c r="K859" s="20">
        <v>3</v>
      </c>
      <c r="L859" s="21">
        <v>464.42</v>
      </c>
      <c r="M859" s="22">
        <v>0.26</v>
      </c>
      <c r="N859" s="21">
        <f t="shared" si="69"/>
        <v>343.67079999999999</v>
      </c>
      <c r="O859" s="21">
        <v>1031.01</v>
      </c>
      <c r="P859" s="19" t="s">
        <v>6</v>
      </c>
      <c r="Q859" s="23">
        <v>3</v>
      </c>
      <c r="R859" s="45">
        <v>2.5</v>
      </c>
    </row>
    <row r="860" spans="2:18" x14ac:dyDescent="0.2">
      <c r="B860" s="25">
        <v>857</v>
      </c>
      <c r="C860" s="18">
        <v>44687</v>
      </c>
      <c r="D860" s="24">
        <f t="shared" si="65"/>
        <v>2022</v>
      </c>
      <c r="E860" s="24" t="str">
        <f t="shared" si="66"/>
        <v>Q2</v>
      </c>
      <c r="F860" s="24" t="str">
        <f t="shared" si="67"/>
        <v>May</v>
      </c>
      <c r="G860" s="24">
        <f t="shared" si="68"/>
        <v>5</v>
      </c>
      <c r="H860" s="19">
        <v>1647</v>
      </c>
      <c r="I860" s="19" t="s">
        <v>3</v>
      </c>
      <c r="J860" s="19" t="s">
        <v>8</v>
      </c>
      <c r="K860" s="20">
        <v>6</v>
      </c>
      <c r="L860" s="21">
        <v>484.75</v>
      </c>
      <c r="M860" s="22">
        <v>0.2</v>
      </c>
      <c r="N860" s="21">
        <f t="shared" si="69"/>
        <v>387.8</v>
      </c>
      <c r="O860" s="21">
        <v>2326.8000000000002</v>
      </c>
      <c r="P860" s="19" t="s">
        <v>4</v>
      </c>
      <c r="Q860" s="23">
        <v>4</v>
      </c>
      <c r="R860" s="45">
        <v>3.9</v>
      </c>
    </row>
    <row r="861" spans="2:18" x14ac:dyDescent="0.2">
      <c r="B861" s="25">
        <v>858</v>
      </c>
      <c r="C861" s="18">
        <v>44688</v>
      </c>
      <c r="D861" s="24">
        <f t="shared" si="65"/>
        <v>2022</v>
      </c>
      <c r="E861" s="24" t="str">
        <f t="shared" si="66"/>
        <v>Q2</v>
      </c>
      <c r="F861" s="24" t="str">
        <f t="shared" si="67"/>
        <v>May</v>
      </c>
      <c r="G861" s="24">
        <f t="shared" si="68"/>
        <v>5</v>
      </c>
      <c r="H861" s="19">
        <v>1495</v>
      </c>
      <c r="I861" s="19" t="s">
        <v>3</v>
      </c>
      <c r="J861" s="19" t="s">
        <v>5</v>
      </c>
      <c r="K861" s="20">
        <v>2</v>
      </c>
      <c r="L861" s="21">
        <v>529.4</v>
      </c>
      <c r="M861" s="22">
        <v>0.11</v>
      </c>
      <c r="N861" s="21">
        <f t="shared" si="69"/>
        <v>471.166</v>
      </c>
      <c r="O861" s="21">
        <v>942.33</v>
      </c>
      <c r="P861" s="19" t="s">
        <v>6</v>
      </c>
      <c r="Q861" s="23">
        <v>6</v>
      </c>
      <c r="R861" s="45">
        <v>1.9</v>
      </c>
    </row>
    <row r="862" spans="2:18" x14ac:dyDescent="0.2">
      <c r="B862" s="25">
        <v>859</v>
      </c>
      <c r="C862" s="18">
        <v>44689</v>
      </c>
      <c r="D862" s="24">
        <f t="shared" si="65"/>
        <v>2022</v>
      </c>
      <c r="E862" s="24" t="str">
        <f t="shared" si="66"/>
        <v>Q2</v>
      </c>
      <c r="F862" s="24" t="str">
        <f t="shared" si="67"/>
        <v>May</v>
      </c>
      <c r="G862" s="24">
        <f t="shared" si="68"/>
        <v>5</v>
      </c>
      <c r="H862" s="19">
        <v>1364</v>
      </c>
      <c r="I862" s="19" t="s">
        <v>3</v>
      </c>
      <c r="J862" s="19" t="s">
        <v>9</v>
      </c>
      <c r="K862" s="20">
        <v>1</v>
      </c>
      <c r="L862" s="21">
        <v>563.54</v>
      </c>
      <c r="M862" s="22">
        <v>0.26</v>
      </c>
      <c r="N862" s="21">
        <f t="shared" si="69"/>
        <v>417.01959999999997</v>
      </c>
      <c r="O862" s="21">
        <v>417.02</v>
      </c>
      <c r="P862" s="19" t="s">
        <v>4</v>
      </c>
      <c r="Q862" s="23">
        <v>9</v>
      </c>
      <c r="R862" s="45">
        <v>2.5</v>
      </c>
    </row>
    <row r="863" spans="2:18" x14ac:dyDescent="0.2">
      <c r="B863" s="25">
        <v>860</v>
      </c>
      <c r="C863" s="18">
        <v>44690</v>
      </c>
      <c r="D863" s="24">
        <f t="shared" si="65"/>
        <v>2022</v>
      </c>
      <c r="E863" s="24" t="str">
        <f t="shared" si="66"/>
        <v>Q2</v>
      </c>
      <c r="F863" s="24" t="str">
        <f t="shared" si="67"/>
        <v>May</v>
      </c>
      <c r="G863" s="24">
        <f t="shared" si="68"/>
        <v>5</v>
      </c>
      <c r="H863" s="19">
        <v>1832</v>
      </c>
      <c r="I863" s="19" t="s">
        <v>0</v>
      </c>
      <c r="J863" s="19" t="s">
        <v>1</v>
      </c>
      <c r="K863" s="20">
        <v>4</v>
      </c>
      <c r="L863" s="21">
        <v>252.23</v>
      </c>
      <c r="M863" s="22">
        <v>7.0000000000000007E-2</v>
      </c>
      <c r="N863" s="21">
        <f t="shared" si="69"/>
        <v>234.57389999999998</v>
      </c>
      <c r="O863" s="21">
        <v>938.3</v>
      </c>
      <c r="P863" s="19" t="s">
        <v>6</v>
      </c>
      <c r="Q863" s="23">
        <v>4</v>
      </c>
      <c r="R863" s="45">
        <v>4.5999999999999996</v>
      </c>
    </row>
    <row r="864" spans="2:18" x14ac:dyDescent="0.2">
      <c r="B864" s="25">
        <v>861</v>
      </c>
      <c r="C864" s="18">
        <v>44691</v>
      </c>
      <c r="D864" s="24">
        <f t="shared" si="65"/>
        <v>2022</v>
      </c>
      <c r="E864" s="24" t="str">
        <f t="shared" si="66"/>
        <v>Q2</v>
      </c>
      <c r="F864" s="24" t="str">
        <f t="shared" si="67"/>
        <v>May</v>
      </c>
      <c r="G864" s="24">
        <f t="shared" si="68"/>
        <v>5</v>
      </c>
      <c r="H864" s="19">
        <v>1341</v>
      </c>
      <c r="I864" s="19" t="s">
        <v>3</v>
      </c>
      <c r="J864" s="19" t="s">
        <v>8</v>
      </c>
      <c r="K864" s="20">
        <v>7</v>
      </c>
      <c r="L864" s="21">
        <v>347.73</v>
      </c>
      <c r="M864" s="22">
        <v>0.27</v>
      </c>
      <c r="N864" s="21">
        <f t="shared" si="69"/>
        <v>253.84289999999999</v>
      </c>
      <c r="O864" s="21">
        <v>1776.9</v>
      </c>
      <c r="P864" s="19" t="s">
        <v>4</v>
      </c>
      <c r="Q864" s="23">
        <v>6</v>
      </c>
      <c r="R864" s="45">
        <v>1.5</v>
      </c>
    </row>
    <row r="865" spans="2:18" x14ac:dyDescent="0.2">
      <c r="B865" s="25">
        <v>862</v>
      </c>
      <c r="C865" s="18">
        <v>44692</v>
      </c>
      <c r="D865" s="24">
        <f t="shared" si="65"/>
        <v>2022</v>
      </c>
      <c r="E865" s="24" t="str">
        <f t="shared" si="66"/>
        <v>Q2</v>
      </c>
      <c r="F865" s="24" t="str">
        <f t="shared" si="67"/>
        <v>May</v>
      </c>
      <c r="G865" s="24">
        <f t="shared" si="68"/>
        <v>5</v>
      </c>
      <c r="H865" s="19">
        <v>1499</v>
      </c>
      <c r="I865" s="19" t="s">
        <v>3</v>
      </c>
      <c r="J865" s="19" t="s">
        <v>9</v>
      </c>
      <c r="K865" s="20">
        <v>2</v>
      </c>
      <c r="L865" s="21">
        <v>477.54</v>
      </c>
      <c r="M865" s="22">
        <v>0.28000000000000003</v>
      </c>
      <c r="N865" s="21">
        <f t="shared" si="69"/>
        <v>343.8288</v>
      </c>
      <c r="O865" s="21">
        <v>687.66</v>
      </c>
      <c r="P865" s="19" t="s">
        <v>6</v>
      </c>
      <c r="Q865" s="23">
        <v>7</v>
      </c>
      <c r="R865" s="45">
        <v>4</v>
      </c>
    </row>
    <row r="866" spans="2:18" x14ac:dyDescent="0.2">
      <c r="B866" s="25">
        <v>863</v>
      </c>
      <c r="C866" s="18">
        <v>44693</v>
      </c>
      <c r="D866" s="24">
        <f t="shared" si="65"/>
        <v>2022</v>
      </c>
      <c r="E866" s="24" t="str">
        <f t="shared" si="66"/>
        <v>Q2</v>
      </c>
      <c r="F866" s="24" t="str">
        <f t="shared" si="67"/>
        <v>May</v>
      </c>
      <c r="G866" s="24">
        <f t="shared" si="68"/>
        <v>5</v>
      </c>
      <c r="H866" s="19">
        <v>1656</v>
      </c>
      <c r="I866" s="19" t="s">
        <v>0</v>
      </c>
      <c r="J866" s="19" t="s">
        <v>1</v>
      </c>
      <c r="K866" s="20">
        <v>4</v>
      </c>
      <c r="L866" s="21">
        <v>422.83</v>
      </c>
      <c r="M866" s="22">
        <v>0.28999999999999998</v>
      </c>
      <c r="N866" s="21">
        <f t="shared" si="69"/>
        <v>300.20929999999998</v>
      </c>
      <c r="O866" s="21">
        <v>1200.8399999999999</v>
      </c>
      <c r="P866" s="19" t="s">
        <v>6</v>
      </c>
      <c r="Q866" s="23">
        <v>4</v>
      </c>
      <c r="R866" s="45">
        <v>3.8</v>
      </c>
    </row>
    <row r="867" spans="2:18" x14ac:dyDescent="0.2">
      <c r="B867" s="25">
        <v>864</v>
      </c>
      <c r="C867" s="18">
        <v>44694</v>
      </c>
      <c r="D867" s="24">
        <f t="shared" si="65"/>
        <v>2022</v>
      </c>
      <c r="E867" s="24" t="str">
        <f t="shared" si="66"/>
        <v>Q2</v>
      </c>
      <c r="F867" s="24" t="str">
        <f t="shared" si="67"/>
        <v>May</v>
      </c>
      <c r="G867" s="24">
        <f t="shared" si="68"/>
        <v>5</v>
      </c>
      <c r="H867" s="19">
        <v>1510</v>
      </c>
      <c r="I867" s="19" t="s">
        <v>10</v>
      </c>
      <c r="J867" s="19" t="s">
        <v>1</v>
      </c>
      <c r="K867" s="20">
        <v>3</v>
      </c>
      <c r="L867" s="21">
        <v>597.38</v>
      </c>
      <c r="M867" s="22">
        <v>0.17</v>
      </c>
      <c r="N867" s="21">
        <f t="shared" si="69"/>
        <v>495.8254</v>
      </c>
      <c r="O867" s="21">
        <v>1487.48</v>
      </c>
      <c r="P867" s="19" t="s">
        <v>6</v>
      </c>
      <c r="Q867" s="23">
        <v>6</v>
      </c>
      <c r="R867" s="45">
        <v>1.5</v>
      </c>
    </row>
    <row r="868" spans="2:18" x14ac:dyDescent="0.2">
      <c r="B868" s="25">
        <v>865</v>
      </c>
      <c r="C868" s="18">
        <v>44695</v>
      </c>
      <c r="D868" s="24">
        <f t="shared" si="65"/>
        <v>2022</v>
      </c>
      <c r="E868" s="24" t="str">
        <f t="shared" si="66"/>
        <v>Q2</v>
      </c>
      <c r="F868" s="24" t="str">
        <f t="shared" si="67"/>
        <v>May</v>
      </c>
      <c r="G868" s="24">
        <f t="shared" si="68"/>
        <v>5</v>
      </c>
      <c r="H868" s="19">
        <v>1326</v>
      </c>
      <c r="I868" s="19" t="s">
        <v>3</v>
      </c>
      <c r="J868" s="19" t="s">
        <v>1</v>
      </c>
      <c r="K868" s="20">
        <v>7</v>
      </c>
      <c r="L868" s="21">
        <v>23</v>
      </c>
      <c r="M868" s="22">
        <v>7.0000000000000007E-2</v>
      </c>
      <c r="N868" s="21">
        <f t="shared" si="69"/>
        <v>21.39</v>
      </c>
      <c r="O868" s="21">
        <v>149.72999999999999</v>
      </c>
      <c r="P868" s="19" t="s">
        <v>4</v>
      </c>
      <c r="Q868" s="23">
        <v>3</v>
      </c>
      <c r="R868" s="45">
        <v>3.8</v>
      </c>
    </row>
    <row r="869" spans="2:18" x14ac:dyDescent="0.2">
      <c r="B869" s="25">
        <v>866</v>
      </c>
      <c r="C869" s="18">
        <v>44696</v>
      </c>
      <c r="D869" s="24">
        <f t="shared" si="65"/>
        <v>2022</v>
      </c>
      <c r="E869" s="24" t="str">
        <f t="shared" si="66"/>
        <v>Q2</v>
      </c>
      <c r="F869" s="24" t="str">
        <f t="shared" si="67"/>
        <v>May</v>
      </c>
      <c r="G869" s="24">
        <f t="shared" si="68"/>
        <v>5</v>
      </c>
      <c r="H869" s="19">
        <v>1216</v>
      </c>
      <c r="I869" s="19" t="s">
        <v>10</v>
      </c>
      <c r="J869" s="19" t="s">
        <v>5</v>
      </c>
      <c r="K869" s="20">
        <v>2</v>
      </c>
      <c r="L869" s="21">
        <v>222.75</v>
      </c>
      <c r="M869" s="22">
        <v>0.03</v>
      </c>
      <c r="N869" s="21">
        <f t="shared" si="69"/>
        <v>216.0675</v>
      </c>
      <c r="O869" s="21">
        <v>432.14</v>
      </c>
      <c r="P869" s="19" t="s">
        <v>2</v>
      </c>
      <c r="Q869" s="23">
        <v>5</v>
      </c>
      <c r="R869" s="45">
        <v>3.3</v>
      </c>
    </row>
    <row r="870" spans="2:18" x14ac:dyDescent="0.2">
      <c r="B870" s="25">
        <v>867</v>
      </c>
      <c r="C870" s="18">
        <v>44697</v>
      </c>
      <c r="D870" s="24">
        <f t="shared" si="65"/>
        <v>2022</v>
      </c>
      <c r="E870" s="24" t="str">
        <f t="shared" si="66"/>
        <v>Q2</v>
      </c>
      <c r="F870" s="24" t="str">
        <f t="shared" si="67"/>
        <v>May</v>
      </c>
      <c r="G870" s="24">
        <f t="shared" si="68"/>
        <v>5</v>
      </c>
      <c r="H870" s="19">
        <v>1300</v>
      </c>
      <c r="I870" s="19" t="s">
        <v>3</v>
      </c>
      <c r="J870" s="19" t="s">
        <v>9</v>
      </c>
      <c r="K870" s="20">
        <v>7</v>
      </c>
      <c r="L870" s="21">
        <v>179.4</v>
      </c>
      <c r="M870" s="22">
        <v>0.26</v>
      </c>
      <c r="N870" s="21">
        <f t="shared" si="69"/>
        <v>132.756</v>
      </c>
      <c r="O870" s="21">
        <v>929.29</v>
      </c>
      <c r="P870" s="19" t="s">
        <v>6</v>
      </c>
      <c r="Q870" s="23">
        <v>11</v>
      </c>
      <c r="R870" s="45">
        <v>2.2000000000000002</v>
      </c>
    </row>
    <row r="871" spans="2:18" x14ac:dyDescent="0.2">
      <c r="B871" s="25">
        <v>868</v>
      </c>
      <c r="C871" s="18">
        <v>44698</v>
      </c>
      <c r="D871" s="24">
        <f t="shared" si="65"/>
        <v>2022</v>
      </c>
      <c r="E871" s="24" t="str">
        <f t="shared" si="66"/>
        <v>Q2</v>
      </c>
      <c r="F871" s="24" t="str">
        <f t="shared" si="67"/>
        <v>May</v>
      </c>
      <c r="G871" s="24">
        <f t="shared" si="68"/>
        <v>5</v>
      </c>
      <c r="H871" s="19">
        <v>1131</v>
      </c>
      <c r="I871" s="19" t="s">
        <v>7</v>
      </c>
      <c r="J871" s="19" t="s">
        <v>9</v>
      </c>
      <c r="K871" s="20">
        <v>6</v>
      </c>
      <c r="L871" s="21">
        <v>168.45</v>
      </c>
      <c r="M871" s="22">
        <v>0.31</v>
      </c>
      <c r="N871" s="21">
        <f t="shared" si="69"/>
        <v>116.23049999999999</v>
      </c>
      <c r="O871" s="21">
        <v>697.38</v>
      </c>
      <c r="P871" s="19" t="s">
        <v>4</v>
      </c>
      <c r="Q871" s="23">
        <v>10</v>
      </c>
      <c r="R871" s="45">
        <v>2.2000000000000002</v>
      </c>
    </row>
    <row r="872" spans="2:18" x14ac:dyDescent="0.2">
      <c r="B872" s="25">
        <v>869</v>
      </c>
      <c r="C872" s="18">
        <v>44699</v>
      </c>
      <c r="D872" s="24">
        <f t="shared" si="65"/>
        <v>2022</v>
      </c>
      <c r="E872" s="24" t="str">
        <f t="shared" si="66"/>
        <v>Q2</v>
      </c>
      <c r="F872" s="24" t="str">
        <f t="shared" si="67"/>
        <v>May</v>
      </c>
      <c r="G872" s="24">
        <f t="shared" si="68"/>
        <v>5</v>
      </c>
      <c r="H872" s="19">
        <v>1803</v>
      </c>
      <c r="I872" s="19" t="s">
        <v>3</v>
      </c>
      <c r="J872" s="19" t="s">
        <v>1</v>
      </c>
      <c r="K872" s="20">
        <v>6</v>
      </c>
      <c r="L872" s="21">
        <v>145.18</v>
      </c>
      <c r="M872" s="22">
        <v>0.23</v>
      </c>
      <c r="N872" s="21">
        <f t="shared" si="69"/>
        <v>111.7886</v>
      </c>
      <c r="O872" s="21">
        <v>670.73</v>
      </c>
      <c r="P872" s="19" t="s">
        <v>2</v>
      </c>
      <c r="Q872" s="23">
        <v>4</v>
      </c>
      <c r="R872" s="45">
        <v>4.3</v>
      </c>
    </row>
    <row r="873" spans="2:18" x14ac:dyDescent="0.2">
      <c r="B873" s="25">
        <v>870</v>
      </c>
      <c r="C873" s="18">
        <v>44700</v>
      </c>
      <c r="D873" s="24">
        <f t="shared" si="65"/>
        <v>2022</v>
      </c>
      <c r="E873" s="24" t="str">
        <f t="shared" si="66"/>
        <v>Q2</v>
      </c>
      <c r="F873" s="24" t="str">
        <f t="shared" si="67"/>
        <v>May</v>
      </c>
      <c r="G873" s="24">
        <f t="shared" si="68"/>
        <v>5</v>
      </c>
      <c r="H873" s="19">
        <v>1069</v>
      </c>
      <c r="I873" s="19" t="s">
        <v>0</v>
      </c>
      <c r="J873" s="19" t="s">
        <v>8</v>
      </c>
      <c r="K873" s="20">
        <v>5</v>
      </c>
      <c r="L873" s="21">
        <v>429.84</v>
      </c>
      <c r="M873" s="22">
        <v>0.05</v>
      </c>
      <c r="N873" s="21">
        <f t="shared" si="69"/>
        <v>408.34799999999996</v>
      </c>
      <c r="O873" s="21">
        <v>2041.74</v>
      </c>
      <c r="P873" s="19" t="s">
        <v>6</v>
      </c>
      <c r="Q873" s="23">
        <v>7</v>
      </c>
      <c r="R873" s="45">
        <v>1.9</v>
      </c>
    </row>
    <row r="874" spans="2:18" x14ac:dyDescent="0.2">
      <c r="B874" s="25">
        <v>871</v>
      </c>
      <c r="C874" s="18">
        <v>44701</v>
      </c>
      <c r="D874" s="24">
        <f t="shared" si="65"/>
        <v>2022</v>
      </c>
      <c r="E874" s="24" t="str">
        <f t="shared" si="66"/>
        <v>Q2</v>
      </c>
      <c r="F874" s="24" t="str">
        <f t="shared" si="67"/>
        <v>May</v>
      </c>
      <c r="G874" s="24">
        <f t="shared" si="68"/>
        <v>5</v>
      </c>
      <c r="H874" s="19">
        <v>1251</v>
      </c>
      <c r="I874" s="19" t="s">
        <v>0</v>
      </c>
      <c r="J874" s="19" t="s">
        <v>9</v>
      </c>
      <c r="K874" s="20">
        <v>1</v>
      </c>
      <c r="L874" s="21">
        <v>64.58</v>
      </c>
      <c r="M874" s="22">
        <v>0.33</v>
      </c>
      <c r="N874" s="21">
        <f t="shared" si="69"/>
        <v>43.268599999999999</v>
      </c>
      <c r="O874" s="21">
        <v>43.27</v>
      </c>
      <c r="P874" s="19" t="s">
        <v>6</v>
      </c>
      <c r="Q874" s="23">
        <v>6</v>
      </c>
      <c r="R874" s="45">
        <v>3.1</v>
      </c>
    </row>
    <row r="875" spans="2:18" x14ac:dyDescent="0.2">
      <c r="B875" s="25">
        <v>872</v>
      </c>
      <c r="C875" s="18">
        <v>44702</v>
      </c>
      <c r="D875" s="24">
        <f t="shared" si="65"/>
        <v>2022</v>
      </c>
      <c r="E875" s="24" t="str">
        <f t="shared" si="66"/>
        <v>Q2</v>
      </c>
      <c r="F875" s="24" t="str">
        <f t="shared" si="67"/>
        <v>May</v>
      </c>
      <c r="G875" s="24">
        <f t="shared" si="68"/>
        <v>5</v>
      </c>
      <c r="H875" s="19">
        <v>1414</v>
      </c>
      <c r="I875" s="19" t="s">
        <v>7</v>
      </c>
      <c r="J875" s="19" t="s">
        <v>5</v>
      </c>
      <c r="K875" s="20">
        <v>1</v>
      </c>
      <c r="L875" s="21">
        <v>448.84</v>
      </c>
      <c r="M875" s="22">
        <v>0.35</v>
      </c>
      <c r="N875" s="21">
        <f t="shared" si="69"/>
        <v>291.74599999999998</v>
      </c>
      <c r="O875" s="21">
        <v>291.75</v>
      </c>
      <c r="P875" s="19" t="s">
        <v>4</v>
      </c>
      <c r="Q875" s="23">
        <v>7</v>
      </c>
      <c r="R875" s="45">
        <v>3.7</v>
      </c>
    </row>
    <row r="876" spans="2:18" x14ac:dyDescent="0.2">
      <c r="B876" s="25">
        <v>873</v>
      </c>
      <c r="C876" s="18">
        <v>44703</v>
      </c>
      <c r="D876" s="24">
        <f t="shared" si="65"/>
        <v>2022</v>
      </c>
      <c r="E876" s="24" t="str">
        <f t="shared" si="66"/>
        <v>Q2</v>
      </c>
      <c r="F876" s="24" t="str">
        <f t="shared" si="67"/>
        <v>May</v>
      </c>
      <c r="G876" s="24">
        <f t="shared" si="68"/>
        <v>5</v>
      </c>
      <c r="H876" s="19">
        <v>1786</v>
      </c>
      <c r="I876" s="19" t="s">
        <v>3</v>
      </c>
      <c r="J876" s="19" t="s">
        <v>8</v>
      </c>
      <c r="K876" s="20">
        <v>4</v>
      </c>
      <c r="L876" s="21">
        <v>420.65</v>
      </c>
      <c r="M876" s="22">
        <v>0.15</v>
      </c>
      <c r="N876" s="21">
        <f t="shared" si="69"/>
        <v>357.55250000000001</v>
      </c>
      <c r="O876" s="21">
        <v>1430.21</v>
      </c>
      <c r="P876" s="19" t="s">
        <v>6</v>
      </c>
      <c r="Q876" s="23">
        <v>6</v>
      </c>
      <c r="R876" s="45">
        <v>1.5</v>
      </c>
    </row>
    <row r="877" spans="2:18" x14ac:dyDescent="0.2">
      <c r="B877" s="25">
        <v>874</v>
      </c>
      <c r="C877" s="18">
        <v>44704</v>
      </c>
      <c r="D877" s="24">
        <f t="shared" si="65"/>
        <v>2022</v>
      </c>
      <c r="E877" s="24" t="str">
        <f t="shared" si="66"/>
        <v>Q2</v>
      </c>
      <c r="F877" s="24" t="str">
        <f t="shared" si="67"/>
        <v>May</v>
      </c>
      <c r="G877" s="24">
        <f t="shared" si="68"/>
        <v>5</v>
      </c>
      <c r="H877" s="19">
        <v>1444</v>
      </c>
      <c r="I877" s="19" t="s">
        <v>7</v>
      </c>
      <c r="J877" s="19" t="s">
        <v>8</v>
      </c>
      <c r="K877" s="20">
        <v>1</v>
      </c>
      <c r="L877" s="21">
        <v>161.72</v>
      </c>
      <c r="M877" s="22">
        <v>0.21</v>
      </c>
      <c r="N877" s="21">
        <f t="shared" si="69"/>
        <v>127.75880000000001</v>
      </c>
      <c r="O877" s="21">
        <v>127.76</v>
      </c>
      <c r="P877" s="19" t="s">
        <v>4</v>
      </c>
      <c r="Q877" s="23">
        <v>2</v>
      </c>
      <c r="R877" s="45">
        <v>4.7</v>
      </c>
    </row>
    <row r="878" spans="2:18" x14ac:dyDescent="0.2">
      <c r="B878" s="25">
        <v>875</v>
      </c>
      <c r="C878" s="18">
        <v>44705</v>
      </c>
      <c r="D878" s="24">
        <f t="shared" si="65"/>
        <v>2022</v>
      </c>
      <c r="E878" s="24" t="str">
        <f t="shared" si="66"/>
        <v>Q2</v>
      </c>
      <c r="F878" s="24" t="str">
        <f t="shared" si="67"/>
        <v>May</v>
      </c>
      <c r="G878" s="24">
        <f t="shared" si="68"/>
        <v>5</v>
      </c>
      <c r="H878" s="19">
        <v>1875</v>
      </c>
      <c r="I878" s="19" t="s">
        <v>0</v>
      </c>
      <c r="J878" s="19" t="s">
        <v>8</v>
      </c>
      <c r="K878" s="20">
        <v>7</v>
      </c>
      <c r="L878" s="21">
        <v>162.91</v>
      </c>
      <c r="M878" s="22">
        <v>0.27</v>
      </c>
      <c r="N878" s="21">
        <f t="shared" si="69"/>
        <v>118.92429999999999</v>
      </c>
      <c r="O878" s="21">
        <v>832.47</v>
      </c>
      <c r="P878" s="19" t="s">
        <v>4</v>
      </c>
      <c r="Q878" s="23">
        <v>7</v>
      </c>
      <c r="R878" s="45">
        <v>2</v>
      </c>
    </row>
    <row r="879" spans="2:18" x14ac:dyDescent="0.2">
      <c r="B879" s="25">
        <v>876</v>
      </c>
      <c r="C879" s="18">
        <v>44706</v>
      </c>
      <c r="D879" s="24">
        <f t="shared" si="65"/>
        <v>2022</v>
      </c>
      <c r="E879" s="24" t="str">
        <f t="shared" si="66"/>
        <v>Q2</v>
      </c>
      <c r="F879" s="24" t="str">
        <f t="shared" si="67"/>
        <v>May</v>
      </c>
      <c r="G879" s="24">
        <f t="shared" si="68"/>
        <v>5</v>
      </c>
      <c r="H879" s="19">
        <v>1181</v>
      </c>
      <c r="I879" s="19" t="s">
        <v>0</v>
      </c>
      <c r="J879" s="19" t="s">
        <v>8</v>
      </c>
      <c r="K879" s="20">
        <v>7</v>
      </c>
      <c r="L879" s="21">
        <v>382.88</v>
      </c>
      <c r="M879" s="22">
        <v>0.26</v>
      </c>
      <c r="N879" s="21">
        <f t="shared" si="69"/>
        <v>283.33119999999997</v>
      </c>
      <c r="O879" s="21">
        <v>1983.32</v>
      </c>
      <c r="P879" s="19" t="s">
        <v>4</v>
      </c>
      <c r="Q879" s="23">
        <v>8</v>
      </c>
      <c r="R879" s="45">
        <v>2.2999999999999998</v>
      </c>
    </row>
    <row r="880" spans="2:18" x14ac:dyDescent="0.2">
      <c r="B880" s="25">
        <v>877</v>
      </c>
      <c r="C880" s="18">
        <v>44707</v>
      </c>
      <c r="D880" s="24">
        <f t="shared" si="65"/>
        <v>2022</v>
      </c>
      <c r="E880" s="24" t="str">
        <f t="shared" si="66"/>
        <v>Q2</v>
      </c>
      <c r="F880" s="24" t="str">
        <f t="shared" si="67"/>
        <v>May</v>
      </c>
      <c r="G880" s="24">
        <f t="shared" si="68"/>
        <v>5</v>
      </c>
      <c r="H880" s="19">
        <v>1166</v>
      </c>
      <c r="I880" s="19" t="s">
        <v>3</v>
      </c>
      <c r="J880" s="19" t="s">
        <v>9</v>
      </c>
      <c r="K880" s="20">
        <v>5</v>
      </c>
      <c r="L880" s="21">
        <v>460.87</v>
      </c>
      <c r="M880" s="22">
        <v>0.34</v>
      </c>
      <c r="N880" s="21">
        <f t="shared" si="69"/>
        <v>304.17419999999998</v>
      </c>
      <c r="O880" s="21">
        <v>1520.87</v>
      </c>
      <c r="P880" s="19" t="s">
        <v>6</v>
      </c>
      <c r="Q880" s="23">
        <v>7</v>
      </c>
      <c r="R880" s="45">
        <v>3.7</v>
      </c>
    </row>
    <row r="881" spans="2:18" x14ac:dyDescent="0.2">
      <c r="B881" s="25">
        <v>878</v>
      </c>
      <c r="C881" s="18">
        <v>44708</v>
      </c>
      <c r="D881" s="24">
        <f t="shared" si="65"/>
        <v>2022</v>
      </c>
      <c r="E881" s="24" t="str">
        <f t="shared" si="66"/>
        <v>Q2</v>
      </c>
      <c r="F881" s="24" t="str">
        <f t="shared" si="67"/>
        <v>May</v>
      </c>
      <c r="G881" s="24">
        <f t="shared" si="68"/>
        <v>5</v>
      </c>
      <c r="H881" s="19">
        <v>1090</v>
      </c>
      <c r="I881" s="19" t="s">
        <v>10</v>
      </c>
      <c r="J881" s="19" t="s">
        <v>1</v>
      </c>
      <c r="K881" s="20">
        <v>6</v>
      </c>
      <c r="L881" s="21">
        <v>527.74</v>
      </c>
      <c r="M881" s="22">
        <v>0.04</v>
      </c>
      <c r="N881" s="21">
        <f t="shared" si="69"/>
        <v>506.63040000000001</v>
      </c>
      <c r="O881" s="21">
        <v>3039.78</v>
      </c>
      <c r="P881" s="19" t="s">
        <v>4</v>
      </c>
      <c r="Q881" s="23">
        <v>4</v>
      </c>
      <c r="R881" s="45">
        <v>1.3</v>
      </c>
    </row>
    <row r="882" spans="2:18" x14ac:dyDescent="0.2">
      <c r="B882" s="25">
        <v>879</v>
      </c>
      <c r="C882" s="18">
        <v>44709</v>
      </c>
      <c r="D882" s="24">
        <f t="shared" si="65"/>
        <v>2022</v>
      </c>
      <c r="E882" s="24" t="str">
        <f t="shared" si="66"/>
        <v>Q2</v>
      </c>
      <c r="F882" s="24" t="str">
        <f t="shared" si="67"/>
        <v>May</v>
      </c>
      <c r="G882" s="24">
        <f t="shared" si="68"/>
        <v>5</v>
      </c>
      <c r="H882" s="19">
        <v>1713</v>
      </c>
      <c r="I882" s="19" t="s">
        <v>10</v>
      </c>
      <c r="J882" s="19" t="s">
        <v>8</v>
      </c>
      <c r="K882" s="20">
        <v>2</v>
      </c>
      <c r="L882" s="21">
        <v>513.5</v>
      </c>
      <c r="M882" s="22">
        <v>0.2</v>
      </c>
      <c r="N882" s="21">
        <f t="shared" si="69"/>
        <v>410.8</v>
      </c>
      <c r="O882" s="21">
        <v>821.6</v>
      </c>
      <c r="P882" s="19" t="s">
        <v>2</v>
      </c>
      <c r="Q882" s="23">
        <v>4</v>
      </c>
      <c r="R882" s="45">
        <v>3.5</v>
      </c>
    </row>
    <row r="883" spans="2:18" x14ac:dyDescent="0.2">
      <c r="B883" s="25">
        <v>880</v>
      </c>
      <c r="C883" s="18">
        <v>44710</v>
      </c>
      <c r="D883" s="24">
        <f t="shared" si="65"/>
        <v>2022</v>
      </c>
      <c r="E883" s="24" t="str">
        <f t="shared" si="66"/>
        <v>Q2</v>
      </c>
      <c r="F883" s="24" t="str">
        <f t="shared" si="67"/>
        <v>May</v>
      </c>
      <c r="G883" s="24">
        <f t="shared" si="68"/>
        <v>5</v>
      </c>
      <c r="H883" s="19">
        <v>1857</v>
      </c>
      <c r="I883" s="19" t="s">
        <v>3</v>
      </c>
      <c r="J883" s="19" t="s">
        <v>5</v>
      </c>
      <c r="K883" s="20">
        <v>2</v>
      </c>
      <c r="L883" s="21">
        <v>579.46</v>
      </c>
      <c r="M883" s="22">
        <v>0.24</v>
      </c>
      <c r="N883" s="21">
        <f t="shared" si="69"/>
        <v>440.38960000000003</v>
      </c>
      <c r="O883" s="21">
        <v>880.78</v>
      </c>
      <c r="P883" s="19" t="s">
        <v>4</v>
      </c>
      <c r="Q883" s="23">
        <v>5</v>
      </c>
      <c r="R883" s="45">
        <v>4.7</v>
      </c>
    </row>
    <row r="884" spans="2:18" x14ac:dyDescent="0.2">
      <c r="B884" s="25">
        <v>881</v>
      </c>
      <c r="C884" s="18">
        <v>44711</v>
      </c>
      <c r="D884" s="24">
        <f t="shared" si="65"/>
        <v>2022</v>
      </c>
      <c r="E884" s="24" t="str">
        <f t="shared" si="66"/>
        <v>Q2</v>
      </c>
      <c r="F884" s="24" t="str">
        <f t="shared" si="67"/>
        <v>May</v>
      </c>
      <c r="G884" s="24">
        <f t="shared" si="68"/>
        <v>5</v>
      </c>
      <c r="H884" s="19">
        <v>1530</v>
      </c>
      <c r="I884" s="19" t="s">
        <v>7</v>
      </c>
      <c r="J884" s="19" t="s">
        <v>5</v>
      </c>
      <c r="K884" s="20">
        <v>6</v>
      </c>
      <c r="L884" s="21">
        <v>355.11</v>
      </c>
      <c r="M884" s="22">
        <v>0.31</v>
      </c>
      <c r="N884" s="21">
        <f t="shared" si="69"/>
        <v>245.02590000000001</v>
      </c>
      <c r="O884" s="21">
        <v>1470.16</v>
      </c>
      <c r="P884" s="19" t="s">
        <v>4</v>
      </c>
      <c r="Q884" s="23">
        <v>9</v>
      </c>
      <c r="R884" s="45">
        <v>2</v>
      </c>
    </row>
    <row r="885" spans="2:18" x14ac:dyDescent="0.2">
      <c r="B885" s="25">
        <v>882</v>
      </c>
      <c r="C885" s="18">
        <v>44712</v>
      </c>
      <c r="D885" s="24">
        <f t="shared" si="65"/>
        <v>2022</v>
      </c>
      <c r="E885" s="24" t="str">
        <f t="shared" si="66"/>
        <v>Q2</v>
      </c>
      <c r="F885" s="24" t="str">
        <f t="shared" si="67"/>
        <v>May</v>
      </c>
      <c r="G885" s="24">
        <f t="shared" si="68"/>
        <v>5</v>
      </c>
      <c r="H885" s="19">
        <v>1038</v>
      </c>
      <c r="I885" s="19" t="s">
        <v>3</v>
      </c>
      <c r="J885" s="19" t="s">
        <v>1</v>
      </c>
      <c r="K885" s="20">
        <v>3</v>
      </c>
      <c r="L885" s="21">
        <v>546.55999999999995</v>
      </c>
      <c r="M885" s="22">
        <v>0.31</v>
      </c>
      <c r="N885" s="21">
        <f t="shared" si="69"/>
        <v>377.12639999999999</v>
      </c>
      <c r="O885" s="21">
        <v>1131.3800000000001</v>
      </c>
      <c r="P885" s="19" t="s">
        <v>6</v>
      </c>
      <c r="Q885" s="23">
        <v>5</v>
      </c>
      <c r="R885" s="45">
        <v>2.4</v>
      </c>
    </row>
    <row r="886" spans="2:18" x14ac:dyDescent="0.2">
      <c r="B886" s="25">
        <v>883</v>
      </c>
      <c r="C886" s="18">
        <v>44713</v>
      </c>
      <c r="D886" s="24">
        <f t="shared" si="65"/>
        <v>2022</v>
      </c>
      <c r="E886" s="24" t="str">
        <f t="shared" si="66"/>
        <v>Q2</v>
      </c>
      <c r="F886" s="24" t="str">
        <f t="shared" si="67"/>
        <v>Jun</v>
      </c>
      <c r="G886" s="24">
        <f t="shared" si="68"/>
        <v>6</v>
      </c>
      <c r="H886" s="19">
        <v>1125</v>
      </c>
      <c r="I886" s="19" t="s">
        <v>10</v>
      </c>
      <c r="J886" s="19" t="s">
        <v>9</v>
      </c>
      <c r="K886" s="20">
        <v>6</v>
      </c>
      <c r="L886" s="21">
        <v>487.98</v>
      </c>
      <c r="M886" s="22">
        <v>0.34</v>
      </c>
      <c r="N886" s="21">
        <f t="shared" si="69"/>
        <v>322.0668</v>
      </c>
      <c r="O886" s="21">
        <v>1932.4</v>
      </c>
      <c r="P886" s="19" t="s">
        <v>6</v>
      </c>
      <c r="Q886" s="23">
        <v>2</v>
      </c>
      <c r="R886" s="45">
        <v>1.9</v>
      </c>
    </row>
    <row r="887" spans="2:18" x14ac:dyDescent="0.2">
      <c r="B887" s="25">
        <v>884</v>
      </c>
      <c r="C887" s="18">
        <v>44714</v>
      </c>
      <c r="D887" s="24">
        <f t="shared" si="65"/>
        <v>2022</v>
      </c>
      <c r="E887" s="24" t="str">
        <f t="shared" si="66"/>
        <v>Q2</v>
      </c>
      <c r="F887" s="24" t="str">
        <f t="shared" si="67"/>
        <v>Jun</v>
      </c>
      <c r="G887" s="24">
        <f t="shared" si="68"/>
        <v>6</v>
      </c>
      <c r="H887" s="19">
        <v>1450</v>
      </c>
      <c r="I887" s="19" t="s">
        <v>10</v>
      </c>
      <c r="J887" s="19" t="s">
        <v>1</v>
      </c>
      <c r="K887" s="20">
        <v>2</v>
      </c>
      <c r="L887" s="21">
        <v>538.38</v>
      </c>
      <c r="M887" s="22">
        <v>0.18</v>
      </c>
      <c r="N887" s="21">
        <f t="shared" si="69"/>
        <v>441.47159999999997</v>
      </c>
      <c r="O887" s="21">
        <v>882.94</v>
      </c>
      <c r="P887" s="19" t="s">
        <v>4</v>
      </c>
      <c r="Q887" s="23">
        <v>5</v>
      </c>
      <c r="R887" s="45">
        <v>4.3</v>
      </c>
    </row>
    <row r="888" spans="2:18" x14ac:dyDescent="0.2">
      <c r="B888" s="25">
        <v>885</v>
      </c>
      <c r="C888" s="18">
        <v>44715</v>
      </c>
      <c r="D888" s="24">
        <f t="shared" si="65"/>
        <v>2022</v>
      </c>
      <c r="E888" s="24" t="str">
        <f t="shared" si="66"/>
        <v>Q2</v>
      </c>
      <c r="F888" s="24" t="str">
        <f t="shared" si="67"/>
        <v>Jun</v>
      </c>
      <c r="G888" s="24">
        <f t="shared" si="68"/>
        <v>6</v>
      </c>
      <c r="H888" s="19">
        <v>1172</v>
      </c>
      <c r="I888" s="19" t="s">
        <v>3</v>
      </c>
      <c r="J888" s="19" t="s">
        <v>8</v>
      </c>
      <c r="K888" s="20">
        <v>4</v>
      </c>
      <c r="L888" s="21">
        <v>21.8</v>
      </c>
      <c r="M888" s="22">
        <v>0.28999999999999998</v>
      </c>
      <c r="N888" s="21">
        <f t="shared" si="69"/>
        <v>15.478000000000002</v>
      </c>
      <c r="O888" s="21">
        <v>61.91</v>
      </c>
      <c r="P888" s="19" t="s">
        <v>4</v>
      </c>
      <c r="Q888" s="23">
        <v>3</v>
      </c>
      <c r="R888" s="45">
        <v>1.7</v>
      </c>
    </row>
    <row r="889" spans="2:18" x14ac:dyDescent="0.2">
      <c r="B889" s="25">
        <v>886</v>
      </c>
      <c r="C889" s="18">
        <v>44716</v>
      </c>
      <c r="D889" s="24">
        <f t="shared" si="65"/>
        <v>2022</v>
      </c>
      <c r="E889" s="24" t="str">
        <f t="shared" si="66"/>
        <v>Q2</v>
      </c>
      <c r="F889" s="24" t="str">
        <f t="shared" si="67"/>
        <v>Jun</v>
      </c>
      <c r="G889" s="24">
        <f t="shared" si="68"/>
        <v>6</v>
      </c>
      <c r="H889" s="19">
        <v>1652</v>
      </c>
      <c r="I889" s="19" t="s">
        <v>0</v>
      </c>
      <c r="J889" s="19" t="s">
        <v>9</v>
      </c>
      <c r="K889" s="20">
        <v>5</v>
      </c>
      <c r="L889" s="21">
        <v>580.04999999999995</v>
      </c>
      <c r="M889" s="22">
        <v>0.15</v>
      </c>
      <c r="N889" s="21">
        <f t="shared" si="69"/>
        <v>493.04249999999996</v>
      </c>
      <c r="O889" s="21">
        <v>2465.21</v>
      </c>
      <c r="P889" s="19" t="s">
        <v>4</v>
      </c>
      <c r="Q889" s="23">
        <v>10</v>
      </c>
      <c r="R889" s="45">
        <v>2.4</v>
      </c>
    </row>
    <row r="890" spans="2:18" x14ac:dyDescent="0.2">
      <c r="B890" s="25">
        <v>887</v>
      </c>
      <c r="C890" s="18">
        <v>44717</v>
      </c>
      <c r="D890" s="24">
        <f t="shared" si="65"/>
        <v>2022</v>
      </c>
      <c r="E890" s="24" t="str">
        <f t="shared" si="66"/>
        <v>Q2</v>
      </c>
      <c r="F890" s="24" t="str">
        <f t="shared" si="67"/>
        <v>Jun</v>
      </c>
      <c r="G890" s="24">
        <f t="shared" si="68"/>
        <v>6</v>
      </c>
      <c r="H890" s="19">
        <v>1753</v>
      </c>
      <c r="I890" s="19" t="s">
        <v>7</v>
      </c>
      <c r="J890" s="19" t="s">
        <v>9</v>
      </c>
      <c r="K890" s="20">
        <v>6</v>
      </c>
      <c r="L890" s="21">
        <v>292.02</v>
      </c>
      <c r="M890" s="22">
        <v>0.15</v>
      </c>
      <c r="N890" s="21">
        <f t="shared" si="69"/>
        <v>248.21699999999998</v>
      </c>
      <c r="O890" s="21">
        <v>1489.3</v>
      </c>
      <c r="P890" s="19" t="s">
        <v>6</v>
      </c>
      <c r="Q890" s="23">
        <v>8</v>
      </c>
      <c r="R890" s="45">
        <v>3.4</v>
      </c>
    </row>
    <row r="891" spans="2:18" x14ac:dyDescent="0.2">
      <c r="B891" s="25">
        <v>888</v>
      </c>
      <c r="C891" s="18">
        <v>44718</v>
      </c>
      <c r="D891" s="24">
        <f t="shared" si="65"/>
        <v>2022</v>
      </c>
      <c r="E891" s="24" t="str">
        <f t="shared" si="66"/>
        <v>Q2</v>
      </c>
      <c r="F891" s="24" t="str">
        <f t="shared" si="67"/>
        <v>Jun</v>
      </c>
      <c r="G891" s="24">
        <f t="shared" si="68"/>
        <v>6</v>
      </c>
      <c r="H891" s="19">
        <v>1219</v>
      </c>
      <c r="I891" s="19" t="s">
        <v>3</v>
      </c>
      <c r="J891" s="19" t="s">
        <v>8</v>
      </c>
      <c r="K891" s="20">
        <v>3</v>
      </c>
      <c r="L891" s="21">
        <v>481.94</v>
      </c>
      <c r="M891" s="22">
        <v>0.09</v>
      </c>
      <c r="N891" s="21">
        <f t="shared" si="69"/>
        <v>438.56540000000001</v>
      </c>
      <c r="O891" s="21">
        <v>1315.7</v>
      </c>
      <c r="P891" s="19" t="s">
        <v>4</v>
      </c>
      <c r="Q891" s="23">
        <v>10</v>
      </c>
      <c r="R891" s="45">
        <v>2.6</v>
      </c>
    </row>
    <row r="892" spans="2:18" x14ac:dyDescent="0.2">
      <c r="B892" s="25">
        <v>889</v>
      </c>
      <c r="C892" s="18">
        <v>44719</v>
      </c>
      <c r="D892" s="24">
        <f t="shared" si="65"/>
        <v>2022</v>
      </c>
      <c r="E892" s="24" t="str">
        <f t="shared" si="66"/>
        <v>Q2</v>
      </c>
      <c r="F892" s="24" t="str">
        <f t="shared" si="67"/>
        <v>Jun</v>
      </c>
      <c r="G892" s="24">
        <f t="shared" si="68"/>
        <v>6</v>
      </c>
      <c r="H892" s="19">
        <v>1637</v>
      </c>
      <c r="I892" s="19" t="s">
        <v>10</v>
      </c>
      <c r="J892" s="19" t="s">
        <v>5</v>
      </c>
      <c r="K892" s="20">
        <v>4</v>
      </c>
      <c r="L892" s="21">
        <v>89.41</v>
      </c>
      <c r="M892" s="22">
        <v>0.28999999999999998</v>
      </c>
      <c r="N892" s="21">
        <f t="shared" si="69"/>
        <v>63.481099999999998</v>
      </c>
      <c r="O892" s="21">
        <v>253.92</v>
      </c>
      <c r="P892" s="19" t="s">
        <v>6</v>
      </c>
      <c r="Q892" s="23">
        <v>10</v>
      </c>
      <c r="R892" s="45">
        <v>1.3</v>
      </c>
    </row>
    <row r="893" spans="2:18" x14ac:dyDescent="0.2">
      <c r="B893" s="25">
        <v>890</v>
      </c>
      <c r="C893" s="18">
        <v>44720</v>
      </c>
      <c r="D893" s="24">
        <f t="shared" si="65"/>
        <v>2022</v>
      </c>
      <c r="E893" s="24" t="str">
        <f t="shared" si="66"/>
        <v>Q2</v>
      </c>
      <c r="F893" s="24" t="str">
        <f t="shared" si="67"/>
        <v>Jun</v>
      </c>
      <c r="G893" s="24">
        <f t="shared" si="68"/>
        <v>6</v>
      </c>
      <c r="H893" s="19">
        <v>1057</v>
      </c>
      <c r="I893" s="19" t="s">
        <v>10</v>
      </c>
      <c r="J893" s="19" t="s">
        <v>8</v>
      </c>
      <c r="K893" s="20">
        <v>6</v>
      </c>
      <c r="L893" s="21">
        <v>246.63</v>
      </c>
      <c r="M893" s="22">
        <v>0.35</v>
      </c>
      <c r="N893" s="21">
        <f t="shared" si="69"/>
        <v>160.30950000000001</v>
      </c>
      <c r="O893" s="21">
        <v>961.86</v>
      </c>
      <c r="P893" s="19" t="s">
        <v>6</v>
      </c>
      <c r="Q893" s="23">
        <v>2</v>
      </c>
      <c r="R893" s="45">
        <v>4.8</v>
      </c>
    </row>
    <row r="894" spans="2:18" x14ac:dyDescent="0.2">
      <c r="B894" s="25">
        <v>891</v>
      </c>
      <c r="C894" s="18">
        <v>44721</v>
      </c>
      <c r="D894" s="24">
        <f t="shared" si="65"/>
        <v>2022</v>
      </c>
      <c r="E894" s="24" t="str">
        <f t="shared" si="66"/>
        <v>Q2</v>
      </c>
      <c r="F894" s="24" t="str">
        <f t="shared" si="67"/>
        <v>Jun</v>
      </c>
      <c r="G894" s="24">
        <f t="shared" si="68"/>
        <v>6</v>
      </c>
      <c r="H894" s="19">
        <v>1659</v>
      </c>
      <c r="I894" s="19" t="s">
        <v>3</v>
      </c>
      <c r="J894" s="19" t="s">
        <v>1</v>
      </c>
      <c r="K894" s="20">
        <v>4</v>
      </c>
      <c r="L894" s="21">
        <v>173.8</v>
      </c>
      <c r="M894" s="22">
        <v>0.09</v>
      </c>
      <c r="N894" s="21">
        <f t="shared" si="69"/>
        <v>158.15800000000002</v>
      </c>
      <c r="O894" s="21">
        <v>632.63</v>
      </c>
      <c r="P894" s="19" t="s">
        <v>4</v>
      </c>
      <c r="Q894" s="23">
        <v>11</v>
      </c>
      <c r="R894" s="45">
        <v>2.4</v>
      </c>
    </row>
    <row r="895" spans="2:18" x14ac:dyDescent="0.2">
      <c r="B895" s="25">
        <v>892</v>
      </c>
      <c r="C895" s="18">
        <v>44722</v>
      </c>
      <c r="D895" s="24">
        <f t="shared" si="65"/>
        <v>2022</v>
      </c>
      <c r="E895" s="24" t="str">
        <f t="shared" si="66"/>
        <v>Q2</v>
      </c>
      <c r="F895" s="24" t="str">
        <f t="shared" si="67"/>
        <v>Jun</v>
      </c>
      <c r="G895" s="24">
        <f t="shared" si="68"/>
        <v>6</v>
      </c>
      <c r="H895" s="19">
        <v>1475</v>
      </c>
      <c r="I895" s="19" t="s">
        <v>7</v>
      </c>
      <c r="J895" s="19" t="s">
        <v>8</v>
      </c>
      <c r="K895" s="20">
        <v>6</v>
      </c>
      <c r="L895" s="21">
        <v>185.62</v>
      </c>
      <c r="M895" s="22">
        <v>0.02</v>
      </c>
      <c r="N895" s="21">
        <f t="shared" si="69"/>
        <v>181.9076</v>
      </c>
      <c r="O895" s="21">
        <v>1091.45</v>
      </c>
      <c r="P895" s="19" t="s">
        <v>4</v>
      </c>
      <c r="Q895" s="23">
        <v>4</v>
      </c>
      <c r="R895" s="45">
        <v>2.8</v>
      </c>
    </row>
    <row r="896" spans="2:18" x14ac:dyDescent="0.2">
      <c r="B896" s="25">
        <v>893</v>
      </c>
      <c r="C896" s="18">
        <v>44723</v>
      </c>
      <c r="D896" s="24">
        <f t="shared" si="65"/>
        <v>2022</v>
      </c>
      <c r="E896" s="24" t="str">
        <f t="shared" si="66"/>
        <v>Q2</v>
      </c>
      <c r="F896" s="24" t="str">
        <f t="shared" si="67"/>
        <v>Jun</v>
      </c>
      <c r="G896" s="24">
        <f t="shared" si="68"/>
        <v>6</v>
      </c>
      <c r="H896" s="19">
        <v>1455</v>
      </c>
      <c r="I896" s="19" t="s">
        <v>7</v>
      </c>
      <c r="J896" s="19" t="s">
        <v>5</v>
      </c>
      <c r="K896" s="20">
        <v>4</v>
      </c>
      <c r="L896" s="21">
        <v>87.1</v>
      </c>
      <c r="M896" s="22">
        <v>0.28999999999999998</v>
      </c>
      <c r="N896" s="21">
        <f t="shared" si="69"/>
        <v>61.840999999999994</v>
      </c>
      <c r="O896" s="21">
        <v>247.36</v>
      </c>
      <c r="P896" s="19" t="s">
        <v>4</v>
      </c>
      <c r="Q896" s="23">
        <v>5</v>
      </c>
      <c r="R896" s="45">
        <v>1.7</v>
      </c>
    </row>
    <row r="897" spans="2:18" x14ac:dyDescent="0.2">
      <c r="B897" s="25">
        <v>894</v>
      </c>
      <c r="C897" s="18">
        <v>44724</v>
      </c>
      <c r="D897" s="24">
        <f t="shared" si="65"/>
        <v>2022</v>
      </c>
      <c r="E897" s="24" t="str">
        <f t="shared" si="66"/>
        <v>Q2</v>
      </c>
      <c r="F897" s="24" t="str">
        <f t="shared" si="67"/>
        <v>Jun</v>
      </c>
      <c r="G897" s="24">
        <f t="shared" si="68"/>
        <v>6</v>
      </c>
      <c r="H897" s="19">
        <v>1828</v>
      </c>
      <c r="I897" s="19" t="s">
        <v>3</v>
      </c>
      <c r="J897" s="19" t="s">
        <v>8</v>
      </c>
      <c r="K897" s="20">
        <v>7</v>
      </c>
      <c r="L897" s="21">
        <v>486.37</v>
      </c>
      <c r="M897" s="22">
        <v>0.22</v>
      </c>
      <c r="N897" s="21">
        <f t="shared" si="69"/>
        <v>379.36860000000001</v>
      </c>
      <c r="O897" s="21">
        <v>2655.58</v>
      </c>
      <c r="P897" s="19" t="s">
        <v>4</v>
      </c>
      <c r="Q897" s="23">
        <v>4</v>
      </c>
      <c r="R897" s="45">
        <v>4.5</v>
      </c>
    </row>
    <row r="898" spans="2:18" x14ac:dyDescent="0.2">
      <c r="B898" s="25">
        <v>895</v>
      </c>
      <c r="C898" s="18">
        <v>44725</v>
      </c>
      <c r="D898" s="24">
        <f t="shared" si="65"/>
        <v>2022</v>
      </c>
      <c r="E898" s="24" t="str">
        <f t="shared" si="66"/>
        <v>Q2</v>
      </c>
      <c r="F898" s="24" t="str">
        <f t="shared" si="67"/>
        <v>Jun</v>
      </c>
      <c r="G898" s="24">
        <f t="shared" si="68"/>
        <v>6</v>
      </c>
      <c r="H898" s="19">
        <v>1894</v>
      </c>
      <c r="I898" s="19" t="s">
        <v>3</v>
      </c>
      <c r="J898" s="19" t="s">
        <v>1</v>
      </c>
      <c r="K898" s="20">
        <v>1</v>
      </c>
      <c r="L898" s="21">
        <v>20.41</v>
      </c>
      <c r="M898" s="22">
        <v>0.34</v>
      </c>
      <c r="N898" s="21">
        <f t="shared" si="69"/>
        <v>13.470599999999999</v>
      </c>
      <c r="O898" s="21">
        <v>13.47</v>
      </c>
      <c r="P898" s="19" t="s">
        <v>6</v>
      </c>
      <c r="Q898" s="23">
        <v>5</v>
      </c>
      <c r="R898" s="45">
        <v>2.2000000000000002</v>
      </c>
    </row>
    <row r="899" spans="2:18" x14ac:dyDescent="0.2">
      <c r="B899" s="25">
        <v>896</v>
      </c>
      <c r="C899" s="18">
        <v>44726</v>
      </c>
      <c r="D899" s="24">
        <f t="shared" si="65"/>
        <v>2022</v>
      </c>
      <c r="E899" s="24" t="str">
        <f t="shared" si="66"/>
        <v>Q2</v>
      </c>
      <c r="F899" s="24" t="str">
        <f t="shared" si="67"/>
        <v>Jun</v>
      </c>
      <c r="G899" s="24">
        <f t="shared" si="68"/>
        <v>6</v>
      </c>
      <c r="H899" s="19">
        <v>1360</v>
      </c>
      <c r="I899" s="19" t="s">
        <v>7</v>
      </c>
      <c r="J899" s="19" t="s">
        <v>1</v>
      </c>
      <c r="K899" s="20">
        <v>4</v>
      </c>
      <c r="L899" s="21">
        <v>197.82</v>
      </c>
      <c r="M899" s="22">
        <v>0.09</v>
      </c>
      <c r="N899" s="21">
        <f t="shared" si="69"/>
        <v>180.0162</v>
      </c>
      <c r="O899" s="21">
        <v>720.06</v>
      </c>
      <c r="P899" s="19" t="s">
        <v>6</v>
      </c>
      <c r="Q899" s="23">
        <v>10</v>
      </c>
      <c r="R899" s="45">
        <v>1.1000000000000001</v>
      </c>
    </row>
    <row r="900" spans="2:18" x14ac:dyDescent="0.2">
      <c r="B900" s="25">
        <v>897</v>
      </c>
      <c r="C900" s="18">
        <v>44727</v>
      </c>
      <c r="D900" s="24">
        <f t="shared" ref="D900:D963" si="70">YEAR(C900)</f>
        <v>2022</v>
      </c>
      <c r="E900" s="24" t="str">
        <f t="shared" ref="E900:E963" si="71">"Q"&amp;ROUNDUP(MONTH(C900)/3,0)</f>
        <v>Q2</v>
      </c>
      <c r="F900" s="24" t="str">
        <f t="shared" ref="F900:F963" si="72">TEXT(C900,"mmm")</f>
        <v>Jun</v>
      </c>
      <c r="G900" s="24">
        <f t="shared" ref="G900:G963" si="73">MONTH(C900)</f>
        <v>6</v>
      </c>
      <c r="H900" s="19">
        <v>1934</v>
      </c>
      <c r="I900" s="19" t="s">
        <v>10</v>
      </c>
      <c r="J900" s="19" t="s">
        <v>5</v>
      </c>
      <c r="K900" s="20">
        <v>7</v>
      </c>
      <c r="L900" s="21">
        <v>117.03</v>
      </c>
      <c r="M900" s="22">
        <v>0.02</v>
      </c>
      <c r="N900" s="21">
        <f t="shared" si="69"/>
        <v>114.68940000000001</v>
      </c>
      <c r="O900" s="21">
        <v>802.83</v>
      </c>
      <c r="P900" s="19" t="s">
        <v>6</v>
      </c>
      <c r="Q900" s="23">
        <v>11</v>
      </c>
      <c r="R900" s="45">
        <v>2.2999999999999998</v>
      </c>
    </row>
    <row r="901" spans="2:18" x14ac:dyDescent="0.2">
      <c r="B901" s="25">
        <v>898</v>
      </c>
      <c r="C901" s="18">
        <v>44728</v>
      </c>
      <c r="D901" s="24">
        <f t="shared" si="70"/>
        <v>2022</v>
      </c>
      <c r="E901" s="24" t="str">
        <f t="shared" si="71"/>
        <v>Q2</v>
      </c>
      <c r="F901" s="24" t="str">
        <f t="shared" si="72"/>
        <v>Jun</v>
      </c>
      <c r="G901" s="24">
        <f t="shared" si="73"/>
        <v>6</v>
      </c>
      <c r="H901" s="19">
        <v>1000</v>
      </c>
      <c r="I901" s="19" t="s">
        <v>3</v>
      </c>
      <c r="J901" s="19" t="s">
        <v>1</v>
      </c>
      <c r="K901" s="20">
        <v>1</v>
      </c>
      <c r="L901" s="21">
        <v>359.59</v>
      </c>
      <c r="M901" s="22">
        <v>0.17</v>
      </c>
      <c r="N901" s="21">
        <f t="shared" ref="N901:N964" si="74">L901-(L901*M901)</f>
        <v>298.4597</v>
      </c>
      <c r="O901" s="21">
        <v>298.45999999999998</v>
      </c>
      <c r="P901" s="19" t="s">
        <v>4</v>
      </c>
      <c r="Q901" s="23">
        <v>4</v>
      </c>
      <c r="R901" s="45">
        <v>4.9000000000000004</v>
      </c>
    </row>
    <row r="902" spans="2:18" x14ac:dyDescent="0.2">
      <c r="B902" s="25">
        <v>899</v>
      </c>
      <c r="C902" s="18">
        <v>44729</v>
      </c>
      <c r="D902" s="24">
        <f t="shared" si="70"/>
        <v>2022</v>
      </c>
      <c r="E902" s="24" t="str">
        <f t="shared" si="71"/>
        <v>Q2</v>
      </c>
      <c r="F902" s="24" t="str">
        <f t="shared" si="72"/>
        <v>Jun</v>
      </c>
      <c r="G902" s="24">
        <f t="shared" si="73"/>
        <v>6</v>
      </c>
      <c r="H902" s="19">
        <v>1386</v>
      </c>
      <c r="I902" s="19" t="s">
        <v>10</v>
      </c>
      <c r="J902" s="19" t="s">
        <v>1</v>
      </c>
      <c r="K902" s="20">
        <v>2</v>
      </c>
      <c r="L902" s="21">
        <v>163.74</v>
      </c>
      <c r="M902" s="22">
        <v>0.03</v>
      </c>
      <c r="N902" s="21">
        <f t="shared" si="74"/>
        <v>158.8278</v>
      </c>
      <c r="O902" s="21">
        <v>317.66000000000003</v>
      </c>
      <c r="P902" s="19" t="s">
        <v>2</v>
      </c>
      <c r="Q902" s="23">
        <v>3</v>
      </c>
      <c r="R902" s="45">
        <v>1.6</v>
      </c>
    </row>
    <row r="903" spans="2:18" x14ac:dyDescent="0.2">
      <c r="B903" s="25">
        <v>900</v>
      </c>
      <c r="C903" s="18">
        <v>44730</v>
      </c>
      <c r="D903" s="24">
        <f t="shared" si="70"/>
        <v>2022</v>
      </c>
      <c r="E903" s="24" t="str">
        <f t="shared" si="71"/>
        <v>Q2</v>
      </c>
      <c r="F903" s="24" t="str">
        <f t="shared" si="72"/>
        <v>Jun</v>
      </c>
      <c r="G903" s="24">
        <f t="shared" si="73"/>
        <v>6</v>
      </c>
      <c r="H903" s="19">
        <v>1972</v>
      </c>
      <c r="I903" s="19" t="s">
        <v>10</v>
      </c>
      <c r="J903" s="19" t="s">
        <v>8</v>
      </c>
      <c r="K903" s="20">
        <v>1</v>
      </c>
      <c r="L903" s="21">
        <v>166.51</v>
      </c>
      <c r="M903" s="22">
        <v>0.09</v>
      </c>
      <c r="N903" s="21">
        <f t="shared" si="74"/>
        <v>151.5241</v>
      </c>
      <c r="O903" s="21">
        <v>151.52000000000001</v>
      </c>
      <c r="P903" s="19" t="s">
        <v>4</v>
      </c>
      <c r="Q903" s="23">
        <v>1</v>
      </c>
      <c r="R903" s="45">
        <v>1.1000000000000001</v>
      </c>
    </row>
    <row r="904" spans="2:18" x14ac:dyDescent="0.2">
      <c r="B904" s="25">
        <v>901</v>
      </c>
      <c r="C904" s="18">
        <v>44731</v>
      </c>
      <c r="D904" s="24">
        <f t="shared" si="70"/>
        <v>2022</v>
      </c>
      <c r="E904" s="24" t="str">
        <f t="shared" si="71"/>
        <v>Q2</v>
      </c>
      <c r="F904" s="24" t="str">
        <f t="shared" si="72"/>
        <v>Jun</v>
      </c>
      <c r="G904" s="24">
        <f t="shared" si="73"/>
        <v>6</v>
      </c>
      <c r="H904" s="19">
        <v>1347</v>
      </c>
      <c r="I904" s="19" t="s">
        <v>7</v>
      </c>
      <c r="J904" s="19" t="s">
        <v>9</v>
      </c>
      <c r="K904" s="20">
        <v>4</v>
      </c>
      <c r="L904" s="21">
        <v>300.68</v>
      </c>
      <c r="M904" s="22">
        <v>0.04</v>
      </c>
      <c r="N904" s="21">
        <f t="shared" si="74"/>
        <v>288.65280000000001</v>
      </c>
      <c r="O904" s="21">
        <v>1154.6099999999999</v>
      </c>
      <c r="P904" s="19" t="s">
        <v>4</v>
      </c>
      <c r="Q904" s="23">
        <v>4</v>
      </c>
      <c r="R904" s="45">
        <v>3.3</v>
      </c>
    </row>
    <row r="905" spans="2:18" x14ac:dyDescent="0.2">
      <c r="B905" s="25">
        <v>902</v>
      </c>
      <c r="C905" s="18">
        <v>44732</v>
      </c>
      <c r="D905" s="24">
        <f t="shared" si="70"/>
        <v>2022</v>
      </c>
      <c r="E905" s="24" t="str">
        <f t="shared" si="71"/>
        <v>Q2</v>
      </c>
      <c r="F905" s="24" t="str">
        <f t="shared" si="72"/>
        <v>Jun</v>
      </c>
      <c r="G905" s="24">
        <f t="shared" si="73"/>
        <v>6</v>
      </c>
      <c r="H905" s="19">
        <v>1189</v>
      </c>
      <c r="I905" s="19" t="s">
        <v>7</v>
      </c>
      <c r="J905" s="19" t="s">
        <v>1</v>
      </c>
      <c r="K905" s="20">
        <v>5</v>
      </c>
      <c r="L905" s="21">
        <v>396.82</v>
      </c>
      <c r="M905" s="22">
        <v>0.08</v>
      </c>
      <c r="N905" s="21">
        <f t="shared" si="74"/>
        <v>365.07439999999997</v>
      </c>
      <c r="O905" s="21">
        <v>1825.37</v>
      </c>
      <c r="P905" s="19" t="s">
        <v>6</v>
      </c>
      <c r="Q905" s="23">
        <v>9</v>
      </c>
      <c r="R905" s="45">
        <v>2.5</v>
      </c>
    </row>
    <row r="906" spans="2:18" x14ac:dyDescent="0.2">
      <c r="B906" s="25">
        <v>903</v>
      </c>
      <c r="C906" s="18">
        <v>44733</v>
      </c>
      <c r="D906" s="24">
        <f t="shared" si="70"/>
        <v>2022</v>
      </c>
      <c r="E906" s="24" t="str">
        <f t="shared" si="71"/>
        <v>Q2</v>
      </c>
      <c r="F906" s="24" t="str">
        <f t="shared" si="72"/>
        <v>Jun</v>
      </c>
      <c r="G906" s="24">
        <f t="shared" si="73"/>
        <v>6</v>
      </c>
      <c r="H906" s="19">
        <v>1504</v>
      </c>
      <c r="I906" s="19" t="s">
        <v>10</v>
      </c>
      <c r="J906" s="19" t="s">
        <v>1</v>
      </c>
      <c r="K906" s="20">
        <v>5</v>
      </c>
      <c r="L906" s="21">
        <v>85.96</v>
      </c>
      <c r="M906" s="22">
        <v>0.04</v>
      </c>
      <c r="N906" s="21">
        <f t="shared" si="74"/>
        <v>82.521599999999992</v>
      </c>
      <c r="O906" s="21">
        <v>412.61</v>
      </c>
      <c r="P906" s="19" t="s">
        <v>2</v>
      </c>
      <c r="Q906" s="23">
        <v>1</v>
      </c>
      <c r="R906" s="45">
        <v>4.2</v>
      </c>
    </row>
    <row r="907" spans="2:18" x14ac:dyDescent="0.2">
      <c r="B907" s="25">
        <v>904</v>
      </c>
      <c r="C907" s="18">
        <v>44734</v>
      </c>
      <c r="D907" s="24">
        <f t="shared" si="70"/>
        <v>2022</v>
      </c>
      <c r="E907" s="24" t="str">
        <f t="shared" si="71"/>
        <v>Q2</v>
      </c>
      <c r="F907" s="24" t="str">
        <f t="shared" si="72"/>
        <v>Jun</v>
      </c>
      <c r="G907" s="24">
        <f t="shared" si="73"/>
        <v>6</v>
      </c>
      <c r="H907" s="19">
        <v>1190</v>
      </c>
      <c r="I907" s="19" t="s">
        <v>3</v>
      </c>
      <c r="J907" s="19" t="s">
        <v>5</v>
      </c>
      <c r="K907" s="20">
        <v>2</v>
      </c>
      <c r="L907" s="21">
        <v>117.67</v>
      </c>
      <c r="M907" s="22">
        <v>0.33</v>
      </c>
      <c r="N907" s="21">
        <f t="shared" si="74"/>
        <v>78.838899999999995</v>
      </c>
      <c r="O907" s="21">
        <v>157.68</v>
      </c>
      <c r="P907" s="19" t="s">
        <v>4</v>
      </c>
      <c r="Q907" s="23">
        <v>7</v>
      </c>
      <c r="R907" s="45">
        <v>3.9</v>
      </c>
    </row>
    <row r="908" spans="2:18" x14ac:dyDescent="0.2">
      <c r="B908" s="25">
        <v>905</v>
      </c>
      <c r="C908" s="18">
        <v>44735</v>
      </c>
      <c r="D908" s="24">
        <f t="shared" si="70"/>
        <v>2022</v>
      </c>
      <c r="E908" s="24" t="str">
        <f t="shared" si="71"/>
        <v>Q2</v>
      </c>
      <c r="F908" s="24" t="str">
        <f t="shared" si="72"/>
        <v>Jun</v>
      </c>
      <c r="G908" s="24">
        <f t="shared" si="73"/>
        <v>6</v>
      </c>
      <c r="H908" s="19">
        <v>1507</v>
      </c>
      <c r="I908" s="19" t="s">
        <v>10</v>
      </c>
      <c r="J908" s="19" t="s">
        <v>5</v>
      </c>
      <c r="K908" s="20">
        <v>4</v>
      </c>
      <c r="L908" s="21">
        <v>159.6</v>
      </c>
      <c r="M908" s="22">
        <v>0.1</v>
      </c>
      <c r="N908" s="21">
        <f t="shared" si="74"/>
        <v>143.63999999999999</v>
      </c>
      <c r="O908" s="21">
        <v>574.55999999999995</v>
      </c>
      <c r="P908" s="19" t="s">
        <v>6</v>
      </c>
      <c r="Q908" s="23">
        <v>3</v>
      </c>
      <c r="R908" s="45">
        <v>1.7</v>
      </c>
    </row>
    <row r="909" spans="2:18" x14ac:dyDescent="0.2">
      <c r="B909" s="25">
        <v>906</v>
      </c>
      <c r="C909" s="18">
        <v>44736</v>
      </c>
      <c r="D909" s="24">
        <f t="shared" si="70"/>
        <v>2022</v>
      </c>
      <c r="E909" s="24" t="str">
        <f t="shared" si="71"/>
        <v>Q2</v>
      </c>
      <c r="F909" s="24" t="str">
        <f t="shared" si="72"/>
        <v>Jun</v>
      </c>
      <c r="G909" s="24">
        <f t="shared" si="73"/>
        <v>6</v>
      </c>
      <c r="H909" s="19">
        <v>1368</v>
      </c>
      <c r="I909" s="19" t="s">
        <v>10</v>
      </c>
      <c r="J909" s="19" t="s">
        <v>8</v>
      </c>
      <c r="K909" s="20">
        <v>1</v>
      </c>
      <c r="L909" s="21">
        <v>584.64</v>
      </c>
      <c r="M909" s="22">
        <v>0.16</v>
      </c>
      <c r="N909" s="21">
        <f t="shared" si="74"/>
        <v>491.0976</v>
      </c>
      <c r="O909" s="21">
        <v>491.1</v>
      </c>
      <c r="P909" s="19" t="s">
        <v>2</v>
      </c>
      <c r="Q909" s="23">
        <v>8</v>
      </c>
      <c r="R909" s="45">
        <v>3.3</v>
      </c>
    </row>
    <row r="910" spans="2:18" x14ac:dyDescent="0.2">
      <c r="B910" s="25">
        <v>907</v>
      </c>
      <c r="C910" s="18">
        <v>44737</v>
      </c>
      <c r="D910" s="24">
        <f t="shared" si="70"/>
        <v>2022</v>
      </c>
      <c r="E910" s="24" t="str">
        <f t="shared" si="71"/>
        <v>Q2</v>
      </c>
      <c r="F910" s="24" t="str">
        <f t="shared" si="72"/>
        <v>Jun</v>
      </c>
      <c r="G910" s="24">
        <f t="shared" si="73"/>
        <v>6</v>
      </c>
      <c r="H910" s="19">
        <v>1408</v>
      </c>
      <c r="I910" s="19" t="s">
        <v>10</v>
      </c>
      <c r="J910" s="19" t="s">
        <v>8</v>
      </c>
      <c r="K910" s="20">
        <v>5</v>
      </c>
      <c r="L910" s="21">
        <v>247.33</v>
      </c>
      <c r="M910" s="22">
        <v>0.31</v>
      </c>
      <c r="N910" s="21">
        <f t="shared" si="74"/>
        <v>170.65770000000001</v>
      </c>
      <c r="O910" s="21">
        <v>853.29</v>
      </c>
      <c r="P910" s="19" t="s">
        <v>6</v>
      </c>
      <c r="Q910" s="23">
        <v>6</v>
      </c>
      <c r="R910" s="45">
        <v>1.1000000000000001</v>
      </c>
    </row>
    <row r="911" spans="2:18" x14ac:dyDescent="0.2">
      <c r="B911" s="25">
        <v>908</v>
      </c>
      <c r="C911" s="18">
        <v>44738</v>
      </c>
      <c r="D911" s="24">
        <f t="shared" si="70"/>
        <v>2022</v>
      </c>
      <c r="E911" s="24" t="str">
        <f t="shared" si="71"/>
        <v>Q2</v>
      </c>
      <c r="F911" s="24" t="str">
        <f t="shared" si="72"/>
        <v>Jun</v>
      </c>
      <c r="G911" s="24">
        <f t="shared" si="73"/>
        <v>6</v>
      </c>
      <c r="H911" s="19">
        <v>1823</v>
      </c>
      <c r="I911" s="19" t="s">
        <v>0</v>
      </c>
      <c r="J911" s="19" t="s">
        <v>1</v>
      </c>
      <c r="K911" s="20">
        <v>6</v>
      </c>
      <c r="L911" s="21">
        <v>365.41</v>
      </c>
      <c r="M911" s="22">
        <v>0.24</v>
      </c>
      <c r="N911" s="21">
        <f t="shared" si="74"/>
        <v>277.71160000000003</v>
      </c>
      <c r="O911" s="21">
        <v>1666.27</v>
      </c>
      <c r="P911" s="19" t="s">
        <v>4</v>
      </c>
      <c r="Q911" s="23">
        <v>1</v>
      </c>
      <c r="R911" s="45">
        <v>2.8</v>
      </c>
    </row>
    <row r="912" spans="2:18" x14ac:dyDescent="0.2">
      <c r="B912" s="25">
        <v>909</v>
      </c>
      <c r="C912" s="18">
        <v>44739</v>
      </c>
      <c r="D912" s="24">
        <f t="shared" si="70"/>
        <v>2022</v>
      </c>
      <c r="E912" s="24" t="str">
        <f t="shared" si="71"/>
        <v>Q2</v>
      </c>
      <c r="F912" s="24" t="str">
        <f t="shared" si="72"/>
        <v>Jun</v>
      </c>
      <c r="G912" s="24">
        <f t="shared" si="73"/>
        <v>6</v>
      </c>
      <c r="H912" s="19">
        <v>1928</v>
      </c>
      <c r="I912" s="19" t="s">
        <v>3</v>
      </c>
      <c r="J912" s="19" t="s">
        <v>9</v>
      </c>
      <c r="K912" s="20">
        <v>3</v>
      </c>
      <c r="L912" s="21">
        <v>156.30000000000001</v>
      </c>
      <c r="M912" s="22">
        <v>0.22</v>
      </c>
      <c r="N912" s="21">
        <f t="shared" si="74"/>
        <v>121.91400000000002</v>
      </c>
      <c r="O912" s="21">
        <v>365.74</v>
      </c>
      <c r="P912" s="19" t="s">
        <v>2</v>
      </c>
      <c r="Q912" s="23">
        <v>10</v>
      </c>
      <c r="R912" s="45">
        <v>3.9</v>
      </c>
    </row>
    <row r="913" spans="2:18" x14ac:dyDescent="0.2">
      <c r="B913" s="25">
        <v>910</v>
      </c>
      <c r="C913" s="18">
        <v>44740</v>
      </c>
      <c r="D913" s="24">
        <f t="shared" si="70"/>
        <v>2022</v>
      </c>
      <c r="E913" s="24" t="str">
        <f t="shared" si="71"/>
        <v>Q2</v>
      </c>
      <c r="F913" s="24" t="str">
        <f t="shared" si="72"/>
        <v>Jun</v>
      </c>
      <c r="G913" s="24">
        <f t="shared" si="73"/>
        <v>6</v>
      </c>
      <c r="H913" s="19">
        <v>1933</v>
      </c>
      <c r="I913" s="19" t="s">
        <v>3</v>
      </c>
      <c r="J913" s="19" t="s">
        <v>9</v>
      </c>
      <c r="K913" s="20">
        <v>4</v>
      </c>
      <c r="L913" s="21">
        <v>301.92</v>
      </c>
      <c r="M913" s="22">
        <v>0.25</v>
      </c>
      <c r="N913" s="21">
        <f t="shared" si="74"/>
        <v>226.44</v>
      </c>
      <c r="O913" s="21">
        <v>905.76</v>
      </c>
      <c r="P913" s="19" t="s">
        <v>6</v>
      </c>
      <c r="Q913" s="23">
        <v>5</v>
      </c>
      <c r="R913" s="45">
        <v>2.7</v>
      </c>
    </row>
    <row r="914" spans="2:18" x14ac:dyDescent="0.2">
      <c r="B914" s="25">
        <v>911</v>
      </c>
      <c r="C914" s="18">
        <v>44741</v>
      </c>
      <c r="D914" s="24">
        <f t="shared" si="70"/>
        <v>2022</v>
      </c>
      <c r="E914" s="24" t="str">
        <f t="shared" si="71"/>
        <v>Q2</v>
      </c>
      <c r="F914" s="24" t="str">
        <f t="shared" si="72"/>
        <v>Jun</v>
      </c>
      <c r="G914" s="24">
        <f t="shared" si="73"/>
        <v>6</v>
      </c>
      <c r="H914" s="19">
        <v>1116</v>
      </c>
      <c r="I914" s="19" t="s">
        <v>3</v>
      </c>
      <c r="J914" s="19" t="s">
        <v>8</v>
      </c>
      <c r="K914" s="20">
        <v>7</v>
      </c>
      <c r="L914" s="21">
        <v>58.36</v>
      </c>
      <c r="M914" s="22">
        <v>0.28999999999999998</v>
      </c>
      <c r="N914" s="21">
        <f t="shared" si="74"/>
        <v>41.435600000000001</v>
      </c>
      <c r="O914" s="21">
        <v>290.05</v>
      </c>
      <c r="P914" s="19" t="s">
        <v>6</v>
      </c>
      <c r="Q914" s="23">
        <v>8</v>
      </c>
      <c r="R914" s="45">
        <v>1.5</v>
      </c>
    </row>
    <row r="915" spans="2:18" x14ac:dyDescent="0.2">
      <c r="B915" s="25">
        <v>912</v>
      </c>
      <c r="C915" s="18">
        <v>44742</v>
      </c>
      <c r="D915" s="24">
        <f t="shared" si="70"/>
        <v>2022</v>
      </c>
      <c r="E915" s="24" t="str">
        <f t="shared" si="71"/>
        <v>Q2</v>
      </c>
      <c r="F915" s="24" t="str">
        <f t="shared" si="72"/>
        <v>Jun</v>
      </c>
      <c r="G915" s="24">
        <f t="shared" si="73"/>
        <v>6</v>
      </c>
      <c r="H915" s="19">
        <v>1133</v>
      </c>
      <c r="I915" s="19" t="s">
        <v>7</v>
      </c>
      <c r="J915" s="19" t="s">
        <v>5</v>
      </c>
      <c r="K915" s="20">
        <v>7</v>
      </c>
      <c r="L915" s="21">
        <v>35.32</v>
      </c>
      <c r="M915" s="22">
        <v>0.31</v>
      </c>
      <c r="N915" s="21">
        <f t="shared" si="74"/>
        <v>24.370800000000003</v>
      </c>
      <c r="O915" s="21">
        <v>170.6</v>
      </c>
      <c r="P915" s="19" t="s">
        <v>6</v>
      </c>
      <c r="Q915" s="23">
        <v>11</v>
      </c>
      <c r="R915" s="45">
        <v>1.2</v>
      </c>
    </row>
    <row r="916" spans="2:18" x14ac:dyDescent="0.2">
      <c r="B916" s="25">
        <v>913</v>
      </c>
      <c r="C916" s="18">
        <v>44743</v>
      </c>
      <c r="D916" s="24">
        <f t="shared" si="70"/>
        <v>2022</v>
      </c>
      <c r="E916" s="24" t="str">
        <f t="shared" si="71"/>
        <v>Q3</v>
      </c>
      <c r="F916" s="24" t="str">
        <f t="shared" si="72"/>
        <v>Jul</v>
      </c>
      <c r="G916" s="24">
        <f t="shared" si="73"/>
        <v>7</v>
      </c>
      <c r="H916" s="19">
        <v>1057</v>
      </c>
      <c r="I916" s="19" t="s">
        <v>3</v>
      </c>
      <c r="J916" s="19" t="s">
        <v>1</v>
      </c>
      <c r="K916" s="20">
        <v>6</v>
      </c>
      <c r="L916" s="21">
        <v>289.20999999999998</v>
      </c>
      <c r="M916" s="22">
        <v>0.22</v>
      </c>
      <c r="N916" s="21">
        <f t="shared" si="74"/>
        <v>225.5838</v>
      </c>
      <c r="O916" s="21">
        <v>1353.5</v>
      </c>
      <c r="P916" s="19" t="s">
        <v>2</v>
      </c>
      <c r="Q916" s="23">
        <v>3</v>
      </c>
      <c r="R916" s="45">
        <v>4.4000000000000004</v>
      </c>
    </row>
    <row r="917" spans="2:18" x14ac:dyDescent="0.2">
      <c r="B917" s="25">
        <v>914</v>
      </c>
      <c r="C917" s="18">
        <v>44744</v>
      </c>
      <c r="D917" s="24">
        <f t="shared" si="70"/>
        <v>2022</v>
      </c>
      <c r="E917" s="24" t="str">
        <f t="shared" si="71"/>
        <v>Q3</v>
      </c>
      <c r="F917" s="24" t="str">
        <f t="shared" si="72"/>
        <v>Jul</v>
      </c>
      <c r="G917" s="24">
        <f t="shared" si="73"/>
        <v>7</v>
      </c>
      <c r="H917" s="19">
        <v>1555</v>
      </c>
      <c r="I917" s="19" t="s">
        <v>7</v>
      </c>
      <c r="J917" s="19" t="s">
        <v>1</v>
      </c>
      <c r="K917" s="20">
        <v>6</v>
      </c>
      <c r="L917" s="21">
        <v>248.22</v>
      </c>
      <c r="M917" s="22">
        <v>0.31</v>
      </c>
      <c r="N917" s="21">
        <f t="shared" si="74"/>
        <v>171.27179999999998</v>
      </c>
      <c r="O917" s="21">
        <v>1027.6300000000001</v>
      </c>
      <c r="P917" s="19" t="s">
        <v>4</v>
      </c>
      <c r="Q917" s="23">
        <v>4</v>
      </c>
      <c r="R917" s="45">
        <v>4.5999999999999996</v>
      </c>
    </row>
    <row r="918" spans="2:18" x14ac:dyDescent="0.2">
      <c r="B918" s="25">
        <v>915</v>
      </c>
      <c r="C918" s="18">
        <v>44745</v>
      </c>
      <c r="D918" s="24">
        <f t="shared" si="70"/>
        <v>2022</v>
      </c>
      <c r="E918" s="24" t="str">
        <f t="shared" si="71"/>
        <v>Q3</v>
      </c>
      <c r="F918" s="24" t="str">
        <f t="shared" si="72"/>
        <v>Jul</v>
      </c>
      <c r="G918" s="24">
        <f t="shared" si="73"/>
        <v>7</v>
      </c>
      <c r="H918" s="19">
        <v>1684</v>
      </c>
      <c r="I918" s="19" t="s">
        <v>0</v>
      </c>
      <c r="J918" s="19" t="s">
        <v>9</v>
      </c>
      <c r="K918" s="20">
        <v>4</v>
      </c>
      <c r="L918" s="21">
        <v>95.07</v>
      </c>
      <c r="M918" s="22">
        <v>0.19</v>
      </c>
      <c r="N918" s="21">
        <f t="shared" si="74"/>
        <v>77.006699999999995</v>
      </c>
      <c r="O918" s="21">
        <v>308.02999999999997</v>
      </c>
      <c r="P918" s="19" t="s">
        <v>4</v>
      </c>
      <c r="Q918" s="23">
        <v>7</v>
      </c>
      <c r="R918" s="45">
        <v>2.4</v>
      </c>
    </row>
    <row r="919" spans="2:18" x14ac:dyDescent="0.2">
      <c r="B919" s="25">
        <v>916</v>
      </c>
      <c r="C919" s="18">
        <v>44746</v>
      </c>
      <c r="D919" s="24">
        <f t="shared" si="70"/>
        <v>2022</v>
      </c>
      <c r="E919" s="24" t="str">
        <f t="shared" si="71"/>
        <v>Q3</v>
      </c>
      <c r="F919" s="24" t="str">
        <f t="shared" si="72"/>
        <v>Jul</v>
      </c>
      <c r="G919" s="24">
        <f t="shared" si="73"/>
        <v>7</v>
      </c>
      <c r="H919" s="19">
        <v>1671</v>
      </c>
      <c r="I919" s="19" t="s">
        <v>3</v>
      </c>
      <c r="J919" s="19" t="s">
        <v>8</v>
      </c>
      <c r="K919" s="20">
        <v>3</v>
      </c>
      <c r="L919" s="21">
        <v>417.25</v>
      </c>
      <c r="M919" s="22">
        <v>0.1</v>
      </c>
      <c r="N919" s="21">
        <f t="shared" si="74"/>
        <v>375.52499999999998</v>
      </c>
      <c r="O919" s="21">
        <v>1126.58</v>
      </c>
      <c r="P919" s="19" t="s">
        <v>6</v>
      </c>
      <c r="Q919" s="23">
        <v>11</v>
      </c>
      <c r="R919" s="45">
        <v>1.7</v>
      </c>
    </row>
    <row r="920" spans="2:18" x14ac:dyDescent="0.2">
      <c r="B920" s="25">
        <v>917</v>
      </c>
      <c r="C920" s="18">
        <v>44747</v>
      </c>
      <c r="D920" s="24">
        <f t="shared" si="70"/>
        <v>2022</v>
      </c>
      <c r="E920" s="24" t="str">
        <f t="shared" si="71"/>
        <v>Q3</v>
      </c>
      <c r="F920" s="24" t="str">
        <f t="shared" si="72"/>
        <v>Jul</v>
      </c>
      <c r="G920" s="24">
        <f t="shared" si="73"/>
        <v>7</v>
      </c>
      <c r="H920" s="19">
        <v>1172</v>
      </c>
      <c r="I920" s="19" t="s">
        <v>3</v>
      </c>
      <c r="J920" s="19" t="s">
        <v>9</v>
      </c>
      <c r="K920" s="20">
        <v>5</v>
      </c>
      <c r="L920" s="21">
        <v>595.85</v>
      </c>
      <c r="M920" s="22">
        <v>0.31</v>
      </c>
      <c r="N920" s="21">
        <f t="shared" si="74"/>
        <v>411.13650000000001</v>
      </c>
      <c r="O920" s="21">
        <v>2055.6799999999998</v>
      </c>
      <c r="P920" s="19" t="s">
        <v>4</v>
      </c>
      <c r="Q920" s="23">
        <v>6</v>
      </c>
      <c r="R920" s="45">
        <v>4.9000000000000004</v>
      </c>
    </row>
    <row r="921" spans="2:18" x14ac:dyDescent="0.2">
      <c r="B921" s="25">
        <v>918</v>
      </c>
      <c r="C921" s="18">
        <v>44748</v>
      </c>
      <c r="D921" s="24">
        <f t="shared" si="70"/>
        <v>2022</v>
      </c>
      <c r="E921" s="24" t="str">
        <f t="shared" si="71"/>
        <v>Q3</v>
      </c>
      <c r="F921" s="24" t="str">
        <f t="shared" si="72"/>
        <v>Jul</v>
      </c>
      <c r="G921" s="24">
        <f t="shared" si="73"/>
        <v>7</v>
      </c>
      <c r="H921" s="19">
        <v>1828</v>
      </c>
      <c r="I921" s="19" t="s">
        <v>3</v>
      </c>
      <c r="J921" s="19" t="s">
        <v>9</v>
      </c>
      <c r="K921" s="20">
        <v>3</v>
      </c>
      <c r="L921" s="21">
        <v>246.45</v>
      </c>
      <c r="M921" s="22">
        <v>0.19</v>
      </c>
      <c r="N921" s="21">
        <f t="shared" si="74"/>
        <v>199.62449999999998</v>
      </c>
      <c r="O921" s="21">
        <v>598.87</v>
      </c>
      <c r="P921" s="19" t="s">
        <v>4</v>
      </c>
      <c r="Q921" s="23">
        <v>7</v>
      </c>
      <c r="R921" s="45">
        <v>3.2</v>
      </c>
    </row>
    <row r="922" spans="2:18" x14ac:dyDescent="0.2">
      <c r="B922" s="25">
        <v>919</v>
      </c>
      <c r="C922" s="18">
        <v>44749</v>
      </c>
      <c r="D922" s="24">
        <f t="shared" si="70"/>
        <v>2022</v>
      </c>
      <c r="E922" s="24" t="str">
        <f t="shared" si="71"/>
        <v>Q3</v>
      </c>
      <c r="F922" s="24" t="str">
        <f t="shared" si="72"/>
        <v>Jul</v>
      </c>
      <c r="G922" s="24">
        <f t="shared" si="73"/>
        <v>7</v>
      </c>
      <c r="H922" s="19">
        <v>1814</v>
      </c>
      <c r="I922" s="19" t="s">
        <v>7</v>
      </c>
      <c r="J922" s="19" t="s">
        <v>8</v>
      </c>
      <c r="K922" s="20">
        <v>2</v>
      </c>
      <c r="L922" s="21">
        <v>380.37</v>
      </c>
      <c r="M922" s="22">
        <v>0.32</v>
      </c>
      <c r="N922" s="21">
        <f t="shared" si="74"/>
        <v>258.65160000000003</v>
      </c>
      <c r="O922" s="21">
        <v>517.29999999999995</v>
      </c>
      <c r="P922" s="19" t="s">
        <v>6</v>
      </c>
      <c r="Q922" s="23">
        <v>9</v>
      </c>
      <c r="R922" s="45">
        <v>2.9</v>
      </c>
    </row>
    <row r="923" spans="2:18" x14ac:dyDescent="0.2">
      <c r="B923" s="25">
        <v>920</v>
      </c>
      <c r="C923" s="18">
        <v>44750</v>
      </c>
      <c r="D923" s="24">
        <f t="shared" si="70"/>
        <v>2022</v>
      </c>
      <c r="E923" s="24" t="str">
        <f t="shared" si="71"/>
        <v>Q3</v>
      </c>
      <c r="F923" s="24" t="str">
        <f t="shared" si="72"/>
        <v>Jul</v>
      </c>
      <c r="G923" s="24">
        <f t="shared" si="73"/>
        <v>7</v>
      </c>
      <c r="H923" s="19">
        <v>1148</v>
      </c>
      <c r="I923" s="19" t="s">
        <v>7</v>
      </c>
      <c r="J923" s="19" t="s">
        <v>5</v>
      </c>
      <c r="K923" s="20">
        <v>1</v>
      </c>
      <c r="L923" s="21">
        <v>578.34</v>
      </c>
      <c r="M923" s="22">
        <v>0.01</v>
      </c>
      <c r="N923" s="21">
        <f t="shared" si="74"/>
        <v>572.5566</v>
      </c>
      <c r="O923" s="21">
        <v>572.55999999999995</v>
      </c>
      <c r="P923" s="19" t="s">
        <v>4</v>
      </c>
      <c r="Q923" s="23">
        <v>9</v>
      </c>
      <c r="R923" s="45">
        <v>4</v>
      </c>
    </row>
    <row r="924" spans="2:18" x14ac:dyDescent="0.2">
      <c r="B924" s="25">
        <v>921</v>
      </c>
      <c r="C924" s="18">
        <v>44751</v>
      </c>
      <c r="D924" s="24">
        <f t="shared" si="70"/>
        <v>2022</v>
      </c>
      <c r="E924" s="24" t="str">
        <f t="shared" si="71"/>
        <v>Q3</v>
      </c>
      <c r="F924" s="24" t="str">
        <f t="shared" si="72"/>
        <v>Jul</v>
      </c>
      <c r="G924" s="24">
        <f t="shared" si="73"/>
        <v>7</v>
      </c>
      <c r="H924" s="19">
        <v>1079</v>
      </c>
      <c r="I924" s="19" t="s">
        <v>3</v>
      </c>
      <c r="J924" s="19" t="s">
        <v>1</v>
      </c>
      <c r="K924" s="20">
        <v>1</v>
      </c>
      <c r="L924" s="21">
        <v>501.45</v>
      </c>
      <c r="M924" s="22">
        <v>0.14000000000000001</v>
      </c>
      <c r="N924" s="21">
        <f t="shared" si="74"/>
        <v>431.24699999999996</v>
      </c>
      <c r="O924" s="21">
        <v>431.25</v>
      </c>
      <c r="P924" s="19" t="s">
        <v>6</v>
      </c>
      <c r="Q924" s="23">
        <v>2</v>
      </c>
      <c r="R924" s="45">
        <v>1.7</v>
      </c>
    </row>
    <row r="925" spans="2:18" x14ac:dyDescent="0.2">
      <c r="B925" s="25">
        <v>922</v>
      </c>
      <c r="C925" s="18">
        <v>44752</v>
      </c>
      <c r="D925" s="24">
        <f t="shared" si="70"/>
        <v>2022</v>
      </c>
      <c r="E925" s="24" t="str">
        <f t="shared" si="71"/>
        <v>Q3</v>
      </c>
      <c r="F925" s="24" t="str">
        <f t="shared" si="72"/>
        <v>Jul</v>
      </c>
      <c r="G925" s="24">
        <f t="shared" si="73"/>
        <v>7</v>
      </c>
      <c r="H925" s="19">
        <v>1885</v>
      </c>
      <c r="I925" s="19" t="s">
        <v>7</v>
      </c>
      <c r="J925" s="19" t="s">
        <v>5</v>
      </c>
      <c r="K925" s="20">
        <v>6</v>
      </c>
      <c r="L925" s="21">
        <v>286.18</v>
      </c>
      <c r="M925" s="22">
        <v>0.33</v>
      </c>
      <c r="N925" s="21">
        <f t="shared" si="74"/>
        <v>191.7406</v>
      </c>
      <c r="O925" s="21">
        <v>1150.44</v>
      </c>
      <c r="P925" s="19" t="s">
        <v>2</v>
      </c>
      <c r="Q925" s="23">
        <v>3</v>
      </c>
      <c r="R925" s="45">
        <v>3.3</v>
      </c>
    </row>
    <row r="926" spans="2:18" x14ac:dyDescent="0.2">
      <c r="B926" s="25">
        <v>923</v>
      </c>
      <c r="C926" s="18">
        <v>44753</v>
      </c>
      <c r="D926" s="24">
        <f t="shared" si="70"/>
        <v>2022</v>
      </c>
      <c r="E926" s="24" t="str">
        <f t="shared" si="71"/>
        <v>Q3</v>
      </c>
      <c r="F926" s="24" t="str">
        <f t="shared" si="72"/>
        <v>Jul</v>
      </c>
      <c r="G926" s="24">
        <f t="shared" si="73"/>
        <v>7</v>
      </c>
      <c r="H926" s="19">
        <v>1212</v>
      </c>
      <c r="I926" s="19" t="s">
        <v>3</v>
      </c>
      <c r="J926" s="19" t="s">
        <v>8</v>
      </c>
      <c r="K926" s="20">
        <v>5</v>
      </c>
      <c r="L926" s="21">
        <v>446.43</v>
      </c>
      <c r="M926" s="22">
        <v>0.09</v>
      </c>
      <c r="N926" s="21">
        <f t="shared" si="74"/>
        <v>406.25130000000001</v>
      </c>
      <c r="O926" s="21">
        <v>2031.26</v>
      </c>
      <c r="P926" s="19" t="s">
        <v>4</v>
      </c>
      <c r="Q926" s="23">
        <v>4</v>
      </c>
      <c r="R926" s="45">
        <v>4.5999999999999996</v>
      </c>
    </row>
    <row r="927" spans="2:18" x14ac:dyDescent="0.2">
      <c r="B927" s="25">
        <v>924</v>
      </c>
      <c r="C927" s="18">
        <v>44754</v>
      </c>
      <c r="D927" s="24">
        <f t="shared" si="70"/>
        <v>2022</v>
      </c>
      <c r="E927" s="24" t="str">
        <f t="shared" si="71"/>
        <v>Q3</v>
      </c>
      <c r="F927" s="24" t="str">
        <f t="shared" si="72"/>
        <v>Jul</v>
      </c>
      <c r="G927" s="24">
        <f t="shared" si="73"/>
        <v>7</v>
      </c>
      <c r="H927" s="19">
        <v>1202</v>
      </c>
      <c r="I927" s="19" t="s">
        <v>0</v>
      </c>
      <c r="J927" s="19" t="s">
        <v>8</v>
      </c>
      <c r="K927" s="20">
        <v>3</v>
      </c>
      <c r="L927" s="21">
        <v>89.96</v>
      </c>
      <c r="M927" s="22">
        <v>0.33</v>
      </c>
      <c r="N927" s="21">
        <f t="shared" si="74"/>
        <v>60.273199999999996</v>
      </c>
      <c r="O927" s="21">
        <v>180.82</v>
      </c>
      <c r="P927" s="19" t="s">
        <v>2</v>
      </c>
      <c r="Q927" s="23">
        <v>6</v>
      </c>
      <c r="R927" s="45">
        <v>1.1000000000000001</v>
      </c>
    </row>
    <row r="928" spans="2:18" x14ac:dyDescent="0.2">
      <c r="B928" s="25">
        <v>925</v>
      </c>
      <c r="C928" s="18">
        <v>44755</v>
      </c>
      <c r="D928" s="24">
        <f t="shared" si="70"/>
        <v>2022</v>
      </c>
      <c r="E928" s="24" t="str">
        <f t="shared" si="71"/>
        <v>Q3</v>
      </c>
      <c r="F928" s="24" t="str">
        <f t="shared" si="72"/>
        <v>Jul</v>
      </c>
      <c r="G928" s="24">
        <f t="shared" si="73"/>
        <v>7</v>
      </c>
      <c r="H928" s="19">
        <v>1763</v>
      </c>
      <c r="I928" s="19" t="s">
        <v>0</v>
      </c>
      <c r="J928" s="19" t="s">
        <v>1</v>
      </c>
      <c r="K928" s="20">
        <v>6</v>
      </c>
      <c r="L928" s="21">
        <v>314.58</v>
      </c>
      <c r="M928" s="22">
        <v>0.33</v>
      </c>
      <c r="N928" s="21">
        <f t="shared" si="74"/>
        <v>210.76859999999999</v>
      </c>
      <c r="O928" s="21">
        <v>1264.6099999999999</v>
      </c>
      <c r="P928" s="19" t="s">
        <v>4</v>
      </c>
      <c r="Q928" s="23">
        <v>5</v>
      </c>
      <c r="R928" s="45">
        <v>3.7</v>
      </c>
    </row>
    <row r="929" spans="2:18" x14ac:dyDescent="0.2">
      <c r="B929" s="25">
        <v>926</v>
      </c>
      <c r="C929" s="18">
        <v>44756</v>
      </c>
      <c r="D929" s="24">
        <f t="shared" si="70"/>
        <v>2022</v>
      </c>
      <c r="E929" s="24" t="str">
        <f t="shared" si="71"/>
        <v>Q3</v>
      </c>
      <c r="F929" s="24" t="str">
        <f t="shared" si="72"/>
        <v>Jul</v>
      </c>
      <c r="G929" s="24">
        <f t="shared" si="73"/>
        <v>7</v>
      </c>
      <c r="H929" s="19">
        <v>1228</v>
      </c>
      <c r="I929" s="19" t="s">
        <v>10</v>
      </c>
      <c r="J929" s="19" t="s">
        <v>5</v>
      </c>
      <c r="K929" s="20">
        <v>4</v>
      </c>
      <c r="L929" s="21">
        <v>178.25</v>
      </c>
      <c r="M929" s="22">
        <v>0.31</v>
      </c>
      <c r="N929" s="21">
        <f t="shared" si="74"/>
        <v>122.99250000000001</v>
      </c>
      <c r="O929" s="21">
        <v>491.97</v>
      </c>
      <c r="P929" s="19" t="s">
        <v>2</v>
      </c>
      <c r="Q929" s="23">
        <v>6</v>
      </c>
      <c r="R929" s="45">
        <v>3.2</v>
      </c>
    </row>
    <row r="930" spans="2:18" x14ac:dyDescent="0.2">
      <c r="B930" s="25">
        <v>927</v>
      </c>
      <c r="C930" s="18">
        <v>44757</v>
      </c>
      <c r="D930" s="24">
        <f t="shared" si="70"/>
        <v>2022</v>
      </c>
      <c r="E930" s="24" t="str">
        <f t="shared" si="71"/>
        <v>Q3</v>
      </c>
      <c r="F930" s="24" t="str">
        <f t="shared" si="72"/>
        <v>Jul</v>
      </c>
      <c r="G930" s="24">
        <f t="shared" si="73"/>
        <v>7</v>
      </c>
      <c r="H930" s="19">
        <v>1675</v>
      </c>
      <c r="I930" s="19" t="s">
        <v>7</v>
      </c>
      <c r="J930" s="19" t="s">
        <v>1</v>
      </c>
      <c r="K930" s="20">
        <v>6</v>
      </c>
      <c r="L930" s="21">
        <v>109.28</v>
      </c>
      <c r="M930" s="22">
        <v>0.2</v>
      </c>
      <c r="N930" s="21">
        <f t="shared" si="74"/>
        <v>87.424000000000007</v>
      </c>
      <c r="O930" s="21">
        <v>524.54</v>
      </c>
      <c r="P930" s="19" t="s">
        <v>2</v>
      </c>
      <c r="Q930" s="23">
        <v>11</v>
      </c>
      <c r="R930" s="45">
        <v>4.8</v>
      </c>
    </row>
    <row r="931" spans="2:18" x14ac:dyDescent="0.2">
      <c r="B931" s="25">
        <v>928</v>
      </c>
      <c r="C931" s="18">
        <v>44758</v>
      </c>
      <c r="D931" s="24">
        <f t="shared" si="70"/>
        <v>2022</v>
      </c>
      <c r="E931" s="24" t="str">
        <f t="shared" si="71"/>
        <v>Q3</v>
      </c>
      <c r="F931" s="24" t="str">
        <f t="shared" si="72"/>
        <v>Jul</v>
      </c>
      <c r="G931" s="24">
        <f t="shared" si="73"/>
        <v>7</v>
      </c>
      <c r="H931" s="19">
        <v>1226</v>
      </c>
      <c r="I931" s="19" t="s">
        <v>0</v>
      </c>
      <c r="J931" s="19" t="s">
        <v>9</v>
      </c>
      <c r="K931" s="20">
        <v>4</v>
      </c>
      <c r="L931" s="21">
        <v>264.37</v>
      </c>
      <c r="M931" s="22">
        <v>0.23</v>
      </c>
      <c r="N931" s="21">
        <f t="shared" si="74"/>
        <v>203.56489999999999</v>
      </c>
      <c r="O931" s="21">
        <v>814.26</v>
      </c>
      <c r="P931" s="19" t="s">
        <v>4</v>
      </c>
      <c r="Q931" s="23">
        <v>8</v>
      </c>
      <c r="R931" s="45">
        <v>2</v>
      </c>
    </row>
    <row r="932" spans="2:18" x14ac:dyDescent="0.2">
      <c r="B932" s="25">
        <v>929</v>
      </c>
      <c r="C932" s="18">
        <v>44759</v>
      </c>
      <c r="D932" s="24">
        <f t="shared" si="70"/>
        <v>2022</v>
      </c>
      <c r="E932" s="24" t="str">
        <f t="shared" si="71"/>
        <v>Q3</v>
      </c>
      <c r="F932" s="24" t="str">
        <f t="shared" si="72"/>
        <v>Jul</v>
      </c>
      <c r="G932" s="24">
        <f t="shared" si="73"/>
        <v>7</v>
      </c>
      <c r="H932" s="19">
        <v>1658</v>
      </c>
      <c r="I932" s="19" t="s">
        <v>0</v>
      </c>
      <c r="J932" s="19" t="s">
        <v>9</v>
      </c>
      <c r="K932" s="20">
        <v>4</v>
      </c>
      <c r="L932" s="21">
        <v>91.64</v>
      </c>
      <c r="M932" s="22">
        <v>0.3</v>
      </c>
      <c r="N932" s="21">
        <f t="shared" si="74"/>
        <v>64.147999999999996</v>
      </c>
      <c r="O932" s="21">
        <v>256.58999999999997</v>
      </c>
      <c r="P932" s="19" t="s">
        <v>4</v>
      </c>
      <c r="Q932" s="23">
        <v>2</v>
      </c>
      <c r="R932" s="45">
        <v>4.4000000000000004</v>
      </c>
    </row>
    <row r="933" spans="2:18" x14ac:dyDescent="0.2">
      <c r="B933" s="25">
        <v>930</v>
      </c>
      <c r="C933" s="18">
        <v>44760</v>
      </c>
      <c r="D933" s="24">
        <f t="shared" si="70"/>
        <v>2022</v>
      </c>
      <c r="E933" s="24" t="str">
        <f t="shared" si="71"/>
        <v>Q3</v>
      </c>
      <c r="F933" s="24" t="str">
        <f t="shared" si="72"/>
        <v>Jul</v>
      </c>
      <c r="G933" s="24">
        <f t="shared" si="73"/>
        <v>7</v>
      </c>
      <c r="H933" s="19">
        <v>1531</v>
      </c>
      <c r="I933" s="19" t="s">
        <v>7</v>
      </c>
      <c r="J933" s="19" t="s">
        <v>9</v>
      </c>
      <c r="K933" s="20">
        <v>2</v>
      </c>
      <c r="L933" s="21">
        <v>423.91</v>
      </c>
      <c r="M933" s="22">
        <v>0.27</v>
      </c>
      <c r="N933" s="21">
        <f t="shared" si="74"/>
        <v>309.45429999999999</v>
      </c>
      <c r="O933" s="21">
        <v>618.91</v>
      </c>
      <c r="P933" s="19" t="s">
        <v>4</v>
      </c>
      <c r="Q933" s="23">
        <v>6</v>
      </c>
      <c r="R933" s="45">
        <v>2.2000000000000002</v>
      </c>
    </row>
    <row r="934" spans="2:18" x14ac:dyDescent="0.2">
      <c r="B934" s="25">
        <v>931</v>
      </c>
      <c r="C934" s="18">
        <v>44761</v>
      </c>
      <c r="D934" s="24">
        <f t="shared" si="70"/>
        <v>2022</v>
      </c>
      <c r="E934" s="24" t="str">
        <f t="shared" si="71"/>
        <v>Q3</v>
      </c>
      <c r="F934" s="24" t="str">
        <f t="shared" si="72"/>
        <v>Jul</v>
      </c>
      <c r="G934" s="24">
        <f t="shared" si="73"/>
        <v>7</v>
      </c>
      <c r="H934" s="19">
        <v>1440</v>
      </c>
      <c r="I934" s="19" t="s">
        <v>10</v>
      </c>
      <c r="J934" s="19" t="s">
        <v>5</v>
      </c>
      <c r="K934" s="20">
        <v>2</v>
      </c>
      <c r="L934" s="21">
        <v>281.89999999999998</v>
      </c>
      <c r="M934" s="22">
        <v>0.22</v>
      </c>
      <c r="N934" s="21">
        <f t="shared" si="74"/>
        <v>219.88199999999998</v>
      </c>
      <c r="O934" s="21">
        <v>439.76</v>
      </c>
      <c r="P934" s="19" t="s">
        <v>2</v>
      </c>
      <c r="Q934" s="23">
        <v>9</v>
      </c>
      <c r="R934" s="45">
        <v>2.7</v>
      </c>
    </row>
    <row r="935" spans="2:18" x14ac:dyDescent="0.2">
      <c r="B935" s="25">
        <v>932</v>
      </c>
      <c r="C935" s="18">
        <v>44762</v>
      </c>
      <c r="D935" s="24">
        <f t="shared" si="70"/>
        <v>2022</v>
      </c>
      <c r="E935" s="24" t="str">
        <f t="shared" si="71"/>
        <v>Q3</v>
      </c>
      <c r="F935" s="24" t="str">
        <f t="shared" si="72"/>
        <v>Jul</v>
      </c>
      <c r="G935" s="24">
        <f t="shared" si="73"/>
        <v>7</v>
      </c>
      <c r="H935" s="19">
        <v>1401</v>
      </c>
      <c r="I935" s="19" t="s">
        <v>7</v>
      </c>
      <c r="J935" s="19" t="s">
        <v>9</v>
      </c>
      <c r="K935" s="20">
        <v>4</v>
      </c>
      <c r="L935" s="21">
        <v>325.72000000000003</v>
      </c>
      <c r="M935" s="22">
        <v>0.34</v>
      </c>
      <c r="N935" s="21">
        <f t="shared" si="74"/>
        <v>214.97520000000003</v>
      </c>
      <c r="O935" s="21">
        <v>859.9</v>
      </c>
      <c r="P935" s="19" t="s">
        <v>2</v>
      </c>
      <c r="Q935" s="23">
        <v>5</v>
      </c>
      <c r="R935" s="45">
        <v>1.9</v>
      </c>
    </row>
    <row r="936" spans="2:18" x14ac:dyDescent="0.2">
      <c r="B936" s="25">
        <v>933</v>
      </c>
      <c r="C936" s="18">
        <v>44763</v>
      </c>
      <c r="D936" s="24">
        <f t="shared" si="70"/>
        <v>2022</v>
      </c>
      <c r="E936" s="24" t="str">
        <f t="shared" si="71"/>
        <v>Q3</v>
      </c>
      <c r="F936" s="24" t="str">
        <f t="shared" si="72"/>
        <v>Jul</v>
      </c>
      <c r="G936" s="24">
        <f t="shared" si="73"/>
        <v>7</v>
      </c>
      <c r="H936" s="19">
        <v>1046</v>
      </c>
      <c r="I936" s="19" t="s">
        <v>10</v>
      </c>
      <c r="J936" s="19" t="s">
        <v>1</v>
      </c>
      <c r="K936" s="20">
        <v>5</v>
      </c>
      <c r="L936" s="21">
        <v>100.63</v>
      </c>
      <c r="M936" s="22">
        <v>0.24</v>
      </c>
      <c r="N936" s="21">
        <f t="shared" si="74"/>
        <v>76.478799999999993</v>
      </c>
      <c r="O936" s="21">
        <v>382.39</v>
      </c>
      <c r="P936" s="19" t="s">
        <v>4</v>
      </c>
      <c r="Q936" s="23">
        <v>1</v>
      </c>
      <c r="R936" s="45">
        <v>4.5</v>
      </c>
    </row>
    <row r="937" spans="2:18" x14ac:dyDescent="0.2">
      <c r="B937" s="25">
        <v>934</v>
      </c>
      <c r="C937" s="18">
        <v>44764</v>
      </c>
      <c r="D937" s="24">
        <f t="shared" si="70"/>
        <v>2022</v>
      </c>
      <c r="E937" s="24" t="str">
        <f t="shared" si="71"/>
        <v>Q3</v>
      </c>
      <c r="F937" s="24" t="str">
        <f t="shared" si="72"/>
        <v>Jul</v>
      </c>
      <c r="G937" s="24">
        <f t="shared" si="73"/>
        <v>7</v>
      </c>
      <c r="H937" s="19">
        <v>1232</v>
      </c>
      <c r="I937" s="19" t="s">
        <v>0</v>
      </c>
      <c r="J937" s="19" t="s">
        <v>5</v>
      </c>
      <c r="K937" s="20">
        <v>2</v>
      </c>
      <c r="L937" s="21">
        <v>96.77</v>
      </c>
      <c r="M937" s="22">
        <v>0.34</v>
      </c>
      <c r="N937" s="21">
        <f t="shared" si="74"/>
        <v>63.868199999999995</v>
      </c>
      <c r="O937" s="21">
        <v>127.74</v>
      </c>
      <c r="P937" s="19" t="s">
        <v>6</v>
      </c>
      <c r="Q937" s="23">
        <v>8</v>
      </c>
      <c r="R937" s="45">
        <v>1.8</v>
      </c>
    </row>
    <row r="938" spans="2:18" x14ac:dyDescent="0.2">
      <c r="B938" s="25">
        <v>935</v>
      </c>
      <c r="C938" s="18">
        <v>44765</v>
      </c>
      <c r="D938" s="24">
        <f t="shared" si="70"/>
        <v>2022</v>
      </c>
      <c r="E938" s="24" t="str">
        <f t="shared" si="71"/>
        <v>Q3</v>
      </c>
      <c r="F938" s="24" t="str">
        <f t="shared" si="72"/>
        <v>Jul</v>
      </c>
      <c r="G938" s="24">
        <f t="shared" si="73"/>
        <v>7</v>
      </c>
      <c r="H938" s="19">
        <v>1304</v>
      </c>
      <c r="I938" s="19" t="s">
        <v>7</v>
      </c>
      <c r="J938" s="19" t="s">
        <v>1</v>
      </c>
      <c r="K938" s="20">
        <v>2</v>
      </c>
      <c r="L938" s="21">
        <v>356.3</v>
      </c>
      <c r="M938" s="22">
        <v>0.02</v>
      </c>
      <c r="N938" s="21">
        <f t="shared" si="74"/>
        <v>349.17400000000004</v>
      </c>
      <c r="O938" s="21">
        <v>698.35</v>
      </c>
      <c r="P938" s="19" t="s">
        <v>4</v>
      </c>
      <c r="Q938" s="23">
        <v>4</v>
      </c>
      <c r="R938" s="45">
        <v>4.4000000000000004</v>
      </c>
    </row>
    <row r="939" spans="2:18" x14ac:dyDescent="0.2">
      <c r="B939" s="25">
        <v>936</v>
      </c>
      <c r="C939" s="18">
        <v>44766</v>
      </c>
      <c r="D939" s="24">
        <f t="shared" si="70"/>
        <v>2022</v>
      </c>
      <c r="E939" s="24" t="str">
        <f t="shared" si="71"/>
        <v>Q3</v>
      </c>
      <c r="F939" s="24" t="str">
        <f t="shared" si="72"/>
        <v>Jul</v>
      </c>
      <c r="G939" s="24">
        <f t="shared" si="73"/>
        <v>7</v>
      </c>
      <c r="H939" s="19">
        <v>1525</v>
      </c>
      <c r="I939" s="19" t="s">
        <v>0</v>
      </c>
      <c r="J939" s="19" t="s">
        <v>8</v>
      </c>
      <c r="K939" s="20">
        <v>1</v>
      </c>
      <c r="L939" s="21">
        <v>591.23</v>
      </c>
      <c r="M939" s="22">
        <v>0.05</v>
      </c>
      <c r="N939" s="21">
        <f t="shared" si="74"/>
        <v>561.66849999999999</v>
      </c>
      <c r="O939" s="21">
        <v>561.66999999999996</v>
      </c>
      <c r="P939" s="19" t="s">
        <v>6</v>
      </c>
      <c r="Q939" s="23">
        <v>8</v>
      </c>
      <c r="R939" s="45">
        <v>2.8</v>
      </c>
    </row>
    <row r="940" spans="2:18" x14ac:dyDescent="0.2">
      <c r="B940" s="25">
        <v>937</v>
      </c>
      <c r="C940" s="18">
        <v>44767</v>
      </c>
      <c r="D940" s="24">
        <f t="shared" si="70"/>
        <v>2022</v>
      </c>
      <c r="E940" s="24" t="str">
        <f t="shared" si="71"/>
        <v>Q3</v>
      </c>
      <c r="F940" s="24" t="str">
        <f t="shared" si="72"/>
        <v>Jul</v>
      </c>
      <c r="G940" s="24">
        <f t="shared" si="73"/>
        <v>7</v>
      </c>
      <c r="H940" s="19">
        <v>1142</v>
      </c>
      <c r="I940" s="19" t="s">
        <v>3</v>
      </c>
      <c r="J940" s="19" t="s">
        <v>5</v>
      </c>
      <c r="K940" s="20">
        <v>6</v>
      </c>
      <c r="L940" s="21">
        <v>71.31</v>
      </c>
      <c r="M940" s="22">
        <v>0.16</v>
      </c>
      <c r="N940" s="21">
        <f t="shared" si="74"/>
        <v>59.900400000000005</v>
      </c>
      <c r="O940" s="21">
        <v>359.4</v>
      </c>
      <c r="P940" s="19" t="s">
        <v>2</v>
      </c>
      <c r="Q940" s="23">
        <v>4</v>
      </c>
      <c r="R940" s="45">
        <v>4.3</v>
      </c>
    </row>
    <row r="941" spans="2:18" x14ac:dyDescent="0.2">
      <c r="B941" s="25">
        <v>938</v>
      </c>
      <c r="C941" s="18">
        <v>44768</v>
      </c>
      <c r="D941" s="24">
        <f t="shared" si="70"/>
        <v>2022</v>
      </c>
      <c r="E941" s="24" t="str">
        <f t="shared" si="71"/>
        <v>Q3</v>
      </c>
      <c r="F941" s="24" t="str">
        <f t="shared" si="72"/>
        <v>Jul</v>
      </c>
      <c r="G941" s="24">
        <f t="shared" si="73"/>
        <v>7</v>
      </c>
      <c r="H941" s="19">
        <v>1414</v>
      </c>
      <c r="I941" s="19" t="s">
        <v>0</v>
      </c>
      <c r="J941" s="19" t="s">
        <v>1</v>
      </c>
      <c r="K941" s="20">
        <v>1</v>
      </c>
      <c r="L941" s="21">
        <v>182.15</v>
      </c>
      <c r="M941" s="22">
        <v>0.13</v>
      </c>
      <c r="N941" s="21">
        <f t="shared" si="74"/>
        <v>158.47050000000002</v>
      </c>
      <c r="O941" s="21">
        <v>158.47</v>
      </c>
      <c r="P941" s="19" t="s">
        <v>4</v>
      </c>
      <c r="Q941" s="23">
        <v>11</v>
      </c>
      <c r="R941" s="45">
        <v>2.1</v>
      </c>
    </row>
    <row r="942" spans="2:18" x14ac:dyDescent="0.2">
      <c r="B942" s="25">
        <v>939</v>
      </c>
      <c r="C942" s="18">
        <v>44769</v>
      </c>
      <c r="D942" s="24">
        <f t="shared" si="70"/>
        <v>2022</v>
      </c>
      <c r="E942" s="24" t="str">
        <f t="shared" si="71"/>
        <v>Q3</v>
      </c>
      <c r="F942" s="24" t="str">
        <f t="shared" si="72"/>
        <v>Jul</v>
      </c>
      <c r="G942" s="24">
        <f t="shared" si="73"/>
        <v>7</v>
      </c>
      <c r="H942" s="19">
        <v>1512</v>
      </c>
      <c r="I942" s="19" t="s">
        <v>3</v>
      </c>
      <c r="J942" s="19" t="s">
        <v>1</v>
      </c>
      <c r="K942" s="20">
        <v>5</v>
      </c>
      <c r="L942" s="21">
        <v>523.63</v>
      </c>
      <c r="M942" s="22">
        <v>0.27</v>
      </c>
      <c r="N942" s="21">
        <f t="shared" si="74"/>
        <v>382.24990000000003</v>
      </c>
      <c r="O942" s="21">
        <v>1911.25</v>
      </c>
      <c r="P942" s="19" t="s">
        <v>2</v>
      </c>
      <c r="Q942" s="23">
        <v>8</v>
      </c>
      <c r="R942" s="45">
        <v>1.5</v>
      </c>
    </row>
    <row r="943" spans="2:18" x14ac:dyDescent="0.2">
      <c r="B943" s="25">
        <v>940</v>
      </c>
      <c r="C943" s="18">
        <v>44770</v>
      </c>
      <c r="D943" s="24">
        <f t="shared" si="70"/>
        <v>2022</v>
      </c>
      <c r="E943" s="24" t="str">
        <f t="shared" si="71"/>
        <v>Q3</v>
      </c>
      <c r="F943" s="24" t="str">
        <f t="shared" si="72"/>
        <v>Jul</v>
      </c>
      <c r="G943" s="24">
        <f t="shared" si="73"/>
        <v>7</v>
      </c>
      <c r="H943" s="19">
        <v>1372</v>
      </c>
      <c r="I943" s="19" t="s">
        <v>10</v>
      </c>
      <c r="J943" s="19" t="s">
        <v>5</v>
      </c>
      <c r="K943" s="20">
        <v>2</v>
      </c>
      <c r="L943" s="21">
        <v>57.28</v>
      </c>
      <c r="M943" s="22">
        <v>0.06</v>
      </c>
      <c r="N943" s="21">
        <f t="shared" si="74"/>
        <v>53.843200000000003</v>
      </c>
      <c r="O943" s="21">
        <v>107.69</v>
      </c>
      <c r="P943" s="19" t="s">
        <v>2</v>
      </c>
      <c r="Q943" s="23">
        <v>9</v>
      </c>
      <c r="R943" s="45">
        <v>3.2</v>
      </c>
    </row>
    <row r="944" spans="2:18" x14ac:dyDescent="0.2">
      <c r="B944" s="25">
        <v>941</v>
      </c>
      <c r="C944" s="18">
        <v>44771</v>
      </c>
      <c r="D944" s="24">
        <f t="shared" si="70"/>
        <v>2022</v>
      </c>
      <c r="E944" s="24" t="str">
        <f t="shared" si="71"/>
        <v>Q3</v>
      </c>
      <c r="F944" s="24" t="str">
        <f t="shared" si="72"/>
        <v>Jul</v>
      </c>
      <c r="G944" s="24">
        <f t="shared" si="73"/>
        <v>7</v>
      </c>
      <c r="H944" s="19">
        <v>1565</v>
      </c>
      <c r="I944" s="19" t="s">
        <v>7</v>
      </c>
      <c r="J944" s="19" t="s">
        <v>8</v>
      </c>
      <c r="K944" s="20">
        <v>7</v>
      </c>
      <c r="L944" s="21">
        <v>527.39</v>
      </c>
      <c r="M944" s="22">
        <v>0.34</v>
      </c>
      <c r="N944" s="21">
        <f t="shared" si="74"/>
        <v>348.07740000000001</v>
      </c>
      <c r="O944" s="21">
        <v>2436.54</v>
      </c>
      <c r="P944" s="19" t="s">
        <v>2</v>
      </c>
      <c r="Q944" s="23">
        <v>5</v>
      </c>
      <c r="R944" s="45">
        <v>3</v>
      </c>
    </row>
    <row r="945" spans="2:18" x14ac:dyDescent="0.2">
      <c r="B945" s="25">
        <v>942</v>
      </c>
      <c r="C945" s="18">
        <v>44772</v>
      </c>
      <c r="D945" s="24">
        <f t="shared" si="70"/>
        <v>2022</v>
      </c>
      <c r="E945" s="24" t="str">
        <f t="shared" si="71"/>
        <v>Q3</v>
      </c>
      <c r="F945" s="24" t="str">
        <f t="shared" si="72"/>
        <v>Jul</v>
      </c>
      <c r="G945" s="24">
        <f t="shared" si="73"/>
        <v>7</v>
      </c>
      <c r="H945" s="19">
        <v>1885</v>
      </c>
      <c r="I945" s="19" t="s">
        <v>7</v>
      </c>
      <c r="J945" s="19" t="s">
        <v>5</v>
      </c>
      <c r="K945" s="20">
        <v>2</v>
      </c>
      <c r="L945" s="21">
        <v>321.70999999999998</v>
      </c>
      <c r="M945" s="22">
        <v>0.11</v>
      </c>
      <c r="N945" s="21">
        <f t="shared" si="74"/>
        <v>286.32189999999997</v>
      </c>
      <c r="O945" s="21">
        <v>572.64</v>
      </c>
      <c r="P945" s="19" t="s">
        <v>4</v>
      </c>
      <c r="Q945" s="23">
        <v>5</v>
      </c>
      <c r="R945" s="45">
        <v>2.4</v>
      </c>
    </row>
    <row r="946" spans="2:18" x14ac:dyDescent="0.2">
      <c r="B946" s="25">
        <v>943</v>
      </c>
      <c r="C946" s="18">
        <v>44773</v>
      </c>
      <c r="D946" s="24">
        <f t="shared" si="70"/>
        <v>2022</v>
      </c>
      <c r="E946" s="24" t="str">
        <f t="shared" si="71"/>
        <v>Q3</v>
      </c>
      <c r="F946" s="24" t="str">
        <f t="shared" si="72"/>
        <v>Jul</v>
      </c>
      <c r="G946" s="24">
        <f t="shared" si="73"/>
        <v>7</v>
      </c>
      <c r="H946" s="19">
        <v>1258</v>
      </c>
      <c r="I946" s="19" t="s">
        <v>7</v>
      </c>
      <c r="J946" s="19" t="s">
        <v>9</v>
      </c>
      <c r="K946" s="20">
        <v>3</v>
      </c>
      <c r="L946" s="21">
        <v>253.84</v>
      </c>
      <c r="M946" s="22">
        <v>0.15</v>
      </c>
      <c r="N946" s="21">
        <f t="shared" si="74"/>
        <v>215.76400000000001</v>
      </c>
      <c r="O946" s="21">
        <v>647.29</v>
      </c>
      <c r="P946" s="19" t="s">
        <v>4</v>
      </c>
      <c r="Q946" s="23">
        <v>2</v>
      </c>
      <c r="R946" s="45">
        <v>3.7</v>
      </c>
    </row>
    <row r="947" spans="2:18" x14ac:dyDescent="0.2">
      <c r="B947" s="25">
        <v>944</v>
      </c>
      <c r="C947" s="18">
        <v>44774</v>
      </c>
      <c r="D947" s="24">
        <f t="shared" si="70"/>
        <v>2022</v>
      </c>
      <c r="E947" s="24" t="str">
        <f t="shared" si="71"/>
        <v>Q3</v>
      </c>
      <c r="F947" s="24" t="str">
        <f t="shared" si="72"/>
        <v>Aug</v>
      </c>
      <c r="G947" s="24">
        <f t="shared" si="73"/>
        <v>8</v>
      </c>
      <c r="H947" s="19">
        <v>1655</v>
      </c>
      <c r="I947" s="19" t="s">
        <v>0</v>
      </c>
      <c r="J947" s="19" t="s">
        <v>9</v>
      </c>
      <c r="K947" s="20">
        <v>5</v>
      </c>
      <c r="L947" s="21">
        <v>196.16</v>
      </c>
      <c r="M947" s="22">
        <v>0.1</v>
      </c>
      <c r="N947" s="21">
        <f t="shared" si="74"/>
        <v>176.54399999999998</v>
      </c>
      <c r="O947" s="21">
        <v>882.72</v>
      </c>
      <c r="P947" s="19" t="s">
        <v>4</v>
      </c>
      <c r="Q947" s="23">
        <v>9</v>
      </c>
      <c r="R947" s="45">
        <v>1.4</v>
      </c>
    </row>
    <row r="948" spans="2:18" x14ac:dyDescent="0.2">
      <c r="B948" s="25">
        <v>945</v>
      </c>
      <c r="C948" s="18">
        <v>44775</v>
      </c>
      <c r="D948" s="24">
        <f t="shared" si="70"/>
        <v>2022</v>
      </c>
      <c r="E948" s="24" t="str">
        <f t="shared" si="71"/>
        <v>Q3</v>
      </c>
      <c r="F948" s="24" t="str">
        <f t="shared" si="72"/>
        <v>Aug</v>
      </c>
      <c r="G948" s="24">
        <f t="shared" si="73"/>
        <v>8</v>
      </c>
      <c r="H948" s="19">
        <v>1470</v>
      </c>
      <c r="I948" s="19" t="s">
        <v>10</v>
      </c>
      <c r="J948" s="19" t="s">
        <v>8</v>
      </c>
      <c r="K948" s="20">
        <v>7</v>
      </c>
      <c r="L948" s="21">
        <v>188.81</v>
      </c>
      <c r="M948" s="22">
        <v>0.2</v>
      </c>
      <c r="N948" s="21">
        <f t="shared" si="74"/>
        <v>151.048</v>
      </c>
      <c r="O948" s="21">
        <v>1057.3399999999999</v>
      </c>
      <c r="P948" s="19" t="s">
        <v>6</v>
      </c>
      <c r="Q948" s="23">
        <v>11</v>
      </c>
      <c r="R948" s="45">
        <v>3.5</v>
      </c>
    </row>
    <row r="949" spans="2:18" x14ac:dyDescent="0.2">
      <c r="B949" s="25">
        <v>946</v>
      </c>
      <c r="C949" s="18">
        <v>44776</v>
      </c>
      <c r="D949" s="24">
        <f t="shared" si="70"/>
        <v>2022</v>
      </c>
      <c r="E949" s="24" t="str">
        <f t="shared" si="71"/>
        <v>Q3</v>
      </c>
      <c r="F949" s="24" t="str">
        <f t="shared" si="72"/>
        <v>Aug</v>
      </c>
      <c r="G949" s="24">
        <f t="shared" si="73"/>
        <v>8</v>
      </c>
      <c r="H949" s="19">
        <v>1952</v>
      </c>
      <c r="I949" s="19" t="s">
        <v>0</v>
      </c>
      <c r="J949" s="19" t="s">
        <v>1</v>
      </c>
      <c r="K949" s="20">
        <v>6</v>
      </c>
      <c r="L949" s="21">
        <v>193.89</v>
      </c>
      <c r="M949" s="22">
        <v>0.02</v>
      </c>
      <c r="N949" s="21">
        <f t="shared" si="74"/>
        <v>190.01219999999998</v>
      </c>
      <c r="O949" s="21">
        <v>1140.07</v>
      </c>
      <c r="P949" s="19" t="s">
        <v>6</v>
      </c>
      <c r="Q949" s="23">
        <v>4</v>
      </c>
      <c r="R949" s="45">
        <v>1.8</v>
      </c>
    </row>
    <row r="950" spans="2:18" x14ac:dyDescent="0.2">
      <c r="B950" s="25">
        <v>947</v>
      </c>
      <c r="C950" s="18">
        <v>44777</v>
      </c>
      <c r="D950" s="24">
        <f t="shared" si="70"/>
        <v>2022</v>
      </c>
      <c r="E950" s="24" t="str">
        <f t="shared" si="71"/>
        <v>Q3</v>
      </c>
      <c r="F950" s="24" t="str">
        <f t="shared" si="72"/>
        <v>Aug</v>
      </c>
      <c r="G950" s="24">
        <f t="shared" si="73"/>
        <v>8</v>
      </c>
      <c r="H950" s="19">
        <v>1970</v>
      </c>
      <c r="I950" s="19" t="s">
        <v>0</v>
      </c>
      <c r="J950" s="19" t="s">
        <v>1</v>
      </c>
      <c r="K950" s="20">
        <v>6</v>
      </c>
      <c r="L950" s="21">
        <v>532.61</v>
      </c>
      <c r="M950" s="22">
        <v>0.05</v>
      </c>
      <c r="N950" s="21">
        <f t="shared" si="74"/>
        <v>505.97950000000003</v>
      </c>
      <c r="O950" s="21">
        <v>3035.88</v>
      </c>
      <c r="P950" s="19" t="s">
        <v>4</v>
      </c>
      <c r="Q950" s="23">
        <v>3</v>
      </c>
      <c r="R950" s="45">
        <v>1.5</v>
      </c>
    </row>
    <row r="951" spans="2:18" x14ac:dyDescent="0.2">
      <c r="B951" s="25">
        <v>948</v>
      </c>
      <c r="C951" s="18">
        <v>44778</v>
      </c>
      <c r="D951" s="24">
        <f t="shared" si="70"/>
        <v>2022</v>
      </c>
      <c r="E951" s="24" t="str">
        <f t="shared" si="71"/>
        <v>Q3</v>
      </c>
      <c r="F951" s="24" t="str">
        <f t="shared" si="72"/>
        <v>Aug</v>
      </c>
      <c r="G951" s="24">
        <f t="shared" si="73"/>
        <v>8</v>
      </c>
      <c r="H951" s="19">
        <v>1011</v>
      </c>
      <c r="I951" s="19" t="s">
        <v>7</v>
      </c>
      <c r="J951" s="19" t="s">
        <v>1</v>
      </c>
      <c r="K951" s="20">
        <v>7</v>
      </c>
      <c r="L951" s="21">
        <v>438.42</v>
      </c>
      <c r="M951" s="22">
        <v>0.26</v>
      </c>
      <c r="N951" s="21">
        <f t="shared" si="74"/>
        <v>324.43079999999998</v>
      </c>
      <c r="O951" s="21">
        <v>2271.02</v>
      </c>
      <c r="P951" s="19" t="s">
        <v>6</v>
      </c>
      <c r="Q951" s="23">
        <v>2</v>
      </c>
      <c r="R951" s="45">
        <v>4.5999999999999996</v>
      </c>
    </row>
    <row r="952" spans="2:18" x14ac:dyDescent="0.2">
      <c r="B952" s="25">
        <v>949</v>
      </c>
      <c r="C952" s="18">
        <v>44779</v>
      </c>
      <c r="D952" s="24">
        <f t="shared" si="70"/>
        <v>2022</v>
      </c>
      <c r="E952" s="24" t="str">
        <f t="shared" si="71"/>
        <v>Q3</v>
      </c>
      <c r="F952" s="24" t="str">
        <f t="shared" si="72"/>
        <v>Aug</v>
      </c>
      <c r="G952" s="24">
        <f t="shared" si="73"/>
        <v>8</v>
      </c>
      <c r="H952" s="19">
        <v>1329</v>
      </c>
      <c r="I952" s="19" t="s">
        <v>3</v>
      </c>
      <c r="J952" s="19" t="s">
        <v>5</v>
      </c>
      <c r="K952" s="20">
        <v>6</v>
      </c>
      <c r="L952" s="21">
        <v>406.79</v>
      </c>
      <c r="M952" s="22">
        <v>7.0000000000000007E-2</v>
      </c>
      <c r="N952" s="21">
        <f t="shared" si="74"/>
        <v>378.31470000000002</v>
      </c>
      <c r="O952" s="21">
        <v>2269.89</v>
      </c>
      <c r="P952" s="19" t="s">
        <v>4</v>
      </c>
      <c r="Q952" s="23">
        <v>3</v>
      </c>
      <c r="R952" s="45">
        <v>2.8</v>
      </c>
    </row>
    <row r="953" spans="2:18" x14ac:dyDescent="0.2">
      <c r="B953" s="25">
        <v>950</v>
      </c>
      <c r="C953" s="18">
        <v>44780</v>
      </c>
      <c r="D953" s="24">
        <f t="shared" si="70"/>
        <v>2022</v>
      </c>
      <c r="E953" s="24" t="str">
        <f t="shared" si="71"/>
        <v>Q3</v>
      </c>
      <c r="F953" s="24" t="str">
        <f t="shared" si="72"/>
        <v>Aug</v>
      </c>
      <c r="G953" s="24">
        <f t="shared" si="73"/>
        <v>8</v>
      </c>
      <c r="H953" s="19">
        <v>1735</v>
      </c>
      <c r="I953" s="19" t="s">
        <v>7</v>
      </c>
      <c r="J953" s="19" t="s">
        <v>5</v>
      </c>
      <c r="K953" s="20">
        <v>7</v>
      </c>
      <c r="L953" s="21">
        <v>482.27</v>
      </c>
      <c r="M953" s="22">
        <v>0.08</v>
      </c>
      <c r="N953" s="21">
        <f t="shared" si="74"/>
        <v>443.6884</v>
      </c>
      <c r="O953" s="21">
        <v>3105.82</v>
      </c>
      <c r="P953" s="19" t="s">
        <v>4</v>
      </c>
      <c r="Q953" s="23">
        <v>4</v>
      </c>
      <c r="R953" s="45">
        <v>4.0999999999999996</v>
      </c>
    </row>
    <row r="954" spans="2:18" x14ac:dyDescent="0.2">
      <c r="B954" s="25">
        <v>951</v>
      </c>
      <c r="C954" s="18">
        <v>44781</v>
      </c>
      <c r="D954" s="24">
        <f t="shared" si="70"/>
        <v>2022</v>
      </c>
      <c r="E954" s="24" t="str">
        <f t="shared" si="71"/>
        <v>Q3</v>
      </c>
      <c r="F954" s="24" t="str">
        <f t="shared" si="72"/>
        <v>Aug</v>
      </c>
      <c r="G954" s="24">
        <f t="shared" si="73"/>
        <v>8</v>
      </c>
      <c r="H954" s="19">
        <v>1783</v>
      </c>
      <c r="I954" s="19" t="s">
        <v>7</v>
      </c>
      <c r="J954" s="19" t="s">
        <v>8</v>
      </c>
      <c r="K954" s="20">
        <v>5</v>
      </c>
      <c r="L954" s="21">
        <v>165.41</v>
      </c>
      <c r="M954" s="22">
        <v>0.28000000000000003</v>
      </c>
      <c r="N954" s="21">
        <f t="shared" si="74"/>
        <v>119.09519999999999</v>
      </c>
      <c r="O954" s="21">
        <v>595.48</v>
      </c>
      <c r="P954" s="19" t="s">
        <v>4</v>
      </c>
      <c r="Q954" s="23">
        <v>9</v>
      </c>
      <c r="R954" s="45">
        <v>1.4</v>
      </c>
    </row>
    <row r="955" spans="2:18" x14ac:dyDescent="0.2">
      <c r="B955" s="25">
        <v>952</v>
      </c>
      <c r="C955" s="18">
        <v>44782</v>
      </c>
      <c r="D955" s="24">
        <f t="shared" si="70"/>
        <v>2022</v>
      </c>
      <c r="E955" s="24" t="str">
        <f t="shared" si="71"/>
        <v>Q3</v>
      </c>
      <c r="F955" s="24" t="str">
        <f t="shared" si="72"/>
        <v>Aug</v>
      </c>
      <c r="G955" s="24">
        <f t="shared" si="73"/>
        <v>8</v>
      </c>
      <c r="H955" s="19">
        <v>1967</v>
      </c>
      <c r="I955" s="19" t="s">
        <v>7</v>
      </c>
      <c r="J955" s="19" t="s">
        <v>9</v>
      </c>
      <c r="K955" s="20">
        <v>7</v>
      </c>
      <c r="L955" s="21">
        <v>376.56</v>
      </c>
      <c r="M955" s="22">
        <v>0.03</v>
      </c>
      <c r="N955" s="21">
        <f t="shared" si="74"/>
        <v>365.26319999999998</v>
      </c>
      <c r="O955" s="21">
        <v>2556.84</v>
      </c>
      <c r="P955" s="19" t="s">
        <v>4</v>
      </c>
      <c r="Q955" s="23">
        <v>6</v>
      </c>
      <c r="R955" s="45">
        <v>1.2</v>
      </c>
    </row>
    <row r="956" spans="2:18" x14ac:dyDescent="0.2">
      <c r="B956" s="25">
        <v>953</v>
      </c>
      <c r="C956" s="18">
        <v>44783</v>
      </c>
      <c r="D956" s="24">
        <f t="shared" si="70"/>
        <v>2022</v>
      </c>
      <c r="E956" s="24" t="str">
        <f t="shared" si="71"/>
        <v>Q3</v>
      </c>
      <c r="F956" s="24" t="str">
        <f t="shared" si="72"/>
        <v>Aug</v>
      </c>
      <c r="G956" s="24">
        <f t="shared" si="73"/>
        <v>8</v>
      </c>
      <c r="H956" s="19">
        <v>1357</v>
      </c>
      <c r="I956" s="19" t="s">
        <v>3</v>
      </c>
      <c r="J956" s="19" t="s">
        <v>1</v>
      </c>
      <c r="K956" s="20">
        <v>7</v>
      </c>
      <c r="L956" s="21">
        <v>284.14</v>
      </c>
      <c r="M956" s="22">
        <v>0.15</v>
      </c>
      <c r="N956" s="21">
        <f t="shared" si="74"/>
        <v>241.51900000000001</v>
      </c>
      <c r="O956" s="21">
        <v>1690.63</v>
      </c>
      <c r="P956" s="19" t="s">
        <v>4</v>
      </c>
      <c r="Q956" s="23">
        <v>10</v>
      </c>
      <c r="R956" s="45">
        <v>3</v>
      </c>
    </row>
    <row r="957" spans="2:18" x14ac:dyDescent="0.2">
      <c r="B957" s="25">
        <v>954</v>
      </c>
      <c r="C957" s="18">
        <v>44784</v>
      </c>
      <c r="D957" s="24">
        <f t="shared" si="70"/>
        <v>2022</v>
      </c>
      <c r="E957" s="24" t="str">
        <f t="shared" si="71"/>
        <v>Q3</v>
      </c>
      <c r="F957" s="24" t="str">
        <f t="shared" si="72"/>
        <v>Aug</v>
      </c>
      <c r="G957" s="24">
        <f t="shared" si="73"/>
        <v>8</v>
      </c>
      <c r="H957" s="19">
        <v>1971</v>
      </c>
      <c r="I957" s="19" t="s">
        <v>7</v>
      </c>
      <c r="J957" s="19" t="s">
        <v>9</v>
      </c>
      <c r="K957" s="20">
        <v>3</v>
      </c>
      <c r="L957" s="21">
        <v>472.73</v>
      </c>
      <c r="M957" s="22">
        <v>0.01</v>
      </c>
      <c r="N957" s="21">
        <f t="shared" si="74"/>
        <v>468.0027</v>
      </c>
      <c r="O957" s="21">
        <v>1404.01</v>
      </c>
      <c r="P957" s="19" t="s">
        <v>4</v>
      </c>
      <c r="Q957" s="23">
        <v>5</v>
      </c>
      <c r="R957" s="45">
        <v>2.2999999999999998</v>
      </c>
    </row>
    <row r="958" spans="2:18" x14ac:dyDescent="0.2">
      <c r="B958" s="25">
        <v>955</v>
      </c>
      <c r="C958" s="18">
        <v>44785</v>
      </c>
      <c r="D958" s="24">
        <f t="shared" si="70"/>
        <v>2022</v>
      </c>
      <c r="E958" s="24" t="str">
        <f t="shared" si="71"/>
        <v>Q3</v>
      </c>
      <c r="F958" s="24" t="str">
        <f t="shared" si="72"/>
        <v>Aug</v>
      </c>
      <c r="G958" s="24">
        <f t="shared" si="73"/>
        <v>8</v>
      </c>
      <c r="H958" s="19">
        <v>1407</v>
      </c>
      <c r="I958" s="19" t="s">
        <v>7</v>
      </c>
      <c r="J958" s="19" t="s">
        <v>5</v>
      </c>
      <c r="K958" s="20">
        <v>3</v>
      </c>
      <c r="L958" s="21">
        <v>195.91</v>
      </c>
      <c r="M958" s="22">
        <v>0.12</v>
      </c>
      <c r="N958" s="21">
        <f t="shared" si="74"/>
        <v>172.4008</v>
      </c>
      <c r="O958" s="21">
        <v>517.20000000000005</v>
      </c>
      <c r="P958" s="19" t="s">
        <v>2</v>
      </c>
      <c r="Q958" s="23">
        <v>9</v>
      </c>
      <c r="R958" s="45">
        <v>1</v>
      </c>
    </row>
    <row r="959" spans="2:18" x14ac:dyDescent="0.2">
      <c r="B959" s="25">
        <v>956</v>
      </c>
      <c r="C959" s="18">
        <v>44786</v>
      </c>
      <c r="D959" s="24">
        <f t="shared" si="70"/>
        <v>2022</v>
      </c>
      <c r="E959" s="24" t="str">
        <f t="shared" si="71"/>
        <v>Q3</v>
      </c>
      <c r="F959" s="24" t="str">
        <f t="shared" si="72"/>
        <v>Aug</v>
      </c>
      <c r="G959" s="24">
        <f t="shared" si="73"/>
        <v>8</v>
      </c>
      <c r="H959" s="19">
        <v>1667</v>
      </c>
      <c r="I959" s="19" t="s">
        <v>7</v>
      </c>
      <c r="J959" s="19" t="s">
        <v>5</v>
      </c>
      <c r="K959" s="20">
        <v>1</v>
      </c>
      <c r="L959" s="21">
        <v>391.26</v>
      </c>
      <c r="M959" s="22">
        <v>0.24</v>
      </c>
      <c r="N959" s="21">
        <f t="shared" si="74"/>
        <v>297.35759999999999</v>
      </c>
      <c r="O959" s="21">
        <v>297.36</v>
      </c>
      <c r="P959" s="19" t="s">
        <v>6</v>
      </c>
      <c r="Q959" s="23">
        <v>8</v>
      </c>
      <c r="R959" s="45">
        <v>1.7</v>
      </c>
    </row>
    <row r="960" spans="2:18" x14ac:dyDescent="0.2">
      <c r="B960" s="25">
        <v>957</v>
      </c>
      <c r="C960" s="18">
        <v>44787</v>
      </c>
      <c r="D960" s="24">
        <f t="shared" si="70"/>
        <v>2022</v>
      </c>
      <c r="E960" s="24" t="str">
        <f t="shared" si="71"/>
        <v>Q3</v>
      </c>
      <c r="F960" s="24" t="str">
        <f t="shared" si="72"/>
        <v>Aug</v>
      </c>
      <c r="G960" s="24">
        <f t="shared" si="73"/>
        <v>8</v>
      </c>
      <c r="H960" s="19">
        <v>1372</v>
      </c>
      <c r="I960" s="19" t="s">
        <v>7</v>
      </c>
      <c r="J960" s="19" t="s">
        <v>5</v>
      </c>
      <c r="K960" s="20">
        <v>5</v>
      </c>
      <c r="L960" s="21">
        <v>531.09</v>
      </c>
      <c r="M960" s="22">
        <v>0.03</v>
      </c>
      <c r="N960" s="21">
        <f t="shared" si="74"/>
        <v>515.15730000000008</v>
      </c>
      <c r="O960" s="21">
        <v>2575.79</v>
      </c>
      <c r="P960" s="19" t="s">
        <v>4</v>
      </c>
      <c r="Q960" s="23">
        <v>6</v>
      </c>
      <c r="R960" s="45">
        <v>1.9</v>
      </c>
    </row>
    <row r="961" spans="2:18" x14ac:dyDescent="0.2">
      <c r="B961" s="25">
        <v>958</v>
      </c>
      <c r="C961" s="18">
        <v>44788</v>
      </c>
      <c r="D961" s="24">
        <f t="shared" si="70"/>
        <v>2022</v>
      </c>
      <c r="E961" s="24" t="str">
        <f t="shared" si="71"/>
        <v>Q3</v>
      </c>
      <c r="F961" s="24" t="str">
        <f t="shared" si="72"/>
        <v>Aug</v>
      </c>
      <c r="G961" s="24">
        <f t="shared" si="73"/>
        <v>8</v>
      </c>
      <c r="H961" s="19">
        <v>1007</v>
      </c>
      <c r="I961" s="19" t="s">
        <v>0</v>
      </c>
      <c r="J961" s="19" t="s">
        <v>9</v>
      </c>
      <c r="K961" s="20">
        <v>5</v>
      </c>
      <c r="L961" s="21">
        <v>250.26</v>
      </c>
      <c r="M961" s="22">
        <v>0.31</v>
      </c>
      <c r="N961" s="21">
        <f t="shared" si="74"/>
        <v>172.67939999999999</v>
      </c>
      <c r="O961" s="21">
        <v>863.4</v>
      </c>
      <c r="P961" s="19" t="s">
        <v>6</v>
      </c>
      <c r="Q961" s="23">
        <v>3</v>
      </c>
      <c r="R961" s="45">
        <v>2.2000000000000002</v>
      </c>
    </row>
    <row r="962" spans="2:18" x14ac:dyDescent="0.2">
      <c r="B962" s="25">
        <v>959</v>
      </c>
      <c r="C962" s="18">
        <v>44789</v>
      </c>
      <c r="D962" s="24">
        <f t="shared" si="70"/>
        <v>2022</v>
      </c>
      <c r="E962" s="24" t="str">
        <f t="shared" si="71"/>
        <v>Q3</v>
      </c>
      <c r="F962" s="24" t="str">
        <f t="shared" si="72"/>
        <v>Aug</v>
      </c>
      <c r="G962" s="24">
        <f t="shared" si="73"/>
        <v>8</v>
      </c>
      <c r="H962" s="19">
        <v>1121</v>
      </c>
      <c r="I962" s="19" t="s">
        <v>10</v>
      </c>
      <c r="J962" s="19" t="s">
        <v>8</v>
      </c>
      <c r="K962" s="20">
        <v>3</v>
      </c>
      <c r="L962" s="21">
        <v>53.97</v>
      </c>
      <c r="M962" s="22">
        <v>0.32</v>
      </c>
      <c r="N962" s="21">
        <f t="shared" si="74"/>
        <v>36.699600000000004</v>
      </c>
      <c r="O962" s="21">
        <v>110.1</v>
      </c>
      <c r="P962" s="19" t="s">
        <v>6</v>
      </c>
      <c r="Q962" s="23">
        <v>7</v>
      </c>
      <c r="R962" s="45">
        <v>4.5</v>
      </c>
    </row>
    <row r="963" spans="2:18" x14ac:dyDescent="0.2">
      <c r="B963" s="25">
        <v>960</v>
      </c>
      <c r="C963" s="18">
        <v>44790</v>
      </c>
      <c r="D963" s="24">
        <f t="shared" si="70"/>
        <v>2022</v>
      </c>
      <c r="E963" s="24" t="str">
        <f t="shared" si="71"/>
        <v>Q3</v>
      </c>
      <c r="F963" s="24" t="str">
        <f t="shared" si="72"/>
        <v>Aug</v>
      </c>
      <c r="G963" s="24">
        <f t="shared" si="73"/>
        <v>8</v>
      </c>
      <c r="H963" s="19">
        <v>1347</v>
      </c>
      <c r="I963" s="19" t="s">
        <v>0</v>
      </c>
      <c r="J963" s="19" t="s">
        <v>8</v>
      </c>
      <c r="K963" s="20">
        <v>4</v>
      </c>
      <c r="L963" s="21">
        <v>316.89</v>
      </c>
      <c r="M963" s="22">
        <v>0.04</v>
      </c>
      <c r="N963" s="21">
        <f t="shared" si="74"/>
        <v>304.21440000000001</v>
      </c>
      <c r="O963" s="21">
        <v>1216.8599999999999</v>
      </c>
      <c r="P963" s="19" t="s">
        <v>4</v>
      </c>
      <c r="Q963" s="23">
        <v>10</v>
      </c>
      <c r="R963" s="45">
        <v>2.7</v>
      </c>
    </row>
    <row r="964" spans="2:18" x14ac:dyDescent="0.2">
      <c r="B964" s="25">
        <v>961</v>
      </c>
      <c r="C964" s="18">
        <v>44791</v>
      </c>
      <c r="D964" s="24">
        <f t="shared" ref="D964:D1027" si="75">YEAR(C964)</f>
        <v>2022</v>
      </c>
      <c r="E964" s="24" t="str">
        <f t="shared" ref="E964:E1027" si="76">"Q"&amp;ROUNDUP(MONTH(C964)/3,0)</f>
        <v>Q3</v>
      </c>
      <c r="F964" s="24" t="str">
        <f t="shared" ref="F964:F1027" si="77">TEXT(C964,"mmm")</f>
        <v>Aug</v>
      </c>
      <c r="G964" s="24">
        <f t="shared" ref="G964:G1027" si="78">MONTH(C964)</f>
        <v>8</v>
      </c>
      <c r="H964" s="19">
        <v>1675</v>
      </c>
      <c r="I964" s="19" t="s">
        <v>3</v>
      </c>
      <c r="J964" s="19" t="s">
        <v>5</v>
      </c>
      <c r="K964" s="20">
        <v>4</v>
      </c>
      <c r="L964" s="21">
        <v>217.39</v>
      </c>
      <c r="M964" s="22">
        <v>0.35</v>
      </c>
      <c r="N964" s="21">
        <f t="shared" si="74"/>
        <v>141.30349999999999</v>
      </c>
      <c r="O964" s="21">
        <v>565.21</v>
      </c>
      <c r="P964" s="19" t="s">
        <v>6</v>
      </c>
      <c r="Q964" s="23">
        <v>6</v>
      </c>
      <c r="R964" s="45">
        <v>3.7</v>
      </c>
    </row>
    <row r="965" spans="2:18" x14ac:dyDescent="0.2">
      <c r="B965" s="25">
        <v>962</v>
      </c>
      <c r="C965" s="18">
        <v>44792</v>
      </c>
      <c r="D965" s="24">
        <f t="shared" si="75"/>
        <v>2022</v>
      </c>
      <c r="E965" s="24" t="str">
        <f t="shared" si="76"/>
        <v>Q3</v>
      </c>
      <c r="F965" s="24" t="str">
        <f t="shared" si="77"/>
        <v>Aug</v>
      </c>
      <c r="G965" s="24">
        <f t="shared" si="78"/>
        <v>8</v>
      </c>
      <c r="H965" s="19">
        <v>1089</v>
      </c>
      <c r="I965" s="19" t="s">
        <v>7</v>
      </c>
      <c r="J965" s="19" t="s">
        <v>1</v>
      </c>
      <c r="K965" s="20">
        <v>1</v>
      </c>
      <c r="L965" s="21">
        <v>408.25</v>
      </c>
      <c r="M965" s="22">
        <v>0.1</v>
      </c>
      <c r="N965" s="21">
        <f t="shared" ref="N965:N1028" si="79">L965-(L965*M965)</f>
        <v>367.42500000000001</v>
      </c>
      <c r="O965" s="21">
        <v>367.42</v>
      </c>
      <c r="P965" s="19" t="s">
        <v>6</v>
      </c>
      <c r="Q965" s="23">
        <v>11</v>
      </c>
      <c r="R965" s="45">
        <v>1.1000000000000001</v>
      </c>
    </row>
    <row r="966" spans="2:18" x14ac:dyDescent="0.2">
      <c r="B966" s="25">
        <v>963</v>
      </c>
      <c r="C966" s="18">
        <v>44793</v>
      </c>
      <c r="D966" s="24">
        <f t="shared" si="75"/>
        <v>2022</v>
      </c>
      <c r="E966" s="24" t="str">
        <f t="shared" si="76"/>
        <v>Q3</v>
      </c>
      <c r="F966" s="24" t="str">
        <f t="shared" si="77"/>
        <v>Aug</v>
      </c>
      <c r="G966" s="24">
        <f t="shared" si="78"/>
        <v>8</v>
      </c>
      <c r="H966" s="19">
        <v>1647</v>
      </c>
      <c r="I966" s="19" t="s">
        <v>10</v>
      </c>
      <c r="J966" s="19" t="s">
        <v>9</v>
      </c>
      <c r="K966" s="20">
        <v>4</v>
      </c>
      <c r="L966" s="21">
        <v>571.35</v>
      </c>
      <c r="M966" s="22">
        <v>0.03</v>
      </c>
      <c r="N966" s="21">
        <f t="shared" si="79"/>
        <v>554.20950000000005</v>
      </c>
      <c r="O966" s="21">
        <v>2216.84</v>
      </c>
      <c r="P966" s="19" t="s">
        <v>6</v>
      </c>
      <c r="Q966" s="23">
        <v>8</v>
      </c>
      <c r="R966" s="45">
        <v>4.3</v>
      </c>
    </row>
    <row r="967" spans="2:18" x14ac:dyDescent="0.2">
      <c r="B967" s="25">
        <v>964</v>
      </c>
      <c r="C967" s="18">
        <v>44794</v>
      </c>
      <c r="D967" s="24">
        <f t="shared" si="75"/>
        <v>2022</v>
      </c>
      <c r="E967" s="24" t="str">
        <f t="shared" si="76"/>
        <v>Q3</v>
      </c>
      <c r="F967" s="24" t="str">
        <f t="shared" si="77"/>
        <v>Aug</v>
      </c>
      <c r="G967" s="24">
        <f t="shared" si="78"/>
        <v>8</v>
      </c>
      <c r="H967" s="19">
        <v>1697</v>
      </c>
      <c r="I967" s="19" t="s">
        <v>7</v>
      </c>
      <c r="J967" s="19" t="s">
        <v>5</v>
      </c>
      <c r="K967" s="20">
        <v>4</v>
      </c>
      <c r="L967" s="21">
        <v>299.08</v>
      </c>
      <c r="M967" s="22">
        <v>0</v>
      </c>
      <c r="N967" s="21">
        <f t="shared" si="79"/>
        <v>299.08</v>
      </c>
      <c r="O967" s="21">
        <v>1196.32</v>
      </c>
      <c r="P967" s="19" t="s">
        <v>6</v>
      </c>
      <c r="Q967" s="23">
        <v>6</v>
      </c>
      <c r="R967" s="45">
        <v>2</v>
      </c>
    </row>
    <row r="968" spans="2:18" x14ac:dyDescent="0.2">
      <c r="B968" s="25">
        <v>965</v>
      </c>
      <c r="C968" s="18">
        <v>44795</v>
      </c>
      <c r="D968" s="24">
        <f t="shared" si="75"/>
        <v>2022</v>
      </c>
      <c r="E968" s="24" t="str">
        <f t="shared" si="76"/>
        <v>Q3</v>
      </c>
      <c r="F968" s="24" t="str">
        <f t="shared" si="77"/>
        <v>Aug</v>
      </c>
      <c r="G968" s="24">
        <f t="shared" si="78"/>
        <v>8</v>
      </c>
      <c r="H968" s="19">
        <v>1315</v>
      </c>
      <c r="I968" s="19" t="s">
        <v>7</v>
      </c>
      <c r="J968" s="19" t="s">
        <v>9</v>
      </c>
      <c r="K968" s="20">
        <v>4</v>
      </c>
      <c r="L968" s="21">
        <v>287.72000000000003</v>
      </c>
      <c r="M968" s="22">
        <v>0.14000000000000001</v>
      </c>
      <c r="N968" s="21">
        <f t="shared" si="79"/>
        <v>247.43920000000003</v>
      </c>
      <c r="O968" s="21">
        <v>989.76</v>
      </c>
      <c r="P968" s="19" t="s">
        <v>6</v>
      </c>
      <c r="Q968" s="23">
        <v>11</v>
      </c>
      <c r="R968" s="45">
        <v>2.2000000000000002</v>
      </c>
    </row>
    <row r="969" spans="2:18" x14ac:dyDescent="0.2">
      <c r="B969" s="25">
        <v>966</v>
      </c>
      <c r="C969" s="18">
        <v>44796</v>
      </c>
      <c r="D969" s="24">
        <f t="shared" si="75"/>
        <v>2022</v>
      </c>
      <c r="E969" s="24" t="str">
        <f t="shared" si="76"/>
        <v>Q3</v>
      </c>
      <c r="F969" s="24" t="str">
        <f t="shared" si="77"/>
        <v>Aug</v>
      </c>
      <c r="G969" s="24">
        <f t="shared" si="78"/>
        <v>8</v>
      </c>
      <c r="H969" s="19">
        <v>1177</v>
      </c>
      <c r="I969" s="19" t="s">
        <v>7</v>
      </c>
      <c r="J969" s="19" t="s">
        <v>9</v>
      </c>
      <c r="K969" s="20">
        <v>2</v>
      </c>
      <c r="L969" s="21">
        <v>397.93</v>
      </c>
      <c r="M969" s="22">
        <v>0.22</v>
      </c>
      <c r="N969" s="21">
        <f t="shared" si="79"/>
        <v>310.3854</v>
      </c>
      <c r="O969" s="21">
        <v>620.77</v>
      </c>
      <c r="P969" s="19" t="s">
        <v>4</v>
      </c>
      <c r="Q969" s="23">
        <v>10</v>
      </c>
      <c r="R969" s="45">
        <v>1.2</v>
      </c>
    </row>
    <row r="970" spans="2:18" x14ac:dyDescent="0.2">
      <c r="B970" s="25">
        <v>967</v>
      </c>
      <c r="C970" s="18">
        <v>44797</v>
      </c>
      <c r="D970" s="24">
        <f t="shared" si="75"/>
        <v>2022</v>
      </c>
      <c r="E970" s="24" t="str">
        <f t="shared" si="76"/>
        <v>Q3</v>
      </c>
      <c r="F970" s="24" t="str">
        <f t="shared" si="77"/>
        <v>Aug</v>
      </c>
      <c r="G970" s="24">
        <f t="shared" si="78"/>
        <v>8</v>
      </c>
      <c r="H970" s="19">
        <v>1539</v>
      </c>
      <c r="I970" s="19" t="s">
        <v>7</v>
      </c>
      <c r="J970" s="19" t="s">
        <v>8</v>
      </c>
      <c r="K970" s="20">
        <v>1</v>
      </c>
      <c r="L970" s="21">
        <v>75.55</v>
      </c>
      <c r="M970" s="22">
        <v>0.12</v>
      </c>
      <c r="N970" s="21">
        <f t="shared" si="79"/>
        <v>66.483999999999995</v>
      </c>
      <c r="O970" s="21">
        <v>66.48</v>
      </c>
      <c r="P970" s="19" t="s">
        <v>2</v>
      </c>
      <c r="Q970" s="23">
        <v>4</v>
      </c>
      <c r="R970" s="45">
        <v>2.6</v>
      </c>
    </row>
    <row r="971" spans="2:18" x14ac:dyDescent="0.2">
      <c r="B971" s="25">
        <v>968</v>
      </c>
      <c r="C971" s="18">
        <v>44798</v>
      </c>
      <c r="D971" s="24">
        <f t="shared" si="75"/>
        <v>2022</v>
      </c>
      <c r="E971" s="24" t="str">
        <f t="shared" si="76"/>
        <v>Q3</v>
      </c>
      <c r="F971" s="24" t="str">
        <f t="shared" si="77"/>
        <v>Aug</v>
      </c>
      <c r="G971" s="24">
        <f t="shared" si="78"/>
        <v>8</v>
      </c>
      <c r="H971" s="19">
        <v>1731</v>
      </c>
      <c r="I971" s="19" t="s">
        <v>7</v>
      </c>
      <c r="J971" s="19" t="s">
        <v>5</v>
      </c>
      <c r="K971" s="20">
        <v>3</v>
      </c>
      <c r="L971" s="21">
        <v>163.30000000000001</v>
      </c>
      <c r="M971" s="22">
        <v>0.28999999999999998</v>
      </c>
      <c r="N971" s="21">
        <f t="shared" si="79"/>
        <v>115.94300000000001</v>
      </c>
      <c r="O971" s="21">
        <v>347.83</v>
      </c>
      <c r="P971" s="19" t="s">
        <v>4</v>
      </c>
      <c r="Q971" s="23">
        <v>10</v>
      </c>
      <c r="R971" s="45">
        <v>4.4000000000000004</v>
      </c>
    </row>
    <row r="972" spans="2:18" x14ac:dyDescent="0.2">
      <c r="B972" s="25">
        <v>969</v>
      </c>
      <c r="C972" s="18">
        <v>44799</v>
      </c>
      <c r="D972" s="24">
        <f t="shared" si="75"/>
        <v>2022</v>
      </c>
      <c r="E972" s="24" t="str">
        <f t="shared" si="76"/>
        <v>Q3</v>
      </c>
      <c r="F972" s="24" t="str">
        <f t="shared" si="77"/>
        <v>Aug</v>
      </c>
      <c r="G972" s="24">
        <f t="shared" si="78"/>
        <v>8</v>
      </c>
      <c r="H972" s="19">
        <v>1868</v>
      </c>
      <c r="I972" s="19" t="s">
        <v>3</v>
      </c>
      <c r="J972" s="19" t="s">
        <v>8</v>
      </c>
      <c r="K972" s="20">
        <v>4</v>
      </c>
      <c r="L972" s="21">
        <v>552.6</v>
      </c>
      <c r="M972" s="22">
        <v>0.25</v>
      </c>
      <c r="N972" s="21">
        <f t="shared" si="79"/>
        <v>414.45000000000005</v>
      </c>
      <c r="O972" s="21">
        <v>1657.8</v>
      </c>
      <c r="P972" s="19" t="s">
        <v>2</v>
      </c>
      <c r="Q972" s="23">
        <v>7</v>
      </c>
      <c r="R972" s="45">
        <v>2.5</v>
      </c>
    </row>
    <row r="973" spans="2:18" x14ac:dyDescent="0.2">
      <c r="B973" s="25">
        <v>970</v>
      </c>
      <c r="C973" s="18">
        <v>44800</v>
      </c>
      <c r="D973" s="24">
        <f t="shared" si="75"/>
        <v>2022</v>
      </c>
      <c r="E973" s="24" t="str">
        <f t="shared" si="76"/>
        <v>Q3</v>
      </c>
      <c r="F973" s="24" t="str">
        <f t="shared" si="77"/>
        <v>Aug</v>
      </c>
      <c r="G973" s="24">
        <f t="shared" si="78"/>
        <v>8</v>
      </c>
      <c r="H973" s="19">
        <v>1040</v>
      </c>
      <c r="I973" s="19" t="s">
        <v>10</v>
      </c>
      <c r="J973" s="19" t="s">
        <v>5</v>
      </c>
      <c r="K973" s="20">
        <v>6</v>
      </c>
      <c r="L973" s="21">
        <v>406.92</v>
      </c>
      <c r="M973" s="22">
        <v>0.12</v>
      </c>
      <c r="N973" s="21">
        <f t="shared" si="79"/>
        <v>358.08960000000002</v>
      </c>
      <c r="O973" s="21">
        <v>2148.54</v>
      </c>
      <c r="P973" s="19" t="s">
        <v>4</v>
      </c>
      <c r="Q973" s="23">
        <v>7</v>
      </c>
      <c r="R973" s="45">
        <v>4.5999999999999996</v>
      </c>
    </row>
    <row r="974" spans="2:18" x14ac:dyDescent="0.2">
      <c r="B974" s="25">
        <v>971</v>
      </c>
      <c r="C974" s="18">
        <v>44801</v>
      </c>
      <c r="D974" s="24">
        <f t="shared" si="75"/>
        <v>2022</v>
      </c>
      <c r="E974" s="24" t="str">
        <f t="shared" si="76"/>
        <v>Q3</v>
      </c>
      <c r="F974" s="24" t="str">
        <f t="shared" si="77"/>
        <v>Aug</v>
      </c>
      <c r="G974" s="24">
        <f t="shared" si="78"/>
        <v>8</v>
      </c>
      <c r="H974" s="19">
        <v>1739</v>
      </c>
      <c r="I974" s="19" t="s">
        <v>7</v>
      </c>
      <c r="J974" s="19" t="s">
        <v>9</v>
      </c>
      <c r="K974" s="20">
        <v>7</v>
      </c>
      <c r="L974" s="21">
        <v>22.86</v>
      </c>
      <c r="M974" s="22">
        <v>0.26</v>
      </c>
      <c r="N974" s="21">
        <f t="shared" si="79"/>
        <v>16.916399999999999</v>
      </c>
      <c r="O974" s="21">
        <v>118.41</v>
      </c>
      <c r="P974" s="19" t="s">
        <v>4</v>
      </c>
      <c r="Q974" s="23">
        <v>11</v>
      </c>
      <c r="R974" s="45">
        <v>4.5</v>
      </c>
    </row>
    <row r="975" spans="2:18" x14ac:dyDescent="0.2">
      <c r="B975" s="25">
        <v>972</v>
      </c>
      <c r="C975" s="18">
        <v>44802</v>
      </c>
      <c r="D975" s="24">
        <f t="shared" si="75"/>
        <v>2022</v>
      </c>
      <c r="E975" s="24" t="str">
        <f t="shared" si="76"/>
        <v>Q3</v>
      </c>
      <c r="F975" s="24" t="str">
        <f t="shared" si="77"/>
        <v>Aug</v>
      </c>
      <c r="G975" s="24">
        <f t="shared" si="78"/>
        <v>8</v>
      </c>
      <c r="H975" s="19">
        <v>1703</v>
      </c>
      <c r="I975" s="19" t="s">
        <v>7</v>
      </c>
      <c r="J975" s="19" t="s">
        <v>8</v>
      </c>
      <c r="K975" s="20">
        <v>2</v>
      </c>
      <c r="L975" s="21">
        <v>134.71</v>
      </c>
      <c r="M975" s="22">
        <v>0.33</v>
      </c>
      <c r="N975" s="21">
        <f t="shared" si="79"/>
        <v>90.255700000000004</v>
      </c>
      <c r="O975" s="21">
        <v>180.51</v>
      </c>
      <c r="P975" s="19" t="s">
        <v>6</v>
      </c>
      <c r="Q975" s="23">
        <v>8</v>
      </c>
      <c r="R975" s="45">
        <v>1.2</v>
      </c>
    </row>
    <row r="976" spans="2:18" x14ac:dyDescent="0.2">
      <c r="B976" s="25">
        <v>973</v>
      </c>
      <c r="C976" s="18">
        <v>44803</v>
      </c>
      <c r="D976" s="24">
        <f t="shared" si="75"/>
        <v>2022</v>
      </c>
      <c r="E976" s="24" t="str">
        <f t="shared" si="76"/>
        <v>Q3</v>
      </c>
      <c r="F976" s="24" t="str">
        <f t="shared" si="77"/>
        <v>Aug</v>
      </c>
      <c r="G976" s="24">
        <f t="shared" si="78"/>
        <v>8</v>
      </c>
      <c r="H976" s="19">
        <v>1922</v>
      </c>
      <c r="I976" s="19" t="s">
        <v>10</v>
      </c>
      <c r="J976" s="19" t="s">
        <v>9</v>
      </c>
      <c r="K976" s="20">
        <v>4</v>
      </c>
      <c r="L976" s="21">
        <v>414.46</v>
      </c>
      <c r="M976" s="22">
        <v>0.03</v>
      </c>
      <c r="N976" s="21">
        <f t="shared" si="79"/>
        <v>402.02619999999996</v>
      </c>
      <c r="O976" s="21">
        <v>1608.1</v>
      </c>
      <c r="P976" s="19" t="s">
        <v>4</v>
      </c>
      <c r="Q976" s="23">
        <v>2</v>
      </c>
      <c r="R976" s="45">
        <v>2.2000000000000002</v>
      </c>
    </row>
    <row r="977" spans="2:18" x14ac:dyDescent="0.2">
      <c r="B977" s="25">
        <v>974</v>
      </c>
      <c r="C977" s="18">
        <v>44804</v>
      </c>
      <c r="D977" s="24">
        <f t="shared" si="75"/>
        <v>2022</v>
      </c>
      <c r="E977" s="24" t="str">
        <f t="shared" si="76"/>
        <v>Q3</v>
      </c>
      <c r="F977" s="24" t="str">
        <f t="shared" si="77"/>
        <v>Aug</v>
      </c>
      <c r="G977" s="24">
        <f t="shared" si="78"/>
        <v>8</v>
      </c>
      <c r="H977" s="19">
        <v>1501</v>
      </c>
      <c r="I977" s="19" t="s">
        <v>7</v>
      </c>
      <c r="J977" s="19" t="s">
        <v>5</v>
      </c>
      <c r="K977" s="20">
        <v>7</v>
      </c>
      <c r="L977" s="21">
        <v>462.17</v>
      </c>
      <c r="M977" s="22">
        <v>0.11</v>
      </c>
      <c r="N977" s="21">
        <f t="shared" si="79"/>
        <v>411.3313</v>
      </c>
      <c r="O977" s="21">
        <v>2879.32</v>
      </c>
      <c r="P977" s="19" t="s">
        <v>2</v>
      </c>
      <c r="Q977" s="23">
        <v>11</v>
      </c>
      <c r="R977" s="45">
        <v>4.5999999999999996</v>
      </c>
    </row>
    <row r="978" spans="2:18" x14ac:dyDescent="0.2">
      <c r="B978" s="25">
        <v>975</v>
      </c>
      <c r="C978" s="18">
        <v>44805</v>
      </c>
      <c r="D978" s="24">
        <f t="shared" si="75"/>
        <v>2022</v>
      </c>
      <c r="E978" s="24" t="str">
        <f t="shared" si="76"/>
        <v>Q3</v>
      </c>
      <c r="F978" s="24" t="str">
        <f t="shared" si="77"/>
        <v>Sep</v>
      </c>
      <c r="G978" s="24">
        <f t="shared" si="78"/>
        <v>9</v>
      </c>
      <c r="H978" s="19">
        <v>1958</v>
      </c>
      <c r="I978" s="19" t="s">
        <v>7</v>
      </c>
      <c r="J978" s="19" t="s">
        <v>1</v>
      </c>
      <c r="K978" s="20">
        <v>7</v>
      </c>
      <c r="L978" s="21">
        <v>506.32</v>
      </c>
      <c r="M978" s="22">
        <v>0.16</v>
      </c>
      <c r="N978" s="21">
        <f t="shared" si="79"/>
        <v>425.30880000000002</v>
      </c>
      <c r="O978" s="21">
        <v>2977.16</v>
      </c>
      <c r="P978" s="19" t="s">
        <v>4</v>
      </c>
      <c r="Q978" s="23">
        <v>6</v>
      </c>
      <c r="R978" s="45">
        <v>1.1000000000000001</v>
      </c>
    </row>
    <row r="979" spans="2:18" x14ac:dyDescent="0.2">
      <c r="B979" s="25">
        <v>976</v>
      </c>
      <c r="C979" s="18">
        <v>44806</v>
      </c>
      <c r="D979" s="24">
        <f t="shared" si="75"/>
        <v>2022</v>
      </c>
      <c r="E979" s="24" t="str">
        <f t="shared" si="76"/>
        <v>Q3</v>
      </c>
      <c r="F979" s="24" t="str">
        <f t="shared" si="77"/>
        <v>Sep</v>
      </c>
      <c r="G979" s="24">
        <f t="shared" si="78"/>
        <v>9</v>
      </c>
      <c r="H979" s="19">
        <v>1144</v>
      </c>
      <c r="I979" s="19" t="s">
        <v>0</v>
      </c>
      <c r="J979" s="19" t="s">
        <v>8</v>
      </c>
      <c r="K979" s="20">
        <v>2</v>
      </c>
      <c r="L979" s="21">
        <v>185.92</v>
      </c>
      <c r="M979" s="22">
        <v>0.17</v>
      </c>
      <c r="N979" s="21">
        <f t="shared" si="79"/>
        <v>154.31359999999998</v>
      </c>
      <c r="O979" s="21">
        <v>308.63</v>
      </c>
      <c r="P979" s="19" t="s">
        <v>6</v>
      </c>
      <c r="Q979" s="23">
        <v>3</v>
      </c>
      <c r="R979" s="45">
        <v>4.0999999999999996</v>
      </c>
    </row>
    <row r="980" spans="2:18" x14ac:dyDescent="0.2">
      <c r="B980" s="25">
        <v>977</v>
      </c>
      <c r="C980" s="18">
        <v>44807</v>
      </c>
      <c r="D980" s="24">
        <f t="shared" si="75"/>
        <v>2022</v>
      </c>
      <c r="E980" s="24" t="str">
        <f t="shared" si="76"/>
        <v>Q3</v>
      </c>
      <c r="F980" s="24" t="str">
        <f t="shared" si="77"/>
        <v>Sep</v>
      </c>
      <c r="G980" s="24">
        <f t="shared" si="78"/>
        <v>9</v>
      </c>
      <c r="H980" s="19">
        <v>1200</v>
      </c>
      <c r="I980" s="19" t="s">
        <v>7</v>
      </c>
      <c r="J980" s="19" t="s">
        <v>8</v>
      </c>
      <c r="K980" s="20">
        <v>1</v>
      </c>
      <c r="L980" s="21">
        <v>559.65</v>
      </c>
      <c r="M980" s="22">
        <v>0.19</v>
      </c>
      <c r="N980" s="21">
        <f t="shared" si="79"/>
        <v>453.31649999999996</v>
      </c>
      <c r="O980" s="21">
        <v>453.32</v>
      </c>
      <c r="P980" s="19" t="s">
        <v>4</v>
      </c>
      <c r="Q980" s="23">
        <v>8</v>
      </c>
      <c r="R980" s="45">
        <v>4.5999999999999996</v>
      </c>
    </row>
    <row r="981" spans="2:18" x14ac:dyDescent="0.2">
      <c r="B981" s="25">
        <v>978</v>
      </c>
      <c r="C981" s="18">
        <v>44808</v>
      </c>
      <c r="D981" s="24">
        <f t="shared" si="75"/>
        <v>2022</v>
      </c>
      <c r="E981" s="24" t="str">
        <f t="shared" si="76"/>
        <v>Q3</v>
      </c>
      <c r="F981" s="24" t="str">
        <f t="shared" si="77"/>
        <v>Sep</v>
      </c>
      <c r="G981" s="24">
        <f t="shared" si="78"/>
        <v>9</v>
      </c>
      <c r="H981" s="19">
        <v>1928</v>
      </c>
      <c r="I981" s="19" t="s">
        <v>7</v>
      </c>
      <c r="J981" s="19" t="s">
        <v>9</v>
      </c>
      <c r="K981" s="20">
        <v>6</v>
      </c>
      <c r="L981" s="21">
        <v>338.47</v>
      </c>
      <c r="M981" s="22">
        <v>0.11</v>
      </c>
      <c r="N981" s="21">
        <f t="shared" si="79"/>
        <v>301.23830000000004</v>
      </c>
      <c r="O981" s="21">
        <v>1807.43</v>
      </c>
      <c r="P981" s="19" t="s">
        <v>4</v>
      </c>
      <c r="Q981" s="23">
        <v>4</v>
      </c>
      <c r="R981" s="45">
        <v>4.0999999999999996</v>
      </c>
    </row>
    <row r="982" spans="2:18" x14ac:dyDescent="0.2">
      <c r="B982" s="25">
        <v>979</v>
      </c>
      <c r="C982" s="18">
        <v>44809</v>
      </c>
      <c r="D982" s="24">
        <f t="shared" si="75"/>
        <v>2022</v>
      </c>
      <c r="E982" s="24" t="str">
        <f t="shared" si="76"/>
        <v>Q3</v>
      </c>
      <c r="F982" s="24" t="str">
        <f t="shared" si="77"/>
        <v>Sep</v>
      </c>
      <c r="G982" s="24">
        <f t="shared" si="78"/>
        <v>9</v>
      </c>
      <c r="H982" s="19">
        <v>1723</v>
      </c>
      <c r="I982" s="19" t="s">
        <v>3</v>
      </c>
      <c r="J982" s="19" t="s">
        <v>9</v>
      </c>
      <c r="K982" s="20">
        <v>6</v>
      </c>
      <c r="L982" s="21">
        <v>422.48</v>
      </c>
      <c r="M982" s="22">
        <v>0.23</v>
      </c>
      <c r="N982" s="21">
        <f t="shared" si="79"/>
        <v>325.30959999999999</v>
      </c>
      <c r="O982" s="21">
        <v>1951.86</v>
      </c>
      <c r="P982" s="19" t="s">
        <v>4</v>
      </c>
      <c r="Q982" s="23">
        <v>4</v>
      </c>
      <c r="R982" s="45">
        <v>4</v>
      </c>
    </row>
    <row r="983" spans="2:18" x14ac:dyDescent="0.2">
      <c r="B983" s="25">
        <v>980</v>
      </c>
      <c r="C983" s="18">
        <v>44810</v>
      </c>
      <c r="D983" s="24">
        <f t="shared" si="75"/>
        <v>2022</v>
      </c>
      <c r="E983" s="24" t="str">
        <f t="shared" si="76"/>
        <v>Q3</v>
      </c>
      <c r="F983" s="24" t="str">
        <f t="shared" si="77"/>
        <v>Sep</v>
      </c>
      <c r="G983" s="24">
        <f t="shared" si="78"/>
        <v>9</v>
      </c>
      <c r="H983" s="19">
        <v>1460</v>
      </c>
      <c r="I983" s="19" t="s">
        <v>7</v>
      </c>
      <c r="J983" s="19" t="s">
        <v>1</v>
      </c>
      <c r="K983" s="20">
        <v>6</v>
      </c>
      <c r="L983" s="21">
        <v>364.09</v>
      </c>
      <c r="M983" s="22">
        <v>0.23</v>
      </c>
      <c r="N983" s="21">
        <f t="shared" si="79"/>
        <v>280.34929999999997</v>
      </c>
      <c r="O983" s="21">
        <v>1682.1</v>
      </c>
      <c r="P983" s="19" t="s">
        <v>6</v>
      </c>
      <c r="Q983" s="23">
        <v>2</v>
      </c>
      <c r="R983" s="45">
        <v>4.4000000000000004</v>
      </c>
    </row>
    <row r="984" spans="2:18" x14ac:dyDescent="0.2">
      <c r="B984" s="25">
        <v>981</v>
      </c>
      <c r="C984" s="18">
        <v>44811</v>
      </c>
      <c r="D984" s="24">
        <f t="shared" si="75"/>
        <v>2022</v>
      </c>
      <c r="E984" s="24" t="str">
        <f t="shared" si="76"/>
        <v>Q3</v>
      </c>
      <c r="F984" s="24" t="str">
        <f t="shared" si="77"/>
        <v>Sep</v>
      </c>
      <c r="G984" s="24">
        <f t="shared" si="78"/>
        <v>9</v>
      </c>
      <c r="H984" s="19">
        <v>1731</v>
      </c>
      <c r="I984" s="19" t="s">
        <v>3</v>
      </c>
      <c r="J984" s="19" t="s">
        <v>8</v>
      </c>
      <c r="K984" s="20">
        <v>4</v>
      </c>
      <c r="L984" s="21">
        <v>86.8</v>
      </c>
      <c r="M984" s="22">
        <v>0.2</v>
      </c>
      <c r="N984" s="21">
        <f t="shared" si="79"/>
        <v>69.44</v>
      </c>
      <c r="O984" s="21">
        <v>277.76</v>
      </c>
      <c r="P984" s="19" t="s">
        <v>6</v>
      </c>
      <c r="Q984" s="23">
        <v>6</v>
      </c>
      <c r="R984" s="45">
        <v>3.7</v>
      </c>
    </row>
    <row r="985" spans="2:18" x14ac:dyDescent="0.2">
      <c r="B985" s="25">
        <v>982</v>
      </c>
      <c r="C985" s="18">
        <v>44812</v>
      </c>
      <c r="D985" s="24">
        <f t="shared" si="75"/>
        <v>2022</v>
      </c>
      <c r="E985" s="24" t="str">
        <f t="shared" si="76"/>
        <v>Q3</v>
      </c>
      <c r="F985" s="24" t="str">
        <f t="shared" si="77"/>
        <v>Sep</v>
      </c>
      <c r="G985" s="24">
        <f t="shared" si="78"/>
        <v>9</v>
      </c>
      <c r="H985" s="19">
        <v>1751</v>
      </c>
      <c r="I985" s="19" t="s">
        <v>10</v>
      </c>
      <c r="J985" s="19" t="s">
        <v>5</v>
      </c>
      <c r="K985" s="20">
        <v>2</v>
      </c>
      <c r="L985" s="21">
        <v>578.41999999999996</v>
      </c>
      <c r="M985" s="22">
        <v>0.04</v>
      </c>
      <c r="N985" s="21">
        <f t="shared" si="79"/>
        <v>555.28319999999997</v>
      </c>
      <c r="O985" s="21">
        <v>1110.57</v>
      </c>
      <c r="P985" s="19" t="s">
        <v>6</v>
      </c>
      <c r="Q985" s="23">
        <v>6</v>
      </c>
      <c r="R985" s="45">
        <v>2.7</v>
      </c>
    </row>
    <row r="986" spans="2:18" x14ac:dyDescent="0.2">
      <c r="B986" s="25">
        <v>983</v>
      </c>
      <c r="C986" s="18">
        <v>44813</v>
      </c>
      <c r="D986" s="24">
        <f t="shared" si="75"/>
        <v>2022</v>
      </c>
      <c r="E986" s="24" t="str">
        <f t="shared" si="76"/>
        <v>Q3</v>
      </c>
      <c r="F986" s="24" t="str">
        <f t="shared" si="77"/>
        <v>Sep</v>
      </c>
      <c r="G986" s="24">
        <f t="shared" si="78"/>
        <v>9</v>
      </c>
      <c r="H986" s="19">
        <v>1924</v>
      </c>
      <c r="I986" s="19" t="s">
        <v>7</v>
      </c>
      <c r="J986" s="19" t="s">
        <v>5</v>
      </c>
      <c r="K986" s="20">
        <v>6</v>
      </c>
      <c r="L986" s="21">
        <v>86.88</v>
      </c>
      <c r="M986" s="22">
        <v>0.17</v>
      </c>
      <c r="N986" s="21">
        <f t="shared" si="79"/>
        <v>72.110399999999998</v>
      </c>
      <c r="O986" s="21">
        <v>432.66</v>
      </c>
      <c r="P986" s="19" t="s">
        <v>2</v>
      </c>
      <c r="Q986" s="23">
        <v>1</v>
      </c>
      <c r="R986" s="45">
        <v>1.3</v>
      </c>
    </row>
    <row r="987" spans="2:18" x14ac:dyDescent="0.2">
      <c r="B987" s="25">
        <v>984</v>
      </c>
      <c r="C987" s="18">
        <v>44814</v>
      </c>
      <c r="D987" s="24">
        <f t="shared" si="75"/>
        <v>2022</v>
      </c>
      <c r="E987" s="24" t="str">
        <f t="shared" si="76"/>
        <v>Q3</v>
      </c>
      <c r="F987" s="24" t="str">
        <f t="shared" si="77"/>
        <v>Sep</v>
      </c>
      <c r="G987" s="24">
        <f t="shared" si="78"/>
        <v>9</v>
      </c>
      <c r="H987" s="19">
        <v>1908</v>
      </c>
      <c r="I987" s="19" t="s">
        <v>3</v>
      </c>
      <c r="J987" s="19" t="s">
        <v>8</v>
      </c>
      <c r="K987" s="20">
        <v>7</v>
      </c>
      <c r="L987" s="21">
        <v>164.11</v>
      </c>
      <c r="M987" s="22">
        <v>0.12</v>
      </c>
      <c r="N987" s="21">
        <f t="shared" si="79"/>
        <v>144.41680000000002</v>
      </c>
      <c r="O987" s="21">
        <v>1010.92</v>
      </c>
      <c r="P987" s="19" t="s">
        <v>6</v>
      </c>
      <c r="Q987" s="23">
        <v>8</v>
      </c>
      <c r="R987" s="45">
        <v>4.2</v>
      </c>
    </row>
    <row r="988" spans="2:18" x14ac:dyDescent="0.2">
      <c r="B988" s="25">
        <v>985</v>
      </c>
      <c r="C988" s="18">
        <v>44815</v>
      </c>
      <c r="D988" s="24">
        <f t="shared" si="75"/>
        <v>2022</v>
      </c>
      <c r="E988" s="24" t="str">
        <f t="shared" si="76"/>
        <v>Q3</v>
      </c>
      <c r="F988" s="24" t="str">
        <f t="shared" si="77"/>
        <v>Sep</v>
      </c>
      <c r="G988" s="24">
        <f t="shared" si="78"/>
        <v>9</v>
      </c>
      <c r="H988" s="19">
        <v>1557</v>
      </c>
      <c r="I988" s="19" t="s">
        <v>3</v>
      </c>
      <c r="J988" s="19" t="s">
        <v>8</v>
      </c>
      <c r="K988" s="20">
        <v>7</v>
      </c>
      <c r="L988" s="21">
        <v>490.97</v>
      </c>
      <c r="M988" s="22">
        <v>0.17</v>
      </c>
      <c r="N988" s="21">
        <f t="shared" si="79"/>
        <v>407.50510000000003</v>
      </c>
      <c r="O988" s="21">
        <v>2852.54</v>
      </c>
      <c r="P988" s="19" t="s">
        <v>2</v>
      </c>
      <c r="Q988" s="23">
        <v>3</v>
      </c>
      <c r="R988" s="45">
        <v>4.5999999999999996</v>
      </c>
    </row>
    <row r="989" spans="2:18" x14ac:dyDescent="0.2">
      <c r="B989" s="25">
        <v>986</v>
      </c>
      <c r="C989" s="18">
        <v>44816</v>
      </c>
      <c r="D989" s="24">
        <f t="shared" si="75"/>
        <v>2022</v>
      </c>
      <c r="E989" s="24" t="str">
        <f t="shared" si="76"/>
        <v>Q3</v>
      </c>
      <c r="F989" s="24" t="str">
        <f t="shared" si="77"/>
        <v>Sep</v>
      </c>
      <c r="G989" s="24">
        <f t="shared" si="78"/>
        <v>9</v>
      </c>
      <c r="H989" s="19">
        <v>1546</v>
      </c>
      <c r="I989" s="19" t="s">
        <v>7</v>
      </c>
      <c r="J989" s="19" t="s">
        <v>8</v>
      </c>
      <c r="K989" s="20">
        <v>5</v>
      </c>
      <c r="L989" s="21">
        <v>376.88</v>
      </c>
      <c r="M989" s="22">
        <v>0.32</v>
      </c>
      <c r="N989" s="21">
        <f t="shared" si="79"/>
        <v>256.27839999999998</v>
      </c>
      <c r="O989" s="21">
        <v>1281.3900000000001</v>
      </c>
      <c r="P989" s="19" t="s">
        <v>4</v>
      </c>
      <c r="Q989" s="23">
        <v>1</v>
      </c>
      <c r="R989" s="45">
        <v>3</v>
      </c>
    </row>
    <row r="990" spans="2:18" x14ac:dyDescent="0.2">
      <c r="B990" s="25">
        <v>987</v>
      </c>
      <c r="C990" s="18">
        <v>44817</v>
      </c>
      <c r="D990" s="24">
        <f t="shared" si="75"/>
        <v>2022</v>
      </c>
      <c r="E990" s="24" t="str">
        <f t="shared" si="76"/>
        <v>Q3</v>
      </c>
      <c r="F990" s="24" t="str">
        <f t="shared" si="77"/>
        <v>Sep</v>
      </c>
      <c r="G990" s="24">
        <f t="shared" si="78"/>
        <v>9</v>
      </c>
      <c r="H990" s="19">
        <v>1252</v>
      </c>
      <c r="I990" s="19" t="s">
        <v>3</v>
      </c>
      <c r="J990" s="19" t="s">
        <v>1</v>
      </c>
      <c r="K990" s="20">
        <v>5</v>
      </c>
      <c r="L990" s="21">
        <v>505.32</v>
      </c>
      <c r="M990" s="22">
        <v>0.17</v>
      </c>
      <c r="N990" s="21">
        <f t="shared" si="79"/>
        <v>419.41559999999998</v>
      </c>
      <c r="O990" s="21">
        <v>2097.08</v>
      </c>
      <c r="P990" s="19" t="s">
        <v>4</v>
      </c>
      <c r="Q990" s="23">
        <v>10</v>
      </c>
      <c r="R990" s="45">
        <v>3.1</v>
      </c>
    </row>
    <row r="991" spans="2:18" x14ac:dyDescent="0.2">
      <c r="B991" s="25">
        <v>988</v>
      </c>
      <c r="C991" s="18">
        <v>44818</v>
      </c>
      <c r="D991" s="24">
        <f t="shared" si="75"/>
        <v>2022</v>
      </c>
      <c r="E991" s="24" t="str">
        <f t="shared" si="76"/>
        <v>Q3</v>
      </c>
      <c r="F991" s="24" t="str">
        <f t="shared" si="77"/>
        <v>Sep</v>
      </c>
      <c r="G991" s="24">
        <f t="shared" si="78"/>
        <v>9</v>
      </c>
      <c r="H991" s="19">
        <v>1389</v>
      </c>
      <c r="I991" s="19" t="s">
        <v>7</v>
      </c>
      <c r="J991" s="19" t="s">
        <v>5</v>
      </c>
      <c r="K991" s="20">
        <v>2</v>
      </c>
      <c r="L991" s="21">
        <v>316.70999999999998</v>
      </c>
      <c r="M991" s="22">
        <v>0</v>
      </c>
      <c r="N991" s="21">
        <f t="shared" si="79"/>
        <v>316.70999999999998</v>
      </c>
      <c r="O991" s="21">
        <v>633.41999999999996</v>
      </c>
      <c r="P991" s="19" t="s">
        <v>4</v>
      </c>
      <c r="Q991" s="23">
        <v>1</v>
      </c>
      <c r="R991" s="45">
        <v>2.6</v>
      </c>
    </row>
    <row r="992" spans="2:18" x14ac:dyDescent="0.2">
      <c r="B992" s="25">
        <v>989</v>
      </c>
      <c r="C992" s="18">
        <v>44819</v>
      </c>
      <c r="D992" s="24">
        <f t="shared" si="75"/>
        <v>2022</v>
      </c>
      <c r="E992" s="24" t="str">
        <f t="shared" si="76"/>
        <v>Q3</v>
      </c>
      <c r="F992" s="24" t="str">
        <f t="shared" si="77"/>
        <v>Sep</v>
      </c>
      <c r="G992" s="24">
        <f t="shared" si="78"/>
        <v>9</v>
      </c>
      <c r="H992" s="19">
        <v>1593</v>
      </c>
      <c r="I992" s="19" t="s">
        <v>3</v>
      </c>
      <c r="J992" s="19" t="s">
        <v>5</v>
      </c>
      <c r="K992" s="20">
        <v>4</v>
      </c>
      <c r="L992" s="21">
        <v>235.54</v>
      </c>
      <c r="M992" s="22">
        <v>0.15</v>
      </c>
      <c r="N992" s="21">
        <f t="shared" si="79"/>
        <v>200.209</v>
      </c>
      <c r="O992" s="21">
        <v>800.84</v>
      </c>
      <c r="P992" s="19" t="s">
        <v>4</v>
      </c>
      <c r="Q992" s="23">
        <v>1</v>
      </c>
      <c r="R992" s="45">
        <v>4.4000000000000004</v>
      </c>
    </row>
    <row r="993" spans="2:18" x14ac:dyDescent="0.2">
      <c r="B993" s="25">
        <v>990</v>
      </c>
      <c r="C993" s="18">
        <v>44820</v>
      </c>
      <c r="D993" s="24">
        <f t="shared" si="75"/>
        <v>2022</v>
      </c>
      <c r="E993" s="24" t="str">
        <f t="shared" si="76"/>
        <v>Q3</v>
      </c>
      <c r="F993" s="24" t="str">
        <f t="shared" si="77"/>
        <v>Sep</v>
      </c>
      <c r="G993" s="24">
        <f t="shared" si="78"/>
        <v>9</v>
      </c>
      <c r="H993" s="19">
        <v>1882</v>
      </c>
      <c r="I993" s="19" t="s">
        <v>7</v>
      </c>
      <c r="J993" s="19" t="s">
        <v>9</v>
      </c>
      <c r="K993" s="20">
        <v>4</v>
      </c>
      <c r="L993" s="21">
        <v>554.28</v>
      </c>
      <c r="M993" s="22">
        <v>0.28999999999999998</v>
      </c>
      <c r="N993" s="21">
        <f t="shared" si="79"/>
        <v>393.53879999999998</v>
      </c>
      <c r="O993" s="21">
        <v>1574.16</v>
      </c>
      <c r="P993" s="19" t="s">
        <v>6</v>
      </c>
      <c r="Q993" s="23">
        <v>5</v>
      </c>
      <c r="R993" s="45">
        <v>1.1000000000000001</v>
      </c>
    </row>
    <row r="994" spans="2:18" x14ac:dyDescent="0.2">
      <c r="B994" s="25">
        <v>991</v>
      </c>
      <c r="C994" s="18">
        <v>44821</v>
      </c>
      <c r="D994" s="24">
        <f t="shared" si="75"/>
        <v>2022</v>
      </c>
      <c r="E994" s="24" t="str">
        <f t="shared" si="76"/>
        <v>Q3</v>
      </c>
      <c r="F994" s="24" t="str">
        <f t="shared" si="77"/>
        <v>Sep</v>
      </c>
      <c r="G994" s="24">
        <f t="shared" si="78"/>
        <v>9</v>
      </c>
      <c r="H994" s="19">
        <v>1255</v>
      </c>
      <c r="I994" s="19" t="s">
        <v>3</v>
      </c>
      <c r="J994" s="19" t="s">
        <v>9</v>
      </c>
      <c r="K994" s="20">
        <v>1</v>
      </c>
      <c r="L994" s="21">
        <v>36.21</v>
      </c>
      <c r="M994" s="22">
        <v>0.27</v>
      </c>
      <c r="N994" s="21">
        <f t="shared" si="79"/>
        <v>26.433299999999999</v>
      </c>
      <c r="O994" s="21">
        <v>26.43</v>
      </c>
      <c r="P994" s="19" t="s">
        <v>6</v>
      </c>
      <c r="Q994" s="23">
        <v>5</v>
      </c>
      <c r="R994" s="45">
        <v>3.5</v>
      </c>
    </row>
    <row r="995" spans="2:18" x14ac:dyDescent="0.2">
      <c r="B995" s="25">
        <v>992</v>
      </c>
      <c r="C995" s="18">
        <v>44822</v>
      </c>
      <c r="D995" s="24">
        <f t="shared" si="75"/>
        <v>2022</v>
      </c>
      <c r="E995" s="24" t="str">
        <f t="shared" si="76"/>
        <v>Q3</v>
      </c>
      <c r="F995" s="24" t="str">
        <f t="shared" si="77"/>
        <v>Sep</v>
      </c>
      <c r="G995" s="24">
        <f t="shared" si="78"/>
        <v>9</v>
      </c>
      <c r="H995" s="19">
        <v>1708</v>
      </c>
      <c r="I995" s="19" t="s">
        <v>7</v>
      </c>
      <c r="J995" s="19" t="s">
        <v>8</v>
      </c>
      <c r="K995" s="20">
        <v>1</v>
      </c>
      <c r="L995" s="21">
        <v>515.84</v>
      </c>
      <c r="M995" s="22">
        <v>0.18</v>
      </c>
      <c r="N995" s="21">
        <f t="shared" si="79"/>
        <v>422.98880000000003</v>
      </c>
      <c r="O995" s="21">
        <v>422.99</v>
      </c>
      <c r="P995" s="19" t="s">
        <v>6</v>
      </c>
      <c r="Q995" s="23">
        <v>1</v>
      </c>
      <c r="R995" s="45">
        <v>4.5999999999999996</v>
      </c>
    </row>
    <row r="996" spans="2:18" x14ac:dyDescent="0.2">
      <c r="B996" s="25">
        <v>993</v>
      </c>
      <c r="C996" s="18">
        <v>44823</v>
      </c>
      <c r="D996" s="24">
        <f t="shared" si="75"/>
        <v>2022</v>
      </c>
      <c r="E996" s="24" t="str">
        <f t="shared" si="76"/>
        <v>Q3</v>
      </c>
      <c r="F996" s="24" t="str">
        <f t="shared" si="77"/>
        <v>Sep</v>
      </c>
      <c r="G996" s="24">
        <f t="shared" si="78"/>
        <v>9</v>
      </c>
      <c r="H996" s="19">
        <v>1814</v>
      </c>
      <c r="I996" s="19" t="s">
        <v>10</v>
      </c>
      <c r="J996" s="19" t="s">
        <v>9</v>
      </c>
      <c r="K996" s="20">
        <v>6</v>
      </c>
      <c r="L996" s="21">
        <v>150.03</v>
      </c>
      <c r="M996" s="22">
        <v>0.09</v>
      </c>
      <c r="N996" s="21">
        <f t="shared" si="79"/>
        <v>136.5273</v>
      </c>
      <c r="O996" s="21">
        <v>819.16</v>
      </c>
      <c r="P996" s="19" t="s">
        <v>6</v>
      </c>
      <c r="Q996" s="23">
        <v>5</v>
      </c>
      <c r="R996" s="45">
        <v>1.4</v>
      </c>
    </row>
    <row r="997" spans="2:18" x14ac:dyDescent="0.2">
      <c r="B997" s="25">
        <v>994</v>
      </c>
      <c r="C997" s="18">
        <v>44824</v>
      </c>
      <c r="D997" s="24">
        <f t="shared" si="75"/>
        <v>2022</v>
      </c>
      <c r="E997" s="24" t="str">
        <f t="shared" si="76"/>
        <v>Q3</v>
      </c>
      <c r="F997" s="24" t="str">
        <f t="shared" si="77"/>
        <v>Sep</v>
      </c>
      <c r="G997" s="24">
        <f t="shared" si="78"/>
        <v>9</v>
      </c>
      <c r="H997" s="19">
        <v>1920</v>
      </c>
      <c r="I997" s="19" t="s">
        <v>7</v>
      </c>
      <c r="J997" s="19" t="s">
        <v>1</v>
      </c>
      <c r="K997" s="20">
        <v>3</v>
      </c>
      <c r="L997" s="21">
        <v>511.51</v>
      </c>
      <c r="M997" s="22">
        <v>0.16</v>
      </c>
      <c r="N997" s="21">
        <f t="shared" si="79"/>
        <v>429.66840000000002</v>
      </c>
      <c r="O997" s="21">
        <v>1289.01</v>
      </c>
      <c r="P997" s="19" t="s">
        <v>2</v>
      </c>
      <c r="Q997" s="23">
        <v>7</v>
      </c>
      <c r="R997" s="45">
        <v>4.8</v>
      </c>
    </row>
    <row r="998" spans="2:18" x14ac:dyDescent="0.2">
      <c r="B998" s="25">
        <v>995</v>
      </c>
      <c r="C998" s="18">
        <v>44825</v>
      </c>
      <c r="D998" s="24">
        <f t="shared" si="75"/>
        <v>2022</v>
      </c>
      <c r="E998" s="24" t="str">
        <f t="shared" si="76"/>
        <v>Q3</v>
      </c>
      <c r="F998" s="24" t="str">
        <f t="shared" si="77"/>
        <v>Sep</v>
      </c>
      <c r="G998" s="24">
        <f t="shared" si="78"/>
        <v>9</v>
      </c>
      <c r="H998" s="19">
        <v>1449</v>
      </c>
      <c r="I998" s="19" t="s">
        <v>3</v>
      </c>
      <c r="J998" s="19" t="s">
        <v>5</v>
      </c>
      <c r="K998" s="20">
        <v>7</v>
      </c>
      <c r="L998" s="21">
        <v>96.43</v>
      </c>
      <c r="M998" s="22">
        <v>0.2</v>
      </c>
      <c r="N998" s="21">
        <f t="shared" si="79"/>
        <v>77.144000000000005</v>
      </c>
      <c r="O998" s="21">
        <v>540.01</v>
      </c>
      <c r="P998" s="19" t="s">
        <v>2</v>
      </c>
      <c r="Q998" s="23">
        <v>5</v>
      </c>
      <c r="R998" s="45">
        <v>4.9000000000000004</v>
      </c>
    </row>
    <row r="999" spans="2:18" x14ac:dyDescent="0.2">
      <c r="B999" s="25">
        <v>996</v>
      </c>
      <c r="C999" s="18">
        <v>44826</v>
      </c>
      <c r="D999" s="24">
        <f t="shared" si="75"/>
        <v>2022</v>
      </c>
      <c r="E999" s="24" t="str">
        <f t="shared" si="76"/>
        <v>Q3</v>
      </c>
      <c r="F999" s="24" t="str">
        <f t="shared" si="77"/>
        <v>Sep</v>
      </c>
      <c r="G999" s="24">
        <f t="shared" si="78"/>
        <v>9</v>
      </c>
      <c r="H999" s="19">
        <v>1009</v>
      </c>
      <c r="I999" s="19" t="s">
        <v>3</v>
      </c>
      <c r="J999" s="19" t="s">
        <v>5</v>
      </c>
      <c r="K999" s="20">
        <v>1</v>
      </c>
      <c r="L999" s="21">
        <v>354.43</v>
      </c>
      <c r="M999" s="22">
        <v>0.35</v>
      </c>
      <c r="N999" s="21">
        <f t="shared" si="79"/>
        <v>230.37950000000001</v>
      </c>
      <c r="O999" s="21">
        <v>230.38</v>
      </c>
      <c r="P999" s="19" t="s">
        <v>4</v>
      </c>
      <c r="Q999" s="23">
        <v>9</v>
      </c>
      <c r="R999" s="45">
        <v>4.7</v>
      </c>
    </row>
    <row r="1000" spans="2:18" x14ac:dyDescent="0.2">
      <c r="B1000" s="25">
        <v>997</v>
      </c>
      <c r="C1000" s="18">
        <v>44827</v>
      </c>
      <c r="D1000" s="24">
        <f t="shared" si="75"/>
        <v>2022</v>
      </c>
      <c r="E1000" s="24" t="str">
        <f t="shared" si="76"/>
        <v>Q3</v>
      </c>
      <c r="F1000" s="24" t="str">
        <f t="shared" si="77"/>
        <v>Sep</v>
      </c>
      <c r="G1000" s="24">
        <f t="shared" si="78"/>
        <v>9</v>
      </c>
      <c r="H1000" s="19">
        <v>1823</v>
      </c>
      <c r="I1000" s="19" t="s">
        <v>10</v>
      </c>
      <c r="J1000" s="19" t="s">
        <v>9</v>
      </c>
      <c r="K1000" s="20">
        <v>4</v>
      </c>
      <c r="L1000" s="21">
        <v>534.54</v>
      </c>
      <c r="M1000" s="22">
        <v>0.23</v>
      </c>
      <c r="N1000" s="21">
        <f t="shared" si="79"/>
        <v>411.59579999999994</v>
      </c>
      <c r="O1000" s="21">
        <v>1646.38</v>
      </c>
      <c r="P1000" s="19" t="s">
        <v>4</v>
      </c>
      <c r="Q1000" s="23">
        <v>4</v>
      </c>
      <c r="R1000" s="45">
        <v>2.9</v>
      </c>
    </row>
    <row r="1001" spans="2:18" x14ac:dyDescent="0.2">
      <c r="B1001" s="25">
        <v>998</v>
      </c>
      <c r="C1001" s="18">
        <v>44828</v>
      </c>
      <c r="D1001" s="24">
        <f t="shared" si="75"/>
        <v>2022</v>
      </c>
      <c r="E1001" s="24" t="str">
        <f t="shared" si="76"/>
        <v>Q3</v>
      </c>
      <c r="F1001" s="24" t="str">
        <f t="shared" si="77"/>
        <v>Sep</v>
      </c>
      <c r="G1001" s="24">
        <f t="shared" si="78"/>
        <v>9</v>
      </c>
      <c r="H1001" s="19">
        <v>1797</v>
      </c>
      <c r="I1001" s="19" t="s">
        <v>3</v>
      </c>
      <c r="J1001" s="19" t="s">
        <v>8</v>
      </c>
      <c r="K1001" s="20">
        <v>7</v>
      </c>
      <c r="L1001" s="21">
        <v>292.02</v>
      </c>
      <c r="M1001" s="22">
        <v>0.24</v>
      </c>
      <c r="N1001" s="21">
        <f t="shared" si="79"/>
        <v>221.93520000000001</v>
      </c>
      <c r="O1001" s="21">
        <v>1553.55</v>
      </c>
      <c r="P1001" s="19" t="s">
        <v>4</v>
      </c>
      <c r="Q1001" s="23">
        <v>9</v>
      </c>
      <c r="R1001" s="45">
        <v>2.5</v>
      </c>
    </row>
    <row r="1002" spans="2:18" x14ac:dyDescent="0.2">
      <c r="B1002" s="25">
        <v>999</v>
      </c>
      <c r="C1002" s="18">
        <v>44829</v>
      </c>
      <c r="D1002" s="24">
        <f t="shared" si="75"/>
        <v>2022</v>
      </c>
      <c r="E1002" s="24" t="str">
        <f t="shared" si="76"/>
        <v>Q3</v>
      </c>
      <c r="F1002" s="24" t="str">
        <f t="shared" si="77"/>
        <v>Sep</v>
      </c>
      <c r="G1002" s="24">
        <f t="shared" si="78"/>
        <v>9</v>
      </c>
      <c r="H1002" s="19">
        <v>1241</v>
      </c>
      <c r="I1002" s="19" t="s">
        <v>10</v>
      </c>
      <c r="J1002" s="19" t="s">
        <v>9</v>
      </c>
      <c r="K1002" s="20">
        <v>3</v>
      </c>
      <c r="L1002" s="21">
        <v>451.74</v>
      </c>
      <c r="M1002" s="22">
        <v>0.17</v>
      </c>
      <c r="N1002" s="21">
        <f t="shared" si="79"/>
        <v>374.94420000000002</v>
      </c>
      <c r="O1002" s="21">
        <v>1124.83</v>
      </c>
      <c r="P1002" s="19" t="s">
        <v>4</v>
      </c>
      <c r="Q1002" s="23">
        <v>8</v>
      </c>
      <c r="R1002" s="45">
        <v>3.8</v>
      </c>
    </row>
    <row r="1003" spans="2:18" x14ac:dyDescent="0.2">
      <c r="B1003" s="25">
        <v>1000</v>
      </c>
      <c r="C1003" s="18">
        <v>44830</v>
      </c>
      <c r="D1003" s="24">
        <f t="shared" si="75"/>
        <v>2022</v>
      </c>
      <c r="E1003" s="24" t="str">
        <f t="shared" si="76"/>
        <v>Q3</v>
      </c>
      <c r="F1003" s="24" t="str">
        <f t="shared" si="77"/>
        <v>Sep</v>
      </c>
      <c r="G1003" s="24">
        <f t="shared" si="78"/>
        <v>9</v>
      </c>
      <c r="H1003" s="19">
        <v>1250</v>
      </c>
      <c r="I1003" s="19" t="s">
        <v>10</v>
      </c>
      <c r="J1003" s="19" t="s">
        <v>8</v>
      </c>
      <c r="K1003" s="20">
        <v>1</v>
      </c>
      <c r="L1003" s="21">
        <v>485.73</v>
      </c>
      <c r="M1003" s="22">
        <v>0.12</v>
      </c>
      <c r="N1003" s="21">
        <f t="shared" si="79"/>
        <v>427.44240000000002</v>
      </c>
      <c r="O1003" s="21">
        <v>427.44</v>
      </c>
      <c r="P1003" s="19" t="s">
        <v>6</v>
      </c>
      <c r="Q1003" s="23">
        <v>1</v>
      </c>
      <c r="R1003" s="45">
        <v>2.2999999999999998</v>
      </c>
    </row>
    <row r="1004" spans="2:18" x14ac:dyDescent="0.2">
      <c r="B1004" s="25">
        <v>1001</v>
      </c>
      <c r="C1004" s="18">
        <v>44831</v>
      </c>
      <c r="D1004" s="24">
        <f t="shared" si="75"/>
        <v>2022</v>
      </c>
      <c r="E1004" s="24" t="str">
        <f t="shared" si="76"/>
        <v>Q3</v>
      </c>
      <c r="F1004" s="24" t="str">
        <f t="shared" si="77"/>
        <v>Sep</v>
      </c>
      <c r="G1004" s="24">
        <f t="shared" si="78"/>
        <v>9</v>
      </c>
      <c r="H1004" s="19">
        <v>1876</v>
      </c>
      <c r="I1004" s="19" t="s">
        <v>0</v>
      </c>
      <c r="J1004" s="19" t="s">
        <v>1</v>
      </c>
      <c r="K1004" s="20">
        <v>2</v>
      </c>
      <c r="L1004" s="21">
        <v>445.85</v>
      </c>
      <c r="M1004" s="22">
        <v>0.28000000000000003</v>
      </c>
      <c r="N1004" s="21">
        <f t="shared" si="79"/>
        <v>321.012</v>
      </c>
      <c r="O1004" s="21">
        <v>642.02</v>
      </c>
      <c r="P1004" s="19" t="s">
        <v>6</v>
      </c>
      <c r="Q1004" s="23">
        <v>4</v>
      </c>
      <c r="R1004" s="45">
        <v>1.3</v>
      </c>
    </row>
    <row r="1005" spans="2:18" x14ac:dyDescent="0.2">
      <c r="B1005" s="25">
        <v>1002</v>
      </c>
      <c r="C1005" s="18">
        <v>44832</v>
      </c>
      <c r="D1005" s="24">
        <f t="shared" si="75"/>
        <v>2022</v>
      </c>
      <c r="E1005" s="24" t="str">
        <f t="shared" si="76"/>
        <v>Q3</v>
      </c>
      <c r="F1005" s="24" t="str">
        <f t="shared" si="77"/>
        <v>Sep</v>
      </c>
      <c r="G1005" s="24">
        <f t="shared" si="78"/>
        <v>9</v>
      </c>
      <c r="H1005" s="19">
        <v>1004</v>
      </c>
      <c r="I1005" s="19" t="s">
        <v>7</v>
      </c>
      <c r="J1005" s="19" t="s">
        <v>5</v>
      </c>
      <c r="K1005" s="20">
        <v>5</v>
      </c>
      <c r="L1005" s="21">
        <v>556.32000000000005</v>
      </c>
      <c r="M1005" s="22">
        <v>0.17</v>
      </c>
      <c r="N1005" s="21">
        <f t="shared" si="79"/>
        <v>461.74560000000002</v>
      </c>
      <c r="O1005" s="21">
        <v>2308.73</v>
      </c>
      <c r="P1005" s="19" t="s">
        <v>4</v>
      </c>
      <c r="Q1005" s="23">
        <v>7</v>
      </c>
      <c r="R1005" s="45">
        <v>4.5999999999999996</v>
      </c>
    </row>
    <row r="1006" spans="2:18" x14ac:dyDescent="0.2">
      <c r="B1006" s="25">
        <v>1003</v>
      </c>
      <c r="C1006" s="18">
        <v>44833</v>
      </c>
      <c r="D1006" s="24">
        <f t="shared" si="75"/>
        <v>2022</v>
      </c>
      <c r="E1006" s="24" t="str">
        <f t="shared" si="76"/>
        <v>Q3</v>
      </c>
      <c r="F1006" s="24" t="str">
        <f t="shared" si="77"/>
        <v>Sep</v>
      </c>
      <c r="G1006" s="24">
        <f t="shared" si="78"/>
        <v>9</v>
      </c>
      <c r="H1006" s="19">
        <v>1118</v>
      </c>
      <c r="I1006" s="19" t="s">
        <v>3</v>
      </c>
      <c r="J1006" s="19" t="s">
        <v>1</v>
      </c>
      <c r="K1006" s="20">
        <v>1</v>
      </c>
      <c r="L1006" s="21">
        <v>276.39999999999998</v>
      </c>
      <c r="M1006" s="22">
        <v>0.35</v>
      </c>
      <c r="N1006" s="21">
        <f t="shared" si="79"/>
        <v>179.66</v>
      </c>
      <c r="O1006" s="21">
        <v>179.66</v>
      </c>
      <c r="P1006" s="19" t="s">
        <v>6</v>
      </c>
      <c r="Q1006" s="23">
        <v>1</v>
      </c>
      <c r="R1006" s="45">
        <v>3.5</v>
      </c>
    </row>
    <row r="1007" spans="2:18" x14ac:dyDescent="0.2">
      <c r="B1007" s="25">
        <v>1004</v>
      </c>
      <c r="C1007" s="18">
        <v>44834</v>
      </c>
      <c r="D1007" s="24">
        <f t="shared" si="75"/>
        <v>2022</v>
      </c>
      <c r="E1007" s="24" t="str">
        <f t="shared" si="76"/>
        <v>Q3</v>
      </c>
      <c r="F1007" s="24" t="str">
        <f t="shared" si="77"/>
        <v>Sep</v>
      </c>
      <c r="G1007" s="24">
        <f t="shared" si="78"/>
        <v>9</v>
      </c>
      <c r="H1007" s="19">
        <v>1800</v>
      </c>
      <c r="I1007" s="19" t="s">
        <v>10</v>
      </c>
      <c r="J1007" s="19" t="s">
        <v>5</v>
      </c>
      <c r="K1007" s="20">
        <v>1</v>
      </c>
      <c r="L1007" s="21">
        <v>116.28</v>
      </c>
      <c r="M1007" s="22">
        <v>0.16</v>
      </c>
      <c r="N1007" s="21">
        <f t="shared" si="79"/>
        <v>97.675200000000004</v>
      </c>
      <c r="O1007" s="21">
        <v>97.68</v>
      </c>
      <c r="P1007" s="19" t="s">
        <v>6</v>
      </c>
      <c r="Q1007" s="23">
        <v>8</v>
      </c>
      <c r="R1007" s="45">
        <v>1.8</v>
      </c>
    </row>
    <row r="1008" spans="2:18" x14ac:dyDescent="0.2">
      <c r="B1008" s="25">
        <v>1005</v>
      </c>
      <c r="C1008" s="18">
        <v>44835</v>
      </c>
      <c r="D1008" s="24">
        <f t="shared" si="75"/>
        <v>2022</v>
      </c>
      <c r="E1008" s="24" t="str">
        <f t="shared" si="76"/>
        <v>Q4</v>
      </c>
      <c r="F1008" s="24" t="str">
        <f t="shared" si="77"/>
        <v>Oct</v>
      </c>
      <c r="G1008" s="24">
        <f t="shared" si="78"/>
        <v>10</v>
      </c>
      <c r="H1008" s="19">
        <v>1373</v>
      </c>
      <c r="I1008" s="19" t="s">
        <v>0</v>
      </c>
      <c r="J1008" s="19" t="s">
        <v>1</v>
      </c>
      <c r="K1008" s="20">
        <v>2</v>
      </c>
      <c r="L1008" s="21">
        <v>42.97</v>
      </c>
      <c r="M1008" s="22">
        <v>0.02</v>
      </c>
      <c r="N1008" s="21">
        <f t="shared" si="79"/>
        <v>42.110599999999998</v>
      </c>
      <c r="O1008" s="21">
        <v>84.22</v>
      </c>
      <c r="P1008" s="19" t="s">
        <v>4</v>
      </c>
      <c r="Q1008" s="23">
        <v>11</v>
      </c>
      <c r="R1008" s="45">
        <v>1.1000000000000001</v>
      </c>
    </row>
    <row r="1009" spans="2:18" x14ac:dyDescent="0.2">
      <c r="B1009" s="25">
        <v>1006</v>
      </c>
      <c r="C1009" s="18">
        <v>44836</v>
      </c>
      <c r="D1009" s="24">
        <f t="shared" si="75"/>
        <v>2022</v>
      </c>
      <c r="E1009" s="24" t="str">
        <f t="shared" si="76"/>
        <v>Q4</v>
      </c>
      <c r="F1009" s="24" t="str">
        <f t="shared" si="77"/>
        <v>Oct</v>
      </c>
      <c r="G1009" s="24">
        <f t="shared" si="78"/>
        <v>10</v>
      </c>
      <c r="H1009" s="19">
        <v>1064</v>
      </c>
      <c r="I1009" s="19" t="s">
        <v>0</v>
      </c>
      <c r="J1009" s="19" t="s">
        <v>9</v>
      </c>
      <c r="K1009" s="20">
        <v>4</v>
      </c>
      <c r="L1009" s="21">
        <v>159.18</v>
      </c>
      <c r="M1009" s="22">
        <v>0.24</v>
      </c>
      <c r="N1009" s="21">
        <f t="shared" si="79"/>
        <v>120.9768</v>
      </c>
      <c r="O1009" s="21">
        <v>483.91</v>
      </c>
      <c r="P1009" s="19" t="s">
        <v>4</v>
      </c>
      <c r="Q1009" s="23">
        <v>2</v>
      </c>
      <c r="R1009" s="45">
        <v>3.9</v>
      </c>
    </row>
    <row r="1010" spans="2:18" x14ac:dyDescent="0.2">
      <c r="B1010" s="25">
        <v>1007</v>
      </c>
      <c r="C1010" s="18">
        <v>44837</v>
      </c>
      <c r="D1010" s="24">
        <f t="shared" si="75"/>
        <v>2022</v>
      </c>
      <c r="E1010" s="24" t="str">
        <f t="shared" si="76"/>
        <v>Q4</v>
      </c>
      <c r="F1010" s="24" t="str">
        <f t="shared" si="77"/>
        <v>Oct</v>
      </c>
      <c r="G1010" s="24">
        <f t="shared" si="78"/>
        <v>10</v>
      </c>
      <c r="H1010" s="19">
        <v>1145</v>
      </c>
      <c r="I1010" s="19" t="s">
        <v>3</v>
      </c>
      <c r="J1010" s="19" t="s">
        <v>1</v>
      </c>
      <c r="K1010" s="20">
        <v>6</v>
      </c>
      <c r="L1010" s="21">
        <v>98.77</v>
      </c>
      <c r="M1010" s="22">
        <v>0.02</v>
      </c>
      <c r="N1010" s="21">
        <f t="shared" si="79"/>
        <v>96.794600000000003</v>
      </c>
      <c r="O1010" s="21">
        <v>580.77</v>
      </c>
      <c r="P1010" s="19" t="s">
        <v>2</v>
      </c>
      <c r="Q1010" s="23">
        <v>8</v>
      </c>
      <c r="R1010" s="45">
        <v>4.4000000000000004</v>
      </c>
    </row>
    <row r="1011" spans="2:18" x14ac:dyDescent="0.2">
      <c r="B1011" s="25">
        <v>1008</v>
      </c>
      <c r="C1011" s="18">
        <v>44838</v>
      </c>
      <c r="D1011" s="24">
        <f t="shared" si="75"/>
        <v>2022</v>
      </c>
      <c r="E1011" s="24" t="str">
        <f t="shared" si="76"/>
        <v>Q4</v>
      </c>
      <c r="F1011" s="24" t="str">
        <f t="shared" si="77"/>
        <v>Oct</v>
      </c>
      <c r="G1011" s="24">
        <f t="shared" si="78"/>
        <v>10</v>
      </c>
      <c r="H1011" s="19">
        <v>1223</v>
      </c>
      <c r="I1011" s="19" t="s">
        <v>7</v>
      </c>
      <c r="J1011" s="19" t="s">
        <v>1</v>
      </c>
      <c r="K1011" s="20">
        <v>2</v>
      </c>
      <c r="L1011" s="21">
        <v>341.4</v>
      </c>
      <c r="M1011" s="22">
        <v>0.09</v>
      </c>
      <c r="N1011" s="21">
        <f t="shared" si="79"/>
        <v>310.67399999999998</v>
      </c>
      <c r="O1011" s="21">
        <v>621.35</v>
      </c>
      <c r="P1011" s="19" t="s">
        <v>6</v>
      </c>
      <c r="Q1011" s="23">
        <v>11</v>
      </c>
      <c r="R1011" s="45">
        <v>2.6</v>
      </c>
    </row>
    <row r="1012" spans="2:18" x14ac:dyDescent="0.2">
      <c r="B1012" s="25">
        <v>1009</v>
      </c>
      <c r="C1012" s="18">
        <v>44839</v>
      </c>
      <c r="D1012" s="24">
        <f t="shared" si="75"/>
        <v>2022</v>
      </c>
      <c r="E1012" s="24" t="str">
        <f t="shared" si="76"/>
        <v>Q4</v>
      </c>
      <c r="F1012" s="24" t="str">
        <f t="shared" si="77"/>
        <v>Oct</v>
      </c>
      <c r="G1012" s="24">
        <f t="shared" si="78"/>
        <v>10</v>
      </c>
      <c r="H1012" s="19">
        <v>1238</v>
      </c>
      <c r="I1012" s="19" t="s">
        <v>3</v>
      </c>
      <c r="J1012" s="19" t="s">
        <v>9</v>
      </c>
      <c r="K1012" s="20">
        <v>6</v>
      </c>
      <c r="L1012" s="21">
        <v>123.19</v>
      </c>
      <c r="M1012" s="22">
        <v>0.12</v>
      </c>
      <c r="N1012" s="21">
        <f t="shared" si="79"/>
        <v>108.4072</v>
      </c>
      <c r="O1012" s="21">
        <v>650.44000000000005</v>
      </c>
      <c r="P1012" s="19" t="s">
        <v>4</v>
      </c>
      <c r="Q1012" s="23">
        <v>4</v>
      </c>
      <c r="R1012" s="45">
        <v>1.3</v>
      </c>
    </row>
    <row r="1013" spans="2:18" x14ac:dyDescent="0.2">
      <c r="B1013" s="25">
        <v>1010</v>
      </c>
      <c r="C1013" s="18">
        <v>44840</v>
      </c>
      <c r="D1013" s="24">
        <f t="shared" si="75"/>
        <v>2022</v>
      </c>
      <c r="E1013" s="24" t="str">
        <f t="shared" si="76"/>
        <v>Q4</v>
      </c>
      <c r="F1013" s="24" t="str">
        <f t="shared" si="77"/>
        <v>Oct</v>
      </c>
      <c r="G1013" s="24">
        <f t="shared" si="78"/>
        <v>10</v>
      </c>
      <c r="H1013" s="19">
        <v>1176</v>
      </c>
      <c r="I1013" s="19" t="s">
        <v>10</v>
      </c>
      <c r="J1013" s="19" t="s">
        <v>5</v>
      </c>
      <c r="K1013" s="20">
        <v>1</v>
      </c>
      <c r="L1013" s="21">
        <v>37.78</v>
      </c>
      <c r="M1013" s="22">
        <v>0.26</v>
      </c>
      <c r="N1013" s="21">
        <f t="shared" si="79"/>
        <v>27.9572</v>
      </c>
      <c r="O1013" s="21">
        <v>27.96</v>
      </c>
      <c r="P1013" s="19" t="s">
        <v>4</v>
      </c>
      <c r="Q1013" s="23">
        <v>8</v>
      </c>
      <c r="R1013" s="45">
        <v>3.6</v>
      </c>
    </row>
    <row r="1014" spans="2:18" x14ac:dyDescent="0.2">
      <c r="B1014" s="25">
        <v>1011</v>
      </c>
      <c r="C1014" s="18">
        <v>44841</v>
      </c>
      <c r="D1014" s="24">
        <f t="shared" si="75"/>
        <v>2022</v>
      </c>
      <c r="E1014" s="24" t="str">
        <f t="shared" si="76"/>
        <v>Q4</v>
      </c>
      <c r="F1014" s="24" t="str">
        <f t="shared" si="77"/>
        <v>Oct</v>
      </c>
      <c r="G1014" s="24">
        <f t="shared" si="78"/>
        <v>10</v>
      </c>
      <c r="H1014" s="19">
        <v>1778</v>
      </c>
      <c r="I1014" s="19" t="s">
        <v>3</v>
      </c>
      <c r="J1014" s="19" t="s">
        <v>5</v>
      </c>
      <c r="K1014" s="20">
        <v>4</v>
      </c>
      <c r="L1014" s="21">
        <v>36.049999999999997</v>
      </c>
      <c r="M1014" s="22">
        <v>0.17</v>
      </c>
      <c r="N1014" s="21">
        <f t="shared" si="79"/>
        <v>29.921499999999998</v>
      </c>
      <c r="O1014" s="21">
        <v>119.69</v>
      </c>
      <c r="P1014" s="19" t="s">
        <v>4</v>
      </c>
      <c r="Q1014" s="23">
        <v>1</v>
      </c>
      <c r="R1014" s="45">
        <v>2.2000000000000002</v>
      </c>
    </row>
    <row r="1015" spans="2:18" x14ac:dyDescent="0.2">
      <c r="B1015" s="25">
        <v>1012</v>
      </c>
      <c r="C1015" s="18">
        <v>44842</v>
      </c>
      <c r="D1015" s="24">
        <f t="shared" si="75"/>
        <v>2022</v>
      </c>
      <c r="E1015" s="24" t="str">
        <f t="shared" si="76"/>
        <v>Q4</v>
      </c>
      <c r="F1015" s="24" t="str">
        <f t="shared" si="77"/>
        <v>Oct</v>
      </c>
      <c r="G1015" s="24">
        <f t="shared" si="78"/>
        <v>10</v>
      </c>
      <c r="H1015" s="19">
        <v>1852</v>
      </c>
      <c r="I1015" s="19" t="s">
        <v>3</v>
      </c>
      <c r="J1015" s="19" t="s">
        <v>9</v>
      </c>
      <c r="K1015" s="20">
        <v>3</v>
      </c>
      <c r="L1015" s="21">
        <v>501.47</v>
      </c>
      <c r="M1015" s="22">
        <v>0.01</v>
      </c>
      <c r="N1015" s="21">
        <f t="shared" si="79"/>
        <v>496.45530000000002</v>
      </c>
      <c r="O1015" s="21">
        <v>1489.37</v>
      </c>
      <c r="P1015" s="19" t="s">
        <v>4</v>
      </c>
      <c r="Q1015" s="23">
        <v>5</v>
      </c>
      <c r="R1015" s="45">
        <v>1.6</v>
      </c>
    </row>
    <row r="1016" spans="2:18" x14ac:dyDescent="0.2">
      <c r="B1016" s="25">
        <v>1013</v>
      </c>
      <c r="C1016" s="18">
        <v>44843</v>
      </c>
      <c r="D1016" s="24">
        <f t="shared" si="75"/>
        <v>2022</v>
      </c>
      <c r="E1016" s="24" t="str">
        <f t="shared" si="76"/>
        <v>Q4</v>
      </c>
      <c r="F1016" s="24" t="str">
        <f t="shared" si="77"/>
        <v>Oct</v>
      </c>
      <c r="G1016" s="24">
        <f t="shared" si="78"/>
        <v>10</v>
      </c>
      <c r="H1016" s="19">
        <v>1281</v>
      </c>
      <c r="I1016" s="19" t="s">
        <v>10</v>
      </c>
      <c r="J1016" s="19" t="s">
        <v>1</v>
      </c>
      <c r="K1016" s="20">
        <v>1</v>
      </c>
      <c r="L1016" s="21">
        <v>361</v>
      </c>
      <c r="M1016" s="22">
        <v>0.22</v>
      </c>
      <c r="N1016" s="21">
        <f t="shared" si="79"/>
        <v>281.58</v>
      </c>
      <c r="O1016" s="21">
        <v>281.58</v>
      </c>
      <c r="P1016" s="19" t="s">
        <v>2</v>
      </c>
      <c r="Q1016" s="23">
        <v>9</v>
      </c>
      <c r="R1016" s="45">
        <v>3</v>
      </c>
    </row>
    <row r="1017" spans="2:18" x14ac:dyDescent="0.2">
      <c r="B1017" s="25">
        <v>1014</v>
      </c>
      <c r="C1017" s="18">
        <v>44844</v>
      </c>
      <c r="D1017" s="24">
        <f t="shared" si="75"/>
        <v>2022</v>
      </c>
      <c r="E1017" s="24" t="str">
        <f t="shared" si="76"/>
        <v>Q4</v>
      </c>
      <c r="F1017" s="24" t="str">
        <f t="shared" si="77"/>
        <v>Oct</v>
      </c>
      <c r="G1017" s="24">
        <f t="shared" si="78"/>
        <v>10</v>
      </c>
      <c r="H1017" s="19">
        <v>1062</v>
      </c>
      <c r="I1017" s="19" t="s">
        <v>3</v>
      </c>
      <c r="J1017" s="19" t="s">
        <v>1</v>
      </c>
      <c r="K1017" s="20">
        <v>2</v>
      </c>
      <c r="L1017" s="21">
        <v>224.48</v>
      </c>
      <c r="M1017" s="22">
        <v>0.14000000000000001</v>
      </c>
      <c r="N1017" s="21">
        <f t="shared" si="79"/>
        <v>193.05279999999999</v>
      </c>
      <c r="O1017" s="21">
        <v>386.11</v>
      </c>
      <c r="P1017" s="19" t="s">
        <v>4</v>
      </c>
      <c r="Q1017" s="23">
        <v>7</v>
      </c>
      <c r="R1017" s="45">
        <v>2.9</v>
      </c>
    </row>
    <row r="1018" spans="2:18" x14ac:dyDescent="0.2">
      <c r="B1018" s="25">
        <v>1015</v>
      </c>
      <c r="C1018" s="18">
        <v>44845</v>
      </c>
      <c r="D1018" s="24">
        <f t="shared" si="75"/>
        <v>2022</v>
      </c>
      <c r="E1018" s="24" t="str">
        <f t="shared" si="76"/>
        <v>Q4</v>
      </c>
      <c r="F1018" s="24" t="str">
        <f t="shared" si="77"/>
        <v>Oct</v>
      </c>
      <c r="G1018" s="24">
        <f t="shared" si="78"/>
        <v>10</v>
      </c>
      <c r="H1018" s="19">
        <v>1216</v>
      </c>
      <c r="I1018" s="19" t="s">
        <v>0</v>
      </c>
      <c r="J1018" s="19" t="s">
        <v>1</v>
      </c>
      <c r="K1018" s="20">
        <v>3</v>
      </c>
      <c r="L1018" s="21">
        <v>538.12</v>
      </c>
      <c r="M1018" s="22">
        <v>0.32</v>
      </c>
      <c r="N1018" s="21">
        <f t="shared" si="79"/>
        <v>365.92160000000001</v>
      </c>
      <c r="O1018" s="21">
        <v>1097.76</v>
      </c>
      <c r="P1018" s="19" t="s">
        <v>4</v>
      </c>
      <c r="Q1018" s="23">
        <v>3</v>
      </c>
      <c r="R1018" s="45">
        <v>3.1</v>
      </c>
    </row>
    <row r="1019" spans="2:18" x14ac:dyDescent="0.2">
      <c r="B1019" s="25">
        <v>1016</v>
      </c>
      <c r="C1019" s="18">
        <v>44846</v>
      </c>
      <c r="D1019" s="24">
        <f t="shared" si="75"/>
        <v>2022</v>
      </c>
      <c r="E1019" s="24" t="str">
        <f t="shared" si="76"/>
        <v>Q4</v>
      </c>
      <c r="F1019" s="24" t="str">
        <f t="shared" si="77"/>
        <v>Oct</v>
      </c>
      <c r="G1019" s="24">
        <f t="shared" si="78"/>
        <v>10</v>
      </c>
      <c r="H1019" s="19">
        <v>1853</v>
      </c>
      <c r="I1019" s="19" t="s">
        <v>3</v>
      </c>
      <c r="J1019" s="19" t="s">
        <v>8</v>
      </c>
      <c r="K1019" s="20">
        <v>5</v>
      </c>
      <c r="L1019" s="21">
        <v>56.07</v>
      </c>
      <c r="M1019" s="22">
        <v>0.17</v>
      </c>
      <c r="N1019" s="21">
        <f t="shared" si="79"/>
        <v>46.5381</v>
      </c>
      <c r="O1019" s="21">
        <v>232.69</v>
      </c>
      <c r="P1019" s="19" t="s">
        <v>4</v>
      </c>
      <c r="Q1019" s="23">
        <v>4</v>
      </c>
      <c r="R1019" s="45">
        <v>4.3</v>
      </c>
    </row>
    <row r="1020" spans="2:18" x14ac:dyDescent="0.2">
      <c r="B1020" s="25">
        <v>1017</v>
      </c>
      <c r="C1020" s="18">
        <v>44847</v>
      </c>
      <c r="D1020" s="24">
        <f t="shared" si="75"/>
        <v>2022</v>
      </c>
      <c r="E1020" s="24" t="str">
        <f t="shared" si="76"/>
        <v>Q4</v>
      </c>
      <c r="F1020" s="24" t="str">
        <f t="shared" si="77"/>
        <v>Oct</v>
      </c>
      <c r="G1020" s="24">
        <f t="shared" si="78"/>
        <v>10</v>
      </c>
      <c r="H1020" s="19">
        <v>1826</v>
      </c>
      <c r="I1020" s="19" t="s">
        <v>7</v>
      </c>
      <c r="J1020" s="19" t="s">
        <v>5</v>
      </c>
      <c r="K1020" s="20">
        <v>3</v>
      </c>
      <c r="L1020" s="21">
        <v>588.49</v>
      </c>
      <c r="M1020" s="22">
        <v>0.25</v>
      </c>
      <c r="N1020" s="21">
        <f t="shared" si="79"/>
        <v>441.36750000000001</v>
      </c>
      <c r="O1020" s="21">
        <v>1324.1</v>
      </c>
      <c r="P1020" s="19" t="s">
        <v>6</v>
      </c>
      <c r="Q1020" s="23">
        <v>10</v>
      </c>
      <c r="R1020" s="45">
        <v>2.9</v>
      </c>
    </row>
    <row r="1021" spans="2:18" x14ac:dyDescent="0.2">
      <c r="B1021" s="25">
        <v>1018</v>
      </c>
      <c r="C1021" s="18">
        <v>44848</v>
      </c>
      <c r="D1021" s="24">
        <f t="shared" si="75"/>
        <v>2022</v>
      </c>
      <c r="E1021" s="24" t="str">
        <f t="shared" si="76"/>
        <v>Q4</v>
      </c>
      <c r="F1021" s="24" t="str">
        <f t="shared" si="77"/>
        <v>Oct</v>
      </c>
      <c r="G1021" s="24">
        <f t="shared" si="78"/>
        <v>10</v>
      </c>
      <c r="H1021" s="19">
        <v>1794</v>
      </c>
      <c r="I1021" s="19" t="s">
        <v>3</v>
      </c>
      <c r="J1021" s="19" t="s">
        <v>1</v>
      </c>
      <c r="K1021" s="20">
        <v>2</v>
      </c>
      <c r="L1021" s="21">
        <v>375.53</v>
      </c>
      <c r="M1021" s="22">
        <v>0.08</v>
      </c>
      <c r="N1021" s="21">
        <f t="shared" si="79"/>
        <v>345.48759999999999</v>
      </c>
      <c r="O1021" s="21">
        <v>690.98</v>
      </c>
      <c r="P1021" s="19" t="s">
        <v>4</v>
      </c>
      <c r="Q1021" s="23">
        <v>7</v>
      </c>
      <c r="R1021" s="45">
        <v>4.5999999999999996</v>
      </c>
    </row>
    <row r="1022" spans="2:18" x14ac:dyDescent="0.2">
      <c r="B1022" s="25">
        <v>1019</v>
      </c>
      <c r="C1022" s="18">
        <v>44849</v>
      </c>
      <c r="D1022" s="24">
        <f t="shared" si="75"/>
        <v>2022</v>
      </c>
      <c r="E1022" s="24" t="str">
        <f t="shared" si="76"/>
        <v>Q4</v>
      </c>
      <c r="F1022" s="24" t="str">
        <f t="shared" si="77"/>
        <v>Oct</v>
      </c>
      <c r="G1022" s="24">
        <f t="shared" si="78"/>
        <v>10</v>
      </c>
      <c r="H1022" s="19">
        <v>1688</v>
      </c>
      <c r="I1022" s="19" t="s">
        <v>10</v>
      </c>
      <c r="J1022" s="19" t="s">
        <v>5</v>
      </c>
      <c r="K1022" s="20">
        <v>7</v>
      </c>
      <c r="L1022" s="21">
        <v>122.33</v>
      </c>
      <c r="M1022" s="22">
        <v>0.27</v>
      </c>
      <c r="N1022" s="21">
        <f t="shared" si="79"/>
        <v>89.300899999999999</v>
      </c>
      <c r="O1022" s="21">
        <v>625.11</v>
      </c>
      <c r="P1022" s="19" t="s">
        <v>4</v>
      </c>
      <c r="Q1022" s="23">
        <v>6</v>
      </c>
      <c r="R1022" s="45">
        <v>4.4000000000000004</v>
      </c>
    </row>
    <row r="1023" spans="2:18" x14ac:dyDescent="0.2">
      <c r="B1023" s="25">
        <v>1020</v>
      </c>
      <c r="C1023" s="18">
        <v>44850</v>
      </c>
      <c r="D1023" s="24">
        <f t="shared" si="75"/>
        <v>2022</v>
      </c>
      <c r="E1023" s="24" t="str">
        <f t="shared" si="76"/>
        <v>Q4</v>
      </c>
      <c r="F1023" s="24" t="str">
        <f t="shared" si="77"/>
        <v>Oct</v>
      </c>
      <c r="G1023" s="24">
        <f t="shared" si="78"/>
        <v>10</v>
      </c>
      <c r="H1023" s="19">
        <v>1460</v>
      </c>
      <c r="I1023" s="19" t="s">
        <v>7</v>
      </c>
      <c r="J1023" s="19" t="s">
        <v>1</v>
      </c>
      <c r="K1023" s="20">
        <v>3</v>
      </c>
      <c r="L1023" s="21">
        <v>412.26</v>
      </c>
      <c r="M1023" s="22">
        <v>0.25</v>
      </c>
      <c r="N1023" s="21">
        <f t="shared" si="79"/>
        <v>309.19499999999999</v>
      </c>
      <c r="O1023" s="21">
        <v>927.58</v>
      </c>
      <c r="P1023" s="19" t="s">
        <v>6</v>
      </c>
      <c r="Q1023" s="23">
        <v>4</v>
      </c>
      <c r="R1023" s="45">
        <v>3.6</v>
      </c>
    </row>
    <row r="1024" spans="2:18" x14ac:dyDescent="0.2">
      <c r="B1024" s="25">
        <v>1021</v>
      </c>
      <c r="C1024" s="18">
        <v>44851</v>
      </c>
      <c r="D1024" s="24">
        <f t="shared" si="75"/>
        <v>2022</v>
      </c>
      <c r="E1024" s="24" t="str">
        <f t="shared" si="76"/>
        <v>Q4</v>
      </c>
      <c r="F1024" s="24" t="str">
        <f t="shared" si="77"/>
        <v>Oct</v>
      </c>
      <c r="G1024" s="24">
        <f t="shared" si="78"/>
        <v>10</v>
      </c>
      <c r="H1024" s="19">
        <v>1928</v>
      </c>
      <c r="I1024" s="19" t="s">
        <v>7</v>
      </c>
      <c r="J1024" s="19" t="s">
        <v>9</v>
      </c>
      <c r="K1024" s="20">
        <v>2</v>
      </c>
      <c r="L1024" s="21">
        <v>461.58</v>
      </c>
      <c r="M1024" s="22">
        <v>0.32</v>
      </c>
      <c r="N1024" s="21">
        <f t="shared" si="79"/>
        <v>313.87439999999998</v>
      </c>
      <c r="O1024" s="21">
        <v>627.75</v>
      </c>
      <c r="P1024" s="19" t="s">
        <v>4</v>
      </c>
      <c r="Q1024" s="23">
        <v>3</v>
      </c>
      <c r="R1024" s="45">
        <v>1.2</v>
      </c>
    </row>
    <row r="1025" spans="2:18" x14ac:dyDescent="0.2">
      <c r="B1025" s="25">
        <v>1022</v>
      </c>
      <c r="C1025" s="18">
        <v>44852</v>
      </c>
      <c r="D1025" s="24">
        <f t="shared" si="75"/>
        <v>2022</v>
      </c>
      <c r="E1025" s="24" t="str">
        <f t="shared" si="76"/>
        <v>Q4</v>
      </c>
      <c r="F1025" s="24" t="str">
        <f t="shared" si="77"/>
        <v>Oct</v>
      </c>
      <c r="G1025" s="24">
        <f t="shared" si="78"/>
        <v>10</v>
      </c>
      <c r="H1025" s="19">
        <v>1609</v>
      </c>
      <c r="I1025" s="19" t="s">
        <v>0</v>
      </c>
      <c r="J1025" s="19" t="s">
        <v>9</v>
      </c>
      <c r="K1025" s="20">
        <v>7</v>
      </c>
      <c r="L1025" s="21">
        <v>266.17</v>
      </c>
      <c r="M1025" s="22">
        <v>0.01</v>
      </c>
      <c r="N1025" s="21">
        <f t="shared" si="79"/>
        <v>263.50830000000002</v>
      </c>
      <c r="O1025" s="21">
        <v>1844.56</v>
      </c>
      <c r="P1025" s="19" t="s">
        <v>4</v>
      </c>
      <c r="Q1025" s="23">
        <v>11</v>
      </c>
      <c r="R1025" s="45">
        <v>4.5</v>
      </c>
    </row>
    <row r="1026" spans="2:18" x14ac:dyDescent="0.2">
      <c r="B1026" s="25">
        <v>1023</v>
      </c>
      <c r="C1026" s="18">
        <v>44853</v>
      </c>
      <c r="D1026" s="24">
        <f t="shared" si="75"/>
        <v>2022</v>
      </c>
      <c r="E1026" s="24" t="str">
        <f t="shared" si="76"/>
        <v>Q4</v>
      </c>
      <c r="F1026" s="24" t="str">
        <f t="shared" si="77"/>
        <v>Oct</v>
      </c>
      <c r="G1026" s="24">
        <f t="shared" si="78"/>
        <v>10</v>
      </c>
      <c r="H1026" s="19">
        <v>1104</v>
      </c>
      <c r="I1026" s="19" t="s">
        <v>7</v>
      </c>
      <c r="J1026" s="19" t="s">
        <v>5</v>
      </c>
      <c r="K1026" s="20">
        <v>1</v>
      </c>
      <c r="L1026" s="21">
        <v>519.05999999999995</v>
      </c>
      <c r="M1026" s="22">
        <v>0.16</v>
      </c>
      <c r="N1026" s="21">
        <f t="shared" si="79"/>
        <v>436.01039999999995</v>
      </c>
      <c r="O1026" s="21">
        <v>436.01</v>
      </c>
      <c r="P1026" s="19" t="s">
        <v>4</v>
      </c>
      <c r="Q1026" s="23">
        <v>2</v>
      </c>
      <c r="R1026" s="45">
        <v>4.5999999999999996</v>
      </c>
    </row>
    <row r="1027" spans="2:18" x14ac:dyDescent="0.2">
      <c r="B1027" s="25">
        <v>1024</v>
      </c>
      <c r="C1027" s="18">
        <v>44854</v>
      </c>
      <c r="D1027" s="24">
        <f t="shared" si="75"/>
        <v>2022</v>
      </c>
      <c r="E1027" s="24" t="str">
        <f t="shared" si="76"/>
        <v>Q4</v>
      </c>
      <c r="F1027" s="24" t="str">
        <f t="shared" si="77"/>
        <v>Oct</v>
      </c>
      <c r="G1027" s="24">
        <f t="shared" si="78"/>
        <v>10</v>
      </c>
      <c r="H1027" s="19">
        <v>1098</v>
      </c>
      <c r="I1027" s="19" t="s">
        <v>3</v>
      </c>
      <c r="J1027" s="19" t="s">
        <v>5</v>
      </c>
      <c r="K1027" s="20">
        <v>7</v>
      </c>
      <c r="L1027" s="21">
        <v>103.18</v>
      </c>
      <c r="M1027" s="22">
        <v>0.24</v>
      </c>
      <c r="N1027" s="21">
        <f t="shared" si="79"/>
        <v>78.416800000000009</v>
      </c>
      <c r="O1027" s="21">
        <v>548.91999999999996</v>
      </c>
      <c r="P1027" s="19" t="s">
        <v>6</v>
      </c>
      <c r="Q1027" s="23">
        <v>10</v>
      </c>
      <c r="R1027" s="45">
        <v>2.5</v>
      </c>
    </row>
    <row r="1028" spans="2:18" x14ac:dyDescent="0.2">
      <c r="B1028" s="25">
        <v>1025</v>
      </c>
      <c r="C1028" s="18">
        <v>44855</v>
      </c>
      <c r="D1028" s="24">
        <f t="shared" ref="D1028:D1091" si="80">YEAR(C1028)</f>
        <v>2022</v>
      </c>
      <c r="E1028" s="24" t="str">
        <f t="shared" ref="E1028:E1091" si="81">"Q"&amp;ROUNDUP(MONTH(C1028)/3,0)</f>
        <v>Q4</v>
      </c>
      <c r="F1028" s="24" t="str">
        <f t="shared" ref="F1028:F1091" si="82">TEXT(C1028,"mmm")</f>
        <v>Oct</v>
      </c>
      <c r="G1028" s="24">
        <f t="shared" ref="G1028:G1091" si="83">MONTH(C1028)</f>
        <v>10</v>
      </c>
      <c r="H1028" s="19">
        <v>1510</v>
      </c>
      <c r="I1028" s="19" t="s">
        <v>3</v>
      </c>
      <c r="J1028" s="19" t="s">
        <v>9</v>
      </c>
      <c r="K1028" s="20">
        <v>4</v>
      </c>
      <c r="L1028" s="21">
        <v>178.12</v>
      </c>
      <c r="M1028" s="22">
        <v>0.03</v>
      </c>
      <c r="N1028" s="21">
        <f t="shared" si="79"/>
        <v>172.7764</v>
      </c>
      <c r="O1028" s="21">
        <v>691.11</v>
      </c>
      <c r="P1028" s="19" t="s">
        <v>2</v>
      </c>
      <c r="Q1028" s="23">
        <v>9</v>
      </c>
      <c r="R1028" s="45">
        <v>3.1</v>
      </c>
    </row>
    <row r="1029" spans="2:18" x14ac:dyDescent="0.2">
      <c r="B1029" s="25">
        <v>1026</v>
      </c>
      <c r="C1029" s="18">
        <v>44856</v>
      </c>
      <c r="D1029" s="24">
        <f t="shared" si="80"/>
        <v>2022</v>
      </c>
      <c r="E1029" s="24" t="str">
        <f t="shared" si="81"/>
        <v>Q4</v>
      </c>
      <c r="F1029" s="24" t="str">
        <f t="shared" si="82"/>
        <v>Oct</v>
      </c>
      <c r="G1029" s="24">
        <f t="shared" si="83"/>
        <v>10</v>
      </c>
      <c r="H1029" s="19">
        <v>1384</v>
      </c>
      <c r="I1029" s="19" t="s">
        <v>3</v>
      </c>
      <c r="J1029" s="19" t="s">
        <v>8</v>
      </c>
      <c r="K1029" s="20">
        <v>5</v>
      </c>
      <c r="L1029" s="21">
        <v>69.69</v>
      </c>
      <c r="M1029" s="22">
        <v>0.14000000000000001</v>
      </c>
      <c r="N1029" s="21">
        <f t="shared" ref="N1029:N1092" si="84">L1029-(L1029*M1029)</f>
        <v>59.933399999999999</v>
      </c>
      <c r="O1029" s="21">
        <v>299.67</v>
      </c>
      <c r="P1029" s="19" t="s">
        <v>4</v>
      </c>
      <c r="Q1029" s="23">
        <v>3</v>
      </c>
      <c r="R1029" s="45">
        <v>2.1</v>
      </c>
    </row>
    <row r="1030" spans="2:18" x14ac:dyDescent="0.2">
      <c r="B1030" s="25">
        <v>1027</v>
      </c>
      <c r="C1030" s="18">
        <v>44857</v>
      </c>
      <c r="D1030" s="24">
        <f t="shared" si="80"/>
        <v>2022</v>
      </c>
      <c r="E1030" s="24" t="str">
        <f t="shared" si="81"/>
        <v>Q4</v>
      </c>
      <c r="F1030" s="24" t="str">
        <f t="shared" si="82"/>
        <v>Oct</v>
      </c>
      <c r="G1030" s="24">
        <f t="shared" si="83"/>
        <v>10</v>
      </c>
      <c r="H1030" s="19">
        <v>1404</v>
      </c>
      <c r="I1030" s="19" t="s">
        <v>3</v>
      </c>
      <c r="J1030" s="19" t="s">
        <v>9</v>
      </c>
      <c r="K1030" s="20">
        <v>7</v>
      </c>
      <c r="L1030" s="21">
        <v>138.36000000000001</v>
      </c>
      <c r="M1030" s="22">
        <v>0.33</v>
      </c>
      <c r="N1030" s="21">
        <f t="shared" si="84"/>
        <v>92.7012</v>
      </c>
      <c r="O1030" s="21">
        <v>648.91</v>
      </c>
      <c r="P1030" s="19" t="s">
        <v>4</v>
      </c>
      <c r="Q1030" s="23">
        <v>7</v>
      </c>
      <c r="R1030" s="45">
        <v>1.1000000000000001</v>
      </c>
    </row>
    <row r="1031" spans="2:18" x14ac:dyDescent="0.2">
      <c r="B1031" s="25">
        <v>1028</v>
      </c>
      <c r="C1031" s="18">
        <v>44858</v>
      </c>
      <c r="D1031" s="24">
        <f t="shared" si="80"/>
        <v>2022</v>
      </c>
      <c r="E1031" s="24" t="str">
        <f t="shared" si="81"/>
        <v>Q4</v>
      </c>
      <c r="F1031" s="24" t="str">
        <f t="shared" si="82"/>
        <v>Oct</v>
      </c>
      <c r="G1031" s="24">
        <f t="shared" si="83"/>
        <v>10</v>
      </c>
      <c r="H1031" s="19">
        <v>1822</v>
      </c>
      <c r="I1031" s="19" t="s">
        <v>7</v>
      </c>
      <c r="J1031" s="19" t="s">
        <v>1</v>
      </c>
      <c r="K1031" s="20">
        <v>4</v>
      </c>
      <c r="L1031" s="21">
        <v>154.66</v>
      </c>
      <c r="M1031" s="22">
        <v>0.15</v>
      </c>
      <c r="N1031" s="21">
        <f t="shared" si="84"/>
        <v>131.46100000000001</v>
      </c>
      <c r="O1031" s="21">
        <v>525.84</v>
      </c>
      <c r="P1031" s="19" t="s">
        <v>4</v>
      </c>
      <c r="Q1031" s="23">
        <v>1</v>
      </c>
      <c r="R1031" s="45">
        <v>2.9</v>
      </c>
    </row>
    <row r="1032" spans="2:18" x14ac:dyDescent="0.2">
      <c r="B1032" s="25">
        <v>1029</v>
      </c>
      <c r="C1032" s="18">
        <v>44859</v>
      </c>
      <c r="D1032" s="24">
        <f t="shared" si="80"/>
        <v>2022</v>
      </c>
      <c r="E1032" s="24" t="str">
        <f t="shared" si="81"/>
        <v>Q4</v>
      </c>
      <c r="F1032" s="24" t="str">
        <f t="shared" si="82"/>
        <v>Oct</v>
      </c>
      <c r="G1032" s="24">
        <f t="shared" si="83"/>
        <v>10</v>
      </c>
      <c r="H1032" s="19">
        <v>1517</v>
      </c>
      <c r="I1032" s="19" t="s">
        <v>3</v>
      </c>
      <c r="J1032" s="19" t="s">
        <v>8</v>
      </c>
      <c r="K1032" s="20">
        <v>4</v>
      </c>
      <c r="L1032" s="21">
        <v>551.82000000000005</v>
      </c>
      <c r="M1032" s="22">
        <v>0.34</v>
      </c>
      <c r="N1032" s="21">
        <f t="shared" si="84"/>
        <v>364.20120000000003</v>
      </c>
      <c r="O1032" s="21">
        <v>1456.8</v>
      </c>
      <c r="P1032" s="19" t="s">
        <v>6</v>
      </c>
      <c r="Q1032" s="23">
        <v>8</v>
      </c>
      <c r="R1032" s="45">
        <v>1.5</v>
      </c>
    </row>
    <row r="1033" spans="2:18" x14ac:dyDescent="0.2">
      <c r="B1033" s="25">
        <v>1030</v>
      </c>
      <c r="C1033" s="18">
        <v>44860</v>
      </c>
      <c r="D1033" s="24">
        <f t="shared" si="80"/>
        <v>2022</v>
      </c>
      <c r="E1033" s="24" t="str">
        <f t="shared" si="81"/>
        <v>Q4</v>
      </c>
      <c r="F1033" s="24" t="str">
        <f t="shared" si="82"/>
        <v>Oct</v>
      </c>
      <c r="G1033" s="24">
        <f t="shared" si="83"/>
        <v>10</v>
      </c>
      <c r="H1033" s="19">
        <v>1475</v>
      </c>
      <c r="I1033" s="19" t="s">
        <v>3</v>
      </c>
      <c r="J1033" s="19" t="s">
        <v>9</v>
      </c>
      <c r="K1033" s="20">
        <v>4</v>
      </c>
      <c r="L1033" s="21">
        <v>60.69</v>
      </c>
      <c r="M1033" s="22">
        <v>0.02</v>
      </c>
      <c r="N1033" s="21">
        <f t="shared" si="84"/>
        <v>59.476199999999999</v>
      </c>
      <c r="O1033" s="21">
        <v>237.9</v>
      </c>
      <c r="P1033" s="19" t="s">
        <v>6</v>
      </c>
      <c r="Q1033" s="23">
        <v>1</v>
      </c>
      <c r="R1033" s="45">
        <v>1.7</v>
      </c>
    </row>
    <row r="1034" spans="2:18" x14ac:dyDescent="0.2">
      <c r="B1034" s="25">
        <v>1031</v>
      </c>
      <c r="C1034" s="18">
        <v>44861</v>
      </c>
      <c r="D1034" s="24">
        <f t="shared" si="80"/>
        <v>2022</v>
      </c>
      <c r="E1034" s="24" t="str">
        <f t="shared" si="81"/>
        <v>Q4</v>
      </c>
      <c r="F1034" s="24" t="str">
        <f t="shared" si="82"/>
        <v>Oct</v>
      </c>
      <c r="G1034" s="24">
        <f t="shared" si="83"/>
        <v>10</v>
      </c>
      <c r="H1034" s="19">
        <v>1976</v>
      </c>
      <c r="I1034" s="19" t="s">
        <v>10</v>
      </c>
      <c r="J1034" s="19" t="s">
        <v>8</v>
      </c>
      <c r="K1034" s="20">
        <v>7</v>
      </c>
      <c r="L1034" s="21">
        <v>265.04000000000002</v>
      </c>
      <c r="M1034" s="22">
        <v>0.25</v>
      </c>
      <c r="N1034" s="21">
        <f t="shared" si="84"/>
        <v>198.78000000000003</v>
      </c>
      <c r="O1034" s="21">
        <v>1391.46</v>
      </c>
      <c r="P1034" s="19" t="s">
        <v>6</v>
      </c>
      <c r="Q1034" s="23">
        <v>2</v>
      </c>
      <c r="R1034" s="45">
        <v>2.9</v>
      </c>
    </row>
    <row r="1035" spans="2:18" x14ac:dyDescent="0.2">
      <c r="B1035" s="25">
        <v>1032</v>
      </c>
      <c r="C1035" s="18">
        <v>44862</v>
      </c>
      <c r="D1035" s="24">
        <f t="shared" si="80"/>
        <v>2022</v>
      </c>
      <c r="E1035" s="24" t="str">
        <f t="shared" si="81"/>
        <v>Q4</v>
      </c>
      <c r="F1035" s="24" t="str">
        <f t="shared" si="82"/>
        <v>Oct</v>
      </c>
      <c r="G1035" s="24">
        <f t="shared" si="83"/>
        <v>10</v>
      </c>
      <c r="H1035" s="19">
        <v>1708</v>
      </c>
      <c r="I1035" s="19" t="s">
        <v>7</v>
      </c>
      <c r="J1035" s="19" t="s">
        <v>8</v>
      </c>
      <c r="K1035" s="20">
        <v>2</v>
      </c>
      <c r="L1035" s="21">
        <v>326.45</v>
      </c>
      <c r="M1035" s="22">
        <v>0.2</v>
      </c>
      <c r="N1035" s="21">
        <f t="shared" si="84"/>
        <v>261.15999999999997</v>
      </c>
      <c r="O1035" s="21">
        <v>522.32000000000005</v>
      </c>
      <c r="P1035" s="19" t="s">
        <v>6</v>
      </c>
      <c r="Q1035" s="23">
        <v>1</v>
      </c>
      <c r="R1035" s="45">
        <v>4.5</v>
      </c>
    </row>
    <row r="1036" spans="2:18" x14ac:dyDescent="0.2">
      <c r="B1036" s="25">
        <v>1033</v>
      </c>
      <c r="C1036" s="18">
        <v>44863</v>
      </c>
      <c r="D1036" s="24">
        <f t="shared" si="80"/>
        <v>2022</v>
      </c>
      <c r="E1036" s="24" t="str">
        <f t="shared" si="81"/>
        <v>Q4</v>
      </c>
      <c r="F1036" s="24" t="str">
        <f t="shared" si="82"/>
        <v>Oct</v>
      </c>
      <c r="G1036" s="24">
        <f t="shared" si="83"/>
        <v>10</v>
      </c>
      <c r="H1036" s="19">
        <v>1862</v>
      </c>
      <c r="I1036" s="19" t="s">
        <v>3</v>
      </c>
      <c r="J1036" s="19" t="s">
        <v>8</v>
      </c>
      <c r="K1036" s="20">
        <v>2</v>
      </c>
      <c r="L1036" s="21">
        <v>540.74</v>
      </c>
      <c r="M1036" s="22">
        <v>0.18</v>
      </c>
      <c r="N1036" s="21">
        <f t="shared" si="84"/>
        <v>443.40679999999998</v>
      </c>
      <c r="O1036" s="21">
        <v>886.81</v>
      </c>
      <c r="P1036" s="19" t="s">
        <v>2</v>
      </c>
      <c r="Q1036" s="23">
        <v>4</v>
      </c>
      <c r="R1036" s="45">
        <v>4.4000000000000004</v>
      </c>
    </row>
    <row r="1037" spans="2:18" x14ac:dyDescent="0.2">
      <c r="B1037" s="25">
        <v>1034</v>
      </c>
      <c r="C1037" s="18">
        <v>44864</v>
      </c>
      <c r="D1037" s="24">
        <f t="shared" si="80"/>
        <v>2022</v>
      </c>
      <c r="E1037" s="24" t="str">
        <f t="shared" si="81"/>
        <v>Q4</v>
      </c>
      <c r="F1037" s="24" t="str">
        <f t="shared" si="82"/>
        <v>Oct</v>
      </c>
      <c r="G1037" s="24">
        <f t="shared" si="83"/>
        <v>10</v>
      </c>
      <c r="H1037" s="19">
        <v>1644</v>
      </c>
      <c r="I1037" s="19" t="s">
        <v>7</v>
      </c>
      <c r="J1037" s="19" t="s">
        <v>5</v>
      </c>
      <c r="K1037" s="20">
        <v>5</v>
      </c>
      <c r="L1037" s="21">
        <v>598.65</v>
      </c>
      <c r="M1037" s="22">
        <v>0.34</v>
      </c>
      <c r="N1037" s="21">
        <f t="shared" si="84"/>
        <v>395.10899999999998</v>
      </c>
      <c r="O1037" s="21">
        <v>1975.54</v>
      </c>
      <c r="P1037" s="19" t="s">
        <v>2</v>
      </c>
      <c r="Q1037" s="23">
        <v>2</v>
      </c>
      <c r="R1037" s="45">
        <v>4.9000000000000004</v>
      </c>
    </row>
    <row r="1038" spans="2:18" x14ac:dyDescent="0.2">
      <c r="B1038" s="25">
        <v>1035</v>
      </c>
      <c r="C1038" s="18">
        <v>44865</v>
      </c>
      <c r="D1038" s="24">
        <f t="shared" si="80"/>
        <v>2022</v>
      </c>
      <c r="E1038" s="24" t="str">
        <f t="shared" si="81"/>
        <v>Q4</v>
      </c>
      <c r="F1038" s="24" t="str">
        <f t="shared" si="82"/>
        <v>Oct</v>
      </c>
      <c r="G1038" s="24">
        <f t="shared" si="83"/>
        <v>10</v>
      </c>
      <c r="H1038" s="19">
        <v>1869</v>
      </c>
      <c r="I1038" s="19" t="s">
        <v>7</v>
      </c>
      <c r="J1038" s="19" t="s">
        <v>9</v>
      </c>
      <c r="K1038" s="20">
        <v>2</v>
      </c>
      <c r="L1038" s="21">
        <v>455.73</v>
      </c>
      <c r="M1038" s="22">
        <v>0.05</v>
      </c>
      <c r="N1038" s="21">
        <f t="shared" si="84"/>
        <v>432.94350000000003</v>
      </c>
      <c r="O1038" s="21">
        <v>865.89</v>
      </c>
      <c r="P1038" s="19" t="s">
        <v>6</v>
      </c>
      <c r="Q1038" s="23">
        <v>1</v>
      </c>
      <c r="R1038" s="45">
        <v>2.9</v>
      </c>
    </row>
    <row r="1039" spans="2:18" x14ac:dyDescent="0.2">
      <c r="B1039" s="25">
        <v>1036</v>
      </c>
      <c r="C1039" s="18">
        <v>44866</v>
      </c>
      <c r="D1039" s="24">
        <f t="shared" si="80"/>
        <v>2022</v>
      </c>
      <c r="E1039" s="24" t="str">
        <f t="shared" si="81"/>
        <v>Q4</v>
      </c>
      <c r="F1039" s="24" t="str">
        <f t="shared" si="82"/>
        <v>Nov</v>
      </c>
      <c r="G1039" s="24">
        <f t="shared" si="83"/>
        <v>11</v>
      </c>
      <c r="H1039" s="19">
        <v>1770</v>
      </c>
      <c r="I1039" s="19" t="s">
        <v>7</v>
      </c>
      <c r="J1039" s="19" t="s">
        <v>5</v>
      </c>
      <c r="K1039" s="20">
        <v>6</v>
      </c>
      <c r="L1039" s="21">
        <v>582.91</v>
      </c>
      <c r="M1039" s="22">
        <v>0.31</v>
      </c>
      <c r="N1039" s="21">
        <f t="shared" si="84"/>
        <v>402.2079</v>
      </c>
      <c r="O1039" s="21">
        <v>2413.25</v>
      </c>
      <c r="P1039" s="19" t="s">
        <v>6</v>
      </c>
      <c r="Q1039" s="23">
        <v>1</v>
      </c>
      <c r="R1039" s="45">
        <v>3.2</v>
      </c>
    </row>
    <row r="1040" spans="2:18" x14ac:dyDescent="0.2">
      <c r="B1040" s="25">
        <v>1037</v>
      </c>
      <c r="C1040" s="18">
        <v>44867</v>
      </c>
      <c r="D1040" s="24">
        <f t="shared" si="80"/>
        <v>2022</v>
      </c>
      <c r="E1040" s="24" t="str">
        <f t="shared" si="81"/>
        <v>Q4</v>
      </c>
      <c r="F1040" s="24" t="str">
        <f t="shared" si="82"/>
        <v>Nov</v>
      </c>
      <c r="G1040" s="24">
        <f t="shared" si="83"/>
        <v>11</v>
      </c>
      <c r="H1040" s="19">
        <v>1436</v>
      </c>
      <c r="I1040" s="19" t="s">
        <v>7</v>
      </c>
      <c r="J1040" s="19" t="s">
        <v>5</v>
      </c>
      <c r="K1040" s="20">
        <v>2</v>
      </c>
      <c r="L1040" s="21">
        <v>475.45</v>
      </c>
      <c r="M1040" s="22">
        <v>0.24</v>
      </c>
      <c r="N1040" s="21">
        <f t="shared" si="84"/>
        <v>361.34199999999998</v>
      </c>
      <c r="O1040" s="21">
        <v>722.68</v>
      </c>
      <c r="P1040" s="19" t="s">
        <v>4</v>
      </c>
      <c r="Q1040" s="23">
        <v>2</v>
      </c>
      <c r="R1040" s="45">
        <v>4.3</v>
      </c>
    </row>
    <row r="1041" spans="2:18" x14ac:dyDescent="0.2">
      <c r="B1041" s="25">
        <v>1038</v>
      </c>
      <c r="C1041" s="18">
        <v>44868</v>
      </c>
      <c r="D1041" s="24">
        <f t="shared" si="80"/>
        <v>2022</v>
      </c>
      <c r="E1041" s="24" t="str">
        <f t="shared" si="81"/>
        <v>Q4</v>
      </c>
      <c r="F1041" s="24" t="str">
        <f t="shared" si="82"/>
        <v>Nov</v>
      </c>
      <c r="G1041" s="24">
        <f t="shared" si="83"/>
        <v>11</v>
      </c>
      <c r="H1041" s="19">
        <v>1022</v>
      </c>
      <c r="I1041" s="19" t="s">
        <v>10</v>
      </c>
      <c r="J1041" s="19" t="s">
        <v>1</v>
      </c>
      <c r="K1041" s="20">
        <v>2</v>
      </c>
      <c r="L1041" s="21">
        <v>578.47</v>
      </c>
      <c r="M1041" s="22">
        <v>0.09</v>
      </c>
      <c r="N1041" s="21">
        <f t="shared" si="84"/>
        <v>526.40769999999998</v>
      </c>
      <c r="O1041" s="21">
        <v>1052.82</v>
      </c>
      <c r="P1041" s="19" t="s">
        <v>6</v>
      </c>
      <c r="Q1041" s="23">
        <v>6</v>
      </c>
      <c r="R1041" s="45">
        <v>3.8</v>
      </c>
    </row>
    <row r="1042" spans="2:18" x14ac:dyDescent="0.2">
      <c r="B1042" s="25">
        <v>1039</v>
      </c>
      <c r="C1042" s="18">
        <v>44869</v>
      </c>
      <c r="D1042" s="24">
        <f t="shared" si="80"/>
        <v>2022</v>
      </c>
      <c r="E1042" s="24" t="str">
        <f t="shared" si="81"/>
        <v>Q4</v>
      </c>
      <c r="F1042" s="24" t="str">
        <f t="shared" si="82"/>
        <v>Nov</v>
      </c>
      <c r="G1042" s="24">
        <f t="shared" si="83"/>
        <v>11</v>
      </c>
      <c r="H1042" s="19">
        <v>1996</v>
      </c>
      <c r="I1042" s="19" t="s">
        <v>7</v>
      </c>
      <c r="J1042" s="19" t="s">
        <v>1</v>
      </c>
      <c r="K1042" s="20">
        <v>2</v>
      </c>
      <c r="L1042" s="21">
        <v>428.75</v>
      </c>
      <c r="M1042" s="22">
        <v>0.32</v>
      </c>
      <c r="N1042" s="21">
        <f t="shared" si="84"/>
        <v>291.54999999999995</v>
      </c>
      <c r="O1042" s="21">
        <v>583.1</v>
      </c>
      <c r="P1042" s="19" t="s">
        <v>6</v>
      </c>
      <c r="Q1042" s="23">
        <v>2</v>
      </c>
      <c r="R1042" s="45">
        <v>1.7</v>
      </c>
    </row>
    <row r="1043" spans="2:18" x14ac:dyDescent="0.2">
      <c r="B1043" s="25">
        <v>1040</v>
      </c>
      <c r="C1043" s="18">
        <v>44870</v>
      </c>
      <c r="D1043" s="24">
        <f t="shared" si="80"/>
        <v>2022</v>
      </c>
      <c r="E1043" s="24" t="str">
        <f t="shared" si="81"/>
        <v>Q4</v>
      </c>
      <c r="F1043" s="24" t="str">
        <f t="shared" si="82"/>
        <v>Nov</v>
      </c>
      <c r="G1043" s="24">
        <f t="shared" si="83"/>
        <v>11</v>
      </c>
      <c r="H1043" s="19">
        <v>1564</v>
      </c>
      <c r="I1043" s="19" t="s">
        <v>0</v>
      </c>
      <c r="J1043" s="19" t="s">
        <v>8</v>
      </c>
      <c r="K1043" s="20">
        <v>1</v>
      </c>
      <c r="L1043" s="21">
        <v>61.66</v>
      </c>
      <c r="M1043" s="22">
        <v>0.15</v>
      </c>
      <c r="N1043" s="21">
        <f t="shared" si="84"/>
        <v>52.411000000000001</v>
      </c>
      <c r="O1043" s="21">
        <v>52.41</v>
      </c>
      <c r="P1043" s="19" t="s">
        <v>6</v>
      </c>
      <c r="Q1043" s="23">
        <v>11</v>
      </c>
      <c r="R1043" s="45">
        <v>2.6</v>
      </c>
    </row>
    <row r="1044" spans="2:18" x14ac:dyDescent="0.2">
      <c r="B1044" s="25">
        <v>1041</v>
      </c>
      <c r="C1044" s="18">
        <v>44871</v>
      </c>
      <c r="D1044" s="24">
        <f t="shared" si="80"/>
        <v>2022</v>
      </c>
      <c r="E1044" s="24" t="str">
        <f t="shared" si="81"/>
        <v>Q4</v>
      </c>
      <c r="F1044" s="24" t="str">
        <f t="shared" si="82"/>
        <v>Nov</v>
      </c>
      <c r="G1044" s="24">
        <f t="shared" si="83"/>
        <v>11</v>
      </c>
      <c r="H1044" s="19">
        <v>1676</v>
      </c>
      <c r="I1044" s="19" t="s">
        <v>0</v>
      </c>
      <c r="J1044" s="19" t="s">
        <v>8</v>
      </c>
      <c r="K1044" s="20">
        <v>5</v>
      </c>
      <c r="L1044" s="21">
        <v>250.12</v>
      </c>
      <c r="M1044" s="22">
        <v>0.28000000000000003</v>
      </c>
      <c r="N1044" s="21">
        <f t="shared" si="84"/>
        <v>180.0864</v>
      </c>
      <c r="O1044" s="21">
        <v>900.43</v>
      </c>
      <c r="P1044" s="19" t="s">
        <v>4</v>
      </c>
      <c r="Q1044" s="23">
        <v>2</v>
      </c>
      <c r="R1044" s="45">
        <v>4.7</v>
      </c>
    </row>
    <row r="1045" spans="2:18" x14ac:dyDescent="0.2">
      <c r="B1045" s="25">
        <v>1042</v>
      </c>
      <c r="C1045" s="18">
        <v>44872</v>
      </c>
      <c r="D1045" s="24">
        <f t="shared" si="80"/>
        <v>2022</v>
      </c>
      <c r="E1045" s="24" t="str">
        <f t="shared" si="81"/>
        <v>Q4</v>
      </c>
      <c r="F1045" s="24" t="str">
        <f t="shared" si="82"/>
        <v>Nov</v>
      </c>
      <c r="G1045" s="24">
        <f t="shared" si="83"/>
        <v>11</v>
      </c>
      <c r="H1045" s="19">
        <v>1713</v>
      </c>
      <c r="I1045" s="19" t="s">
        <v>3</v>
      </c>
      <c r="J1045" s="19" t="s">
        <v>1</v>
      </c>
      <c r="K1045" s="20">
        <v>6</v>
      </c>
      <c r="L1045" s="21">
        <v>393.26</v>
      </c>
      <c r="M1045" s="22">
        <v>0.14000000000000001</v>
      </c>
      <c r="N1045" s="21">
        <f t="shared" si="84"/>
        <v>338.20359999999999</v>
      </c>
      <c r="O1045" s="21">
        <v>2029.22</v>
      </c>
      <c r="P1045" s="19" t="s">
        <v>6</v>
      </c>
      <c r="Q1045" s="23">
        <v>8</v>
      </c>
      <c r="R1045" s="45">
        <v>1.6</v>
      </c>
    </row>
    <row r="1046" spans="2:18" x14ac:dyDescent="0.2">
      <c r="B1046" s="25">
        <v>1043</v>
      </c>
      <c r="C1046" s="18">
        <v>44873</v>
      </c>
      <c r="D1046" s="24">
        <f t="shared" si="80"/>
        <v>2022</v>
      </c>
      <c r="E1046" s="24" t="str">
        <f t="shared" si="81"/>
        <v>Q4</v>
      </c>
      <c r="F1046" s="24" t="str">
        <f t="shared" si="82"/>
        <v>Nov</v>
      </c>
      <c r="G1046" s="24">
        <f t="shared" si="83"/>
        <v>11</v>
      </c>
      <c r="H1046" s="19">
        <v>1457</v>
      </c>
      <c r="I1046" s="19" t="s">
        <v>7</v>
      </c>
      <c r="J1046" s="19" t="s">
        <v>1</v>
      </c>
      <c r="K1046" s="20">
        <v>2</v>
      </c>
      <c r="L1046" s="21">
        <v>220.17</v>
      </c>
      <c r="M1046" s="22">
        <v>0.3</v>
      </c>
      <c r="N1046" s="21">
        <f t="shared" si="84"/>
        <v>154.119</v>
      </c>
      <c r="O1046" s="21">
        <v>308.24</v>
      </c>
      <c r="P1046" s="19" t="s">
        <v>6</v>
      </c>
      <c r="Q1046" s="23">
        <v>5</v>
      </c>
      <c r="R1046" s="45">
        <v>1.8</v>
      </c>
    </row>
    <row r="1047" spans="2:18" x14ac:dyDescent="0.2">
      <c r="B1047" s="25">
        <v>1044</v>
      </c>
      <c r="C1047" s="18">
        <v>44874</v>
      </c>
      <c r="D1047" s="24">
        <f t="shared" si="80"/>
        <v>2022</v>
      </c>
      <c r="E1047" s="24" t="str">
        <f t="shared" si="81"/>
        <v>Q4</v>
      </c>
      <c r="F1047" s="24" t="str">
        <f t="shared" si="82"/>
        <v>Nov</v>
      </c>
      <c r="G1047" s="24">
        <f t="shared" si="83"/>
        <v>11</v>
      </c>
      <c r="H1047" s="19">
        <v>1082</v>
      </c>
      <c r="I1047" s="19" t="s">
        <v>3</v>
      </c>
      <c r="J1047" s="19" t="s">
        <v>9</v>
      </c>
      <c r="K1047" s="20">
        <v>5</v>
      </c>
      <c r="L1047" s="21">
        <v>174.93</v>
      </c>
      <c r="M1047" s="22">
        <v>0.22</v>
      </c>
      <c r="N1047" s="21">
        <f t="shared" si="84"/>
        <v>136.44540000000001</v>
      </c>
      <c r="O1047" s="21">
        <v>682.23</v>
      </c>
      <c r="P1047" s="19" t="s">
        <v>6</v>
      </c>
      <c r="Q1047" s="23">
        <v>8</v>
      </c>
      <c r="R1047" s="45">
        <v>2.6</v>
      </c>
    </row>
    <row r="1048" spans="2:18" x14ac:dyDescent="0.2">
      <c r="B1048" s="25">
        <v>1045</v>
      </c>
      <c r="C1048" s="18">
        <v>44875</v>
      </c>
      <c r="D1048" s="24">
        <f t="shared" si="80"/>
        <v>2022</v>
      </c>
      <c r="E1048" s="24" t="str">
        <f t="shared" si="81"/>
        <v>Q4</v>
      </c>
      <c r="F1048" s="24" t="str">
        <f t="shared" si="82"/>
        <v>Nov</v>
      </c>
      <c r="G1048" s="24">
        <f t="shared" si="83"/>
        <v>11</v>
      </c>
      <c r="H1048" s="19">
        <v>1144</v>
      </c>
      <c r="I1048" s="19" t="s">
        <v>10</v>
      </c>
      <c r="J1048" s="19" t="s">
        <v>8</v>
      </c>
      <c r="K1048" s="20">
        <v>3</v>
      </c>
      <c r="L1048" s="21">
        <v>352.78</v>
      </c>
      <c r="M1048" s="22">
        <v>0.05</v>
      </c>
      <c r="N1048" s="21">
        <f t="shared" si="84"/>
        <v>335.14099999999996</v>
      </c>
      <c r="O1048" s="21">
        <v>1005.42</v>
      </c>
      <c r="P1048" s="19" t="s">
        <v>4</v>
      </c>
      <c r="Q1048" s="23">
        <v>8</v>
      </c>
      <c r="R1048" s="45">
        <v>4.8</v>
      </c>
    </row>
    <row r="1049" spans="2:18" x14ac:dyDescent="0.2">
      <c r="B1049" s="25">
        <v>1046</v>
      </c>
      <c r="C1049" s="18">
        <v>44876</v>
      </c>
      <c r="D1049" s="24">
        <f t="shared" si="80"/>
        <v>2022</v>
      </c>
      <c r="E1049" s="24" t="str">
        <f t="shared" si="81"/>
        <v>Q4</v>
      </c>
      <c r="F1049" s="24" t="str">
        <f t="shared" si="82"/>
        <v>Nov</v>
      </c>
      <c r="G1049" s="24">
        <f t="shared" si="83"/>
        <v>11</v>
      </c>
      <c r="H1049" s="19">
        <v>1084</v>
      </c>
      <c r="I1049" s="19" t="s">
        <v>3</v>
      </c>
      <c r="J1049" s="19" t="s">
        <v>8</v>
      </c>
      <c r="K1049" s="20">
        <v>1</v>
      </c>
      <c r="L1049" s="21">
        <v>561.1</v>
      </c>
      <c r="M1049" s="22">
        <v>0.23</v>
      </c>
      <c r="N1049" s="21">
        <f t="shared" si="84"/>
        <v>432.04700000000003</v>
      </c>
      <c r="O1049" s="21">
        <v>432.05</v>
      </c>
      <c r="P1049" s="19" t="s">
        <v>4</v>
      </c>
      <c r="Q1049" s="23">
        <v>2</v>
      </c>
      <c r="R1049" s="45">
        <v>1.5</v>
      </c>
    </row>
    <row r="1050" spans="2:18" x14ac:dyDescent="0.2">
      <c r="B1050" s="25">
        <v>1047</v>
      </c>
      <c r="C1050" s="18">
        <v>44877</v>
      </c>
      <c r="D1050" s="24">
        <f t="shared" si="80"/>
        <v>2022</v>
      </c>
      <c r="E1050" s="24" t="str">
        <f t="shared" si="81"/>
        <v>Q4</v>
      </c>
      <c r="F1050" s="24" t="str">
        <f t="shared" si="82"/>
        <v>Nov</v>
      </c>
      <c r="G1050" s="24">
        <f t="shared" si="83"/>
        <v>11</v>
      </c>
      <c r="H1050" s="19">
        <v>1077</v>
      </c>
      <c r="I1050" s="19" t="s">
        <v>7</v>
      </c>
      <c r="J1050" s="19" t="s">
        <v>1</v>
      </c>
      <c r="K1050" s="20">
        <v>7</v>
      </c>
      <c r="L1050" s="21">
        <v>35.46</v>
      </c>
      <c r="M1050" s="22">
        <v>7.0000000000000007E-2</v>
      </c>
      <c r="N1050" s="21">
        <f t="shared" si="84"/>
        <v>32.977800000000002</v>
      </c>
      <c r="O1050" s="21">
        <v>230.84</v>
      </c>
      <c r="P1050" s="19" t="s">
        <v>4</v>
      </c>
      <c r="Q1050" s="23">
        <v>7</v>
      </c>
      <c r="R1050" s="45">
        <v>3.7</v>
      </c>
    </row>
    <row r="1051" spans="2:18" x14ac:dyDescent="0.2">
      <c r="B1051" s="25">
        <v>1048</v>
      </c>
      <c r="C1051" s="18">
        <v>44878</v>
      </c>
      <c r="D1051" s="24">
        <f t="shared" si="80"/>
        <v>2022</v>
      </c>
      <c r="E1051" s="24" t="str">
        <f t="shared" si="81"/>
        <v>Q4</v>
      </c>
      <c r="F1051" s="24" t="str">
        <f t="shared" si="82"/>
        <v>Nov</v>
      </c>
      <c r="G1051" s="24">
        <f t="shared" si="83"/>
        <v>11</v>
      </c>
      <c r="H1051" s="19">
        <v>1456</v>
      </c>
      <c r="I1051" s="19" t="s">
        <v>3</v>
      </c>
      <c r="J1051" s="19" t="s">
        <v>9</v>
      </c>
      <c r="K1051" s="20">
        <v>2</v>
      </c>
      <c r="L1051" s="21">
        <v>465</v>
      </c>
      <c r="M1051" s="22">
        <v>0.14000000000000001</v>
      </c>
      <c r="N1051" s="21">
        <f t="shared" si="84"/>
        <v>399.9</v>
      </c>
      <c r="O1051" s="21">
        <v>799.8</v>
      </c>
      <c r="P1051" s="19" t="s">
        <v>2</v>
      </c>
      <c r="Q1051" s="23">
        <v>9</v>
      </c>
      <c r="R1051" s="45">
        <v>1.5</v>
      </c>
    </row>
    <row r="1052" spans="2:18" x14ac:dyDescent="0.2">
      <c r="B1052" s="25">
        <v>1049</v>
      </c>
      <c r="C1052" s="18">
        <v>44879</v>
      </c>
      <c r="D1052" s="24">
        <f t="shared" si="80"/>
        <v>2022</v>
      </c>
      <c r="E1052" s="24" t="str">
        <f t="shared" si="81"/>
        <v>Q4</v>
      </c>
      <c r="F1052" s="24" t="str">
        <f t="shared" si="82"/>
        <v>Nov</v>
      </c>
      <c r="G1052" s="24">
        <f t="shared" si="83"/>
        <v>11</v>
      </c>
      <c r="H1052" s="19">
        <v>1877</v>
      </c>
      <c r="I1052" s="19" t="s">
        <v>10</v>
      </c>
      <c r="J1052" s="19" t="s">
        <v>1</v>
      </c>
      <c r="K1052" s="20">
        <v>6</v>
      </c>
      <c r="L1052" s="21">
        <v>437.8</v>
      </c>
      <c r="M1052" s="22">
        <v>0.06</v>
      </c>
      <c r="N1052" s="21">
        <f t="shared" si="84"/>
        <v>411.53200000000004</v>
      </c>
      <c r="O1052" s="21">
        <v>2469.19</v>
      </c>
      <c r="P1052" s="19" t="s">
        <v>6</v>
      </c>
      <c r="Q1052" s="23">
        <v>8</v>
      </c>
      <c r="R1052" s="45">
        <v>3.1</v>
      </c>
    </row>
    <row r="1053" spans="2:18" x14ac:dyDescent="0.2">
      <c r="B1053" s="25">
        <v>1050</v>
      </c>
      <c r="C1053" s="18">
        <v>44880</v>
      </c>
      <c r="D1053" s="24">
        <f t="shared" si="80"/>
        <v>2022</v>
      </c>
      <c r="E1053" s="24" t="str">
        <f t="shared" si="81"/>
        <v>Q4</v>
      </c>
      <c r="F1053" s="24" t="str">
        <f t="shared" si="82"/>
        <v>Nov</v>
      </c>
      <c r="G1053" s="24">
        <f t="shared" si="83"/>
        <v>11</v>
      </c>
      <c r="H1053" s="19">
        <v>1000</v>
      </c>
      <c r="I1053" s="19" t="s">
        <v>10</v>
      </c>
      <c r="J1053" s="19" t="s">
        <v>1</v>
      </c>
      <c r="K1053" s="20">
        <v>1</v>
      </c>
      <c r="L1053" s="21">
        <v>578.91</v>
      </c>
      <c r="M1053" s="22">
        <v>0.01</v>
      </c>
      <c r="N1053" s="21">
        <f t="shared" si="84"/>
        <v>573.12090000000001</v>
      </c>
      <c r="O1053" s="21">
        <v>573.12</v>
      </c>
      <c r="P1053" s="19" t="s">
        <v>4</v>
      </c>
      <c r="Q1053" s="23">
        <v>9</v>
      </c>
      <c r="R1053" s="45">
        <v>3.1</v>
      </c>
    </row>
    <row r="1054" spans="2:18" x14ac:dyDescent="0.2">
      <c r="B1054" s="25">
        <v>1051</v>
      </c>
      <c r="C1054" s="18">
        <v>44881</v>
      </c>
      <c r="D1054" s="24">
        <f t="shared" si="80"/>
        <v>2022</v>
      </c>
      <c r="E1054" s="24" t="str">
        <f t="shared" si="81"/>
        <v>Q4</v>
      </c>
      <c r="F1054" s="24" t="str">
        <f t="shared" si="82"/>
        <v>Nov</v>
      </c>
      <c r="G1054" s="24">
        <f t="shared" si="83"/>
        <v>11</v>
      </c>
      <c r="H1054" s="19">
        <v>1050</v>
      </c>
      <c r="I1054" s="19" t="s">
        <v>7</v>
      </c>
      <c r="J1054" s="19" t="s">
        <v>5</v>
      </c>
      <c r="K1054" s="20">
        <v>6</v>
      </c>
      <c r="L1054" s="21">
        <v>559.47</v>
      </c>
      <c r="M1054" s="22">
        <v>7.0000000000000007E-2</v>
      </c>
      <c r="N1054" s="21">
        <f t="shared" si="84"/>
        <v>520.30709999999999</v>
      </c>
      <c r="O1054" s="21">
        <v>3121.84</v>
      </c>
      <c r="P1054" s="19" t="s">
        <v>4</v>
      </c>
      <c r="Q1054" s="23">
        <v>8</v>
      </c>
      <c r="R1054" s="45">
        <v>1.2</v>
      </c>
    </row>
    <row r="1055" spans="2:18" x14ac:dyDescent="0.2">
      <c r="B1055" s="25">
        <v>1052</v>
      </c>
      <c r="C1055" s="18">
        <v>44882</v>
      </c>
      <c r="D1055" s="24">
        <f t="shared" si="80"/>
        <v>2022</v>
      </c>
      <c r="E1055" s="24" t="str">
        <f t="shared" si="81"/>
        <v>Q4</v>
      </c>
      <c r="F1055" s="24" t="str">
        <f t="shared" si="82"/>
        <v>Nov</v>
      </c>
      <c r="G1055" s="24">
        <f t="shared" si="83"/>
        <v>11</v>
      </c>
      <c r="H1055" s="19">
        <v>1684</v>
      </c>
      <c r="I1055" s="19" t="s">
        <v>10</v>
      </c>
      <c r="J1055" s="19" t="s">
        <v>8</v>
      </c>
      <c r="K1055" s="20">
        <v>7</v>
      </c>
      <c r="L1055" s="21">
        <v>460.91</v>
      </c>
      <c r="M1055" s="22">
        <v>0.19</v>
      </c>
      <c r="N1055" s="21">
        <f t="shared" si="84"/>
        <v>373.33710000000002</v>
      </c>
      <c r="O1055" s="21">
        <v>2613.36</v>
      </c>
      <c r="P1055" s="19" t="s">
        <v>6</v>
      </c>
      <c r="Q1055" s="23">
        <v>4</v>
      </c>
      <c r="R1055" s="45">
        <v>4.8</v>
      </c>
    </row>
    <row r="1056" spans="2:18" x14ac:dyDescent="0.2">
      <c r="B1056" s="25">
        <v>1053</v>
      </c>
      <c r="C1056" s="18">
        <v>44883</v>
      </c>
      <c r="D1056" s="24">
        <f t="shared" si="80"/>
        <v>2022</v>
      </c>
      <c r="E1056" s="24" t="str">
        <f t="shared" si="81"/>
        <v>Q4</v>
      </c>
      <c r="F1056" s="24" t="str">
        <f t="shared" si="82"/>
        <v>Nov</v>
      </c>
      <c r="G1056" s="24">
        <f t="shared" si="83"/>
        <v>11</v>
      </c>
      <c r="H1056" s="19">
        <v>1716</v>
      </c>
      <c r="I1056" s="19" t="s">
        <v>7</v>
      </c>
      <c r="J1056" s="19" t="s">
        <v>9</v>
      </c>
      <c r="K1056" s="20">
        <v>7</v>
      </c>
      <c r="L1056" s="21">
        <v>319.44</v>
      </c>
      <c r="M1056" s="22">
        <v>0.17</v>
      </c>
      <c r="N1056" s="21">
        <f t="shared" si="84"/>
        <v>265.1352</v>
      </c>
      <c r="O1056" s="21">
        <v>1855.95</v>
      </c>
      <c r="P1056" s="19" t="s">
        <v>4</v>
      </c>
      <c r="Q1056" s="23">
        <v>10</v>
      </c>
      <c r="R1056" s="45">
        <v>4.2</v>
      </c>
    </row>
    <row r="1057" spans="2:18" x14ac:dyDescent="0.2">
      <c r="B1057" s="25">
        <v>1054</v>
      </c>
      <c r="C1057" s="18">
        <v>44884</v>
      </c>
      <c r="D1057" s="24">
        <f t="shared" si="80"/>
        <v>2022</v>
      </c>
      <c r="E1057" s="24" t="str">
        <f t="shared" si="81"/>
        <v>Q4</v>
      </c>
      <c r="F1057" s="24" t="str">
        <f t="shared" si="82"/>
        <v>Nov</v>
      </c>
      <c r="G1057" s="24">
        <f t="shared" si="83"/>
        <v>11</v>
      </c>
      <c r="H1057" s="19">
        <v>1771</v>
      </c>
      <c r="I1057" s="19" t="s">
        <v>7</v>
      </c>
      <c r="J1057" s="19" t="s">
        <v>5</v>
      </c>
      <c r="K1057" s="20">
        <v>1</v>
      </c>
      <c r="L1057" s="21">
        <v>134.5</v>
      </c>
      <c r="M1057" s="22">
        <v>0.18</v>
      </c>
      <c r="N1057" s="21">
        <f t="shared" si="84"/>
        <v>110.28999999999999</v>
      </c>
      <c r="O1057" s="21">
        <v>110.29</v>
      </c>
      <c r="P1057" s="19" t="s">
        <v>2</v>
      </c>
      <c r="Q1057" s="23">
        <v>7</v>
      </c>
      <c r="R1057" s="45">
        <v>2.2000000000000002</v>
      </c>
    </row>
    <row r="1058" spans="2:18" x14ac:dyDescent="0.2">
      <c r="B1058" s="25">
        <v>1055</v>
      </c>
      <c r="C1058" s="18">
        <v>44885</v>
      </c>
      <c r="D1058" s="24">
        <f t="shared" si="80"/>
        <v>2022</v>
      </c>
      <c r="E1058" s="24" t="str">
        <f t="shared" si="81"/>
        <v>Q4</v>
      </c>
      <c r="F1058" s="24" t="str">
        <f t="shared" si="82"/>
        <v>Nov</v>
      </c>
      <c r="G1058" s="24">
        <f t="shared" si="83"/>
        <v>11</v>
      </c>
      <c r="H1058" s="19">
        <v>1445</v>
      </c>
      <c r="I1058" s="19" t="s">
        <v>0</v>
      </c>
      <c r="J1058" s="19" t="s">
        <v>8</v>
      </c>
      <c r="K1058" s="20">
        <v>3</v>
      </c>
      <c r="L1058" s="21">
        <v>333.96</v>
      </c>
      <c r="M1058" s="22">
        <v>0.09</v>
      </c>
      <c r="N1058" s="21">
        <f t="shared" si="84"/>
        <v>303.90359999999998</v>
      </c>
      <c r="O1058" s="21">
        <v>911.71</v>
      </c>
      <c r="P1058" s="19" t="s">
        <v>6</v>
      </c>
      <c r="Q1058" s="23">
        <v>9</v>
      </c>
      <c r="R1058" s="45">
        <v>1.5</v>
      </c>
    </row>
    <row r="1059" spans="2:18" x14ac:dyDescent="0.2">
      <c r="B1059" s="25">
        <v>1056</v>
      </c>
      <c r="C1059" s="18">
        <v>44886</v>
      </c>
      <c r="D1059" s="24">
        <f t="shared" si="80"/>
        <v>2022</v>
      </c>
      <c r="E1059" s="24" t="str">
        <f t="shared" si="81"/>
        <v>Q4</v>
      </c>
      <c r="F1059" s="24" t="str">
        <f t="shared" si="82"/>
        <v>Nov</v>
      </c>
      <c r="G1059" s="24">
        <f t="shared" si="83"/>
        <v>11</v>
      </c>
      <c r="H1059" s="19">
        <v>1448</v>
      </c>
      <c r="I1059" s="19" t="s">
        <v>7</v>
      </c>
      <c r="J1059" s="19" t="s">
        <v>1</v>
      </c>
      <c r="K1059" s="20">
        <v>5</v>
      </c>
      <c r="L1059" s="21">
        <v>462.73</v>
      </c>
      <c r="M1059" s="22">
        <v>0.24</v>
      </c>
      <c r="N1059" s="21">
        <f t="shared" si="84"/>
        <v>351.6748</v>
      </c>
      <c r="O1059" s="21">
        <v>1758.37</v>
      </c>
      <c r="P1059" s="19" t="s">
        <v>4</v>
      </c>
      <c r="Q1059" s="23">
        <v>9</v>
      </c>
      <c r="R1059" s="45">
        <v>2.4</v>
      </c>
    </row>
    <row r="1060" spans="2:18" x14ac:dyDescent="0.2">
      <c r="B1060" s="25">
        <v>1057</v>
      </c>
      <c r="C1060" s="18">
        <v>44887</v>
      </c>
      <c r="D1060" s="24">
        <f t="shared" si="80"/>
        <v>2022</v>
      </c>
      <c r="E1060" s="24" t="str">
        <f t="shared" si="81"/>
        <v>Q4</v>
      </c>
      <c r="F1060" s="24" t="str">
        <f t="shared" si="82"/>
        <v>Nov</v>
      </c>
      <c r="G1060" s="24">
        <f t="shared" si="83"/>
        <v>11</v>
      </c>
      <c r="H1060" s="19">
        <v>1880</v>
      </c>
      <c r="I1060" s="19" t="s">
        <v>7</v>
      </c>
      <c r="J1060" s="19" t="s">
        <v>9</v>
      </c>
      <c r="K1060" s="20">
        <v>1</v>
      </c>
      <c r="L1060" s="21">
        <v>538.97</v>
      </c>
      <c r="M1060" s="22">
        <v>0.25</v>
      </c>
      <c r="N1060" s="21">
        <f t="shared" si="84"/>
        <v>404.22750000000002</v>
      </c>
      <c r="O1060" s="21">
        <v>404.23</v>
      </c>
      <c r="P1060" s="19" t="s">
        <v>6</v>
      </c>
      <c r="Q1060" s="23">
        <v>4</v>
      </c>
      <c r="R1060" s="45">
        <v>4.5999999999999996</v>
      </c>
    </row>
    <row r="1061" spans="2:18" x14ac:dyDescent="0.2">
      <c r="B1061" s="25">
        <v>1058</v>
      </c>
      <c r="C1061" s="18">
        <v>44888</v>
      </c>
      <c r="D1061" s="24">
        <f t="shared" si="80"/>
        <v>2022</v>
      </c>
      <c r="E1061" s="24" t="str">
        <f t="shared" si="81"/>
        <v>Q4</v>
      </c>
      <c r="F1061" s="24" t="str">
        <f t="shared" si="82"/>
        <v>Nov</v>
      </c>
      <c r="G1061" s="24">
        <f t="shared" si="83"/>
        <v>11</v>
      </c>
      <c r="H1061" s="19">
        <v>1487</v>
      </c>
      <c r="I1061" s="19" t="s">
        <v>7</v>
      </c>
      <c r="J1061" s="19" t="s">
        <v>8</v>
      </c>
      <c r="K1061" s="20">
        <v>4</v>
      </c>
      <c r="L1061" s="21">
        <v>476.98</v>
      </c>
      <c r="M1061" s="22">
        <v>0.13</v>
      </c>
      <c r="N1061" s="21">
        <f t="shared" si="84"/>
        <v>414.9726</v>
      </c>
      <c r="O1061" s="21">
        <v>1659.89</v>
      </c>
      <c r="P1061" s="19" t="s">
        <v>4</v>
      </c>
      <c r="Q1061" s="23">
        <v>7</v>
      </c>
      <c r="R1061" s="45">
        <v>1.5</v>
      </c>
    </row>
    <row r="1062" spans="2:18" x14ac:dyDescent="0.2">
      <c r="B1062" s="25">
        <v>1059</v>
      </c>
      <c r="C1062" s="18">
        <v>44889</v>
      </c>
      <c r="D1062" s="24">
        <f t="shared" si="80"/>
        <v>2022</v>
      </c>
      <c r="E1062" s="24" t="str">
        <f t="shared" si="81"/>
        <v>Q4</v>
      </c>
      <c r="F1062" s="24" t="str">
        <f t="shared" si="82"/>
        <v>Nov</v>
      </c>
      <c r="G1062" s="24">
        <f t="shared" si="83"/>
        <v>11</v>
      </c>
      <c r="H1062" s="19">
        <v>1799</v>
      </c>
      <c r="I1062" s="19" t="s">
        <v>0</v>
      </c>
      <c r="J1062" s="19" t="s">
        <v>1</v>
      </c>
      <c r="K1062" s="20">
        <v>7</v>
      </c>
      <c r="L1062" s="21">
        <v>129.22999999999999</v>
      </c>
      <c r="M1062" s="22">
        <v>0.31</v>
      </c>
      <c r="N1062" s="21">
        <f t="shared" si="84"/>
        <v>89.168700000000001</v>
      </c>
      <c r="O1062" s="21">
        <v>624.17999999999995</v>
      </c>
      <c r="P1062" s="19" t="s">
        <v>2</v>
      </c>
      <c r="Q1062" s="23">
        <v>6</v>
      </c>
      <c r="R1062" s="45">
        <v>2.4</v>
      </c>
    </row>
    <row r="1063" spans="2:18" x14ac:dyDescent="0.2">
      <c r="B1063" s="25">
        <v>1060</v>
      </c>
      <c r="C1063" s="18">
        <v>44890</v>
      </c>
      <c r="D1063" s="24">
        <f t="shared" si="80"/>
        <v>2022</v>
      </c>
      <c r="E1063" s="24" t="str">
        <f t="shared" si="81"/>
        <v>Q4</v>
      </c>
      <c r="F1063" s="24" t="str">
        <f t="shared" si="82"/>
        <v>Nov</v>
      </c>
      <c r="G1063" s="24">
        <f t="shared" si="83"/>
        <v>11</v>
      </c>
      <c r="H1063" s="19">
        <v>1033</v>
      </c>
      <c r="I1063" s="19" t="s">
        <v>10</v>
      </c>
      <c r="J1063" s="19" t="s">
        <v>5</v>
      </c>
      <c r="K1063" s="20">
        <v>3</v>
      </c>
      <c r="L1063" s="21">
        <v>365.82</v>
      </c>
      <c r="M1063" s="22">
        <v>0.23</v>
      </c>
      <c r="N1063" s="21">
        <f t="shared" si="84"/>
        <v>281.6814</v>
      </c>
      <c r="O1063" s="21">
        <v>845.04</v>
      </c>
      <c r="P1063" s="19" t="s">
        <v>4</v>
      </c>
      <c r="Q1063" s="23">
        <v>3</v>
      </c>
      <c r="R1063" s="45">
        <v>3</v>
      </c>
    </row>
    <row r="1064" spans="2:18" x14ac:dyDescent="0.2">
      <c r="B1064" s="25">
        <v>1061</v>
      </c>
      <c r="C1064" s="18">
        <v>44891</v>
      </c>
      <c r="D1064" s="24">
        <f t="shared" si="80"/>
        <v>2022</v>
      </c>
      <c r="E1064" s="24" t="str">
        <f t="shared" si="81"/>
        <v>Q4</v>
      </c>
      <c r="F1064" s="24" t="str">
        <f t="shared" si="82"/>
        <v>Nov</v>
      </c>
      <c r="G1064" s="24">
        <f t="shared" si="83"/>
        <v>11</v>
      </c>
      <c r="H1064" s="19">
        <v>1347</v>
      </c>
      <c r="I1064" s="19" t="s">
        <v>3</v>
      </c>
      <c r="J1064" s="19" t="s">
        <v>9</v>
      </c>
      <c r="K1064" s="20">
        <v>7</v>
      </c>
      <c r="L1064" s="21">
        <v>209.32</v>
      </c>
      <c r="M1064" s="22">
        <v>0.25</v>
      </c>
      <c r="N1064" s="21">
        <f t="shared" si="84"/>
        <v>156.99</v>
      </c>
      <c r="O1064" s="21">
        <v>1098.93</v>
      </c>
      <c r="P1064" s="19" t="s">
        <v>2</v>
      </c>
      <c r="Q1064" s="23">
        <v>10</v>
      </c>
      <c r="R1064" s="45">
        <v>1.1000000000000001</v>
      </c>
    </row>
    <row r="1065" spans="2:18" x14ac:dyDescent="0.2">
      <c r="B1065" s="25">
        <v>1062</v>
      </c>
      <c r="C1065" s="18">
        <v>44892</v>
      </c>
      <c r="D1065" s="24">
        <f t="shared" si="80"/>
        <v>2022</v>
      </c>
      <c r="E1065" s="24" t="str">
        <f t="shared" si="81"/>
        <v>Q4</v>
      </c>
      <c r="F1065" s="24" t="str">
        <f t="shared" si="82"/>
        <v>Nov</v>
      </c>
      <c r="G1065" s="24">
        <f t="shared" si="83"/>
        <v>11</v>
      </c>
      <c r="H1065" s="19">
        <v>1094</v>
      </c>
      <c r="I1065" s="19" t="s">
        <v>10</v>
      </c>
      <c r="J1065" s="19" t="s">
        <v>8</v>
      </c>
      <c r="K1065" s="20">
        <v>4</v>
      </c>
      <c r="L1065" s="21">
        <v>20.39</v>
      </c>
      <c r="M1065" s="22">
        <v>0.1</v>
      </c>
      <c r="N1065" s="21">
        <f t="shared" si="84"/>
        <v>18.350999999999999</v>
      </c>
      <c r="O1065" s="21">
        <v>73.400000000000006</v>
      </c>
      <c r="P1065" s="19" t="s">
        <v>6</v>
      </c>
      <c r="Q1065" s="23">
        <v>6</v>
      </c>
      <c r="R1065" s="45">
        <v>2.1</v>
      </c>
    </row>
    <row r="1066" spans="2:18" x14ac:dyDescent="0.2">
      <c r="B1066" s="25">
        <v>1063</v>
      </c>
      <c r="C1066" s="18">
        <v>44893</v>
      </c>
      <c r="D1066" s="24">
        <f t="shared" si="80"/>
        <v>2022</v>
      </c>
      <c r="E1066" s="24" t="str">
        <f t="shared" si="81"/>
        <v>Q4</v>
      </c>
      <c r="F1066" s="24" t="str">
        <f t="shared" si="82"/>
        <v>Nov</v>
      </c>
      <c r="G1066" s="24">
        <f t="shared" si="83"/>
        <v>11</v>
      </c>
      <c r="H1066" s="19">
        <v>1071</v>
      </c>
      <c r="I1066" s="19" t="s">
        <v>7</v>
      </c>
      <c r="J1066" s="19" t="s">
        <v>5</v>
      </c>
      <c r="K1066" s="20">
        <v>3</v>
      </c>
      <c r="L1066" s="21">
        <v>132.13</v>
      </c>
      <c r="M1066" s="22">
        <v>0</v>
      </c>
      <c r="N1066" s="21">
        <f t="shared" si="84"/>
        <v>132.13</v>
      </c>
      <c r="O1066" s="21">
        <v>396.39</v>
      </c>
      <c r="P1066" s="19" t="s">
        <v>2</v>
      </c>
      <c r="Q1066" s="23">
        <v>8</v>
      </c>
      <c r="R1066" s="45">
        <v>3.4</v>
      </c>
    </row>
    <row r="1067" spans="2:18" x14ac:dyDescent="0.2">
      <c r="B1067" s="25">
        <v>1064</v>
      </c>
      <c r="C1067" s="18">
        <v>44894</v>
      </c>
      <c r="D1067" s="24">
        <f t="shared" si="80"/>
        <v>2022</v>
      </c>
      <c r="E1067" s="24" t="str">
        <f t="shared" si="81"/>
        <v>Q4</v>
      </c>
      <c r="F1067" s="24" t="str">
        <f t="shared" si="82"/>
        <v>Nov</v>
      </c>
      <c r="G1067" s="24">
        <f t="shared" si="83"/>
        <v>11</v>
      </c>
      <c r="H1067" s="19">
        <v>1550</v>
      </c>
      <c r="I1067" s="19" t="s">
        <v>3</v>
      </c>
      <c r="J1067" s="19" t="s">
        <v>1</v>
      </c>
      <c r="K1067" s="20">
        <v>7</v>
      </c>
      <c r="L1067" s="21">
        <v>81.23</v>
      </c>
      <c r="M1067" s="22">
        <v>0.3</v>
      </c>
      <c r="N1067" s="21">
        <f t="shared" si="84"/>
        <v>56.861000000000004</v>
      </c>
      <c r="O1067" s="21">
        <v>398.03</v>
      </c>
      <c r="P1067" s="19" t="s">
        <v>4</v>
      </c>
      <c r="Q1067" s="23">
        <v>2</v>
      </c>
      <c r="R1067" s="45">
        <v>2.2999999999999998</v>
      </c>
    </row>
    <row r="1068" spans="2:18" x14ac:dyDescent="0.2">
      <c r="B1068" s="25">
        <v>1065</v>
      </c>
      <c r="C1068" s="18">
        <v>44895</v>
      </c>
      <c r="D1068" s="24">
        <f t="shared" si="80"/>
        <v>2022</v>
      </c>
      <c r="E1068" s="24" t="str">
        <f t="shared" si="81"/>
        <v>Q4</v>
      </c>
      <c r="F1068" s="24" t="str">
        <f t="shared" si="82"/>
        <v>Nov</v>
      </c>
      <c r="G1068" s="24">
        <f t="shared" si="83"/>
        <v>11</v>
      </c>
      <c r="H1068" s="19">
        <v>1153</v>
      </c>
      <c r="I1068" s="19" t="s">
        <v>3</v>
      </c>
      <c r="J1068" s="19" t="s">
        <v>1</v>
      </c>
      <c r="K1068" s="20">
        <v>4</v>
      </c>
      <c r="L1068" s="21">
        <v>507.99</v>
      </c>
      <c r="M1068" s="22">
        <v>0.28999999999999998</v>
      </c>
      <c r="N1068" s="21">
        <f t="shared" si="84"/>
        <v>360.67290000000003</v>
      </c>
      <c r="O1068" s="21">
        <v>1442.69</v>
      </c>
      <c r="P1068" s="19" t="s">
        <v>4</v>
      </c>
      <c r="Q1068" s="23">
        <v>3</v>
      </c>
      <c r="R1068" s="45">
        <v>4.5</v>
      </c>
    </row>
    <row r="1069" spans="2:18" x14ac:dyDescent="0.2">
      <c r="B1069" s="25">
        <v>1066</v>
      </c>
      <c r="C1069" s="18">
        <v>44896</v>
      </c>
      <c r="D1069" s="24">
        <f t="shared" si="80"/>
        <v>2022</v>
      </c>
      <c r="E1069" s="24" t="str">
        <f t="shared" si="81"/>
        <v>Q4</v>
      </c>
      <c r="F1069" s="24" t="str">
        <f t="shared" si="82"/>
        <v>Dec</v>
      </c>
      <c r="G1069" s="24">
        <f t="shared" si="83"/>
        <v>12</v>
      </c>
      <c r="H1069" s="19">
        <v>1249</v>
      </c>
      <c r="I1069" s="19" t="s">
        <v>7</v>
      </c>
      <c r="J1069" s="19" t="s">
        <v>8</v>
      </c>
      <c r="K1069" s="20">
        <v>4</v>
      </c>
      <c r="L1069" s="21">
        <v>166.23</v>
      </c>
      <c r="M1069" s="22">
        <v>0.04</v>
      </c>
      <c r="N1069" s="21">
        <f t="shared" si="84"/>
        <v>159.58079999999998</v>
      </c>
      <c r="O1069" s="21">
        <v>638.32000000000005</v>
      </c>
      <c r="P1069" s="19" t="s">
        <v>6</v>
      </c>
      <c r="Q1069" s="23">
        <v>8</v>
      </c>
      <c r="R1069" s="45">
        <v>4.7</v>
      </c>
    </row>
    <row r="1070" spans="2:18" x14ac:dyDescent="0.2">
      <c r="B1070" s="25">
        <v>1067</v>
      </c>
      <c r="C1070" s="18">
        <v>44897</v>
      </c>
      <c r="D1070" s="24">
        <f t="shared" si="80"/>
        <v>2022</v>
      </c>
      <c r="E1070" s="24" t="str">
        <f t="shared" si="81"/>
        <v>Q4</v>
      </c>
      <c r="F1070" s="24" t="str">
        <f t="shared" si="82"/>
        <v>Dec</v>
      </c>
      <c r="G1070" s="24">
        <f t="shared" si="83"/>
        <v>12</v>
      </c>
      <c r="H1070" s="19">
        <v>1673</v>
      </c>
      <c r="I1070" s="19" t="s">
        <v>3</v>
      </c>
      <c r="J1070" s="19" t="s">
        <v>1</v>
      </c>
      <c r="K1070" s="20">
        <v>7</v>
      </c>
      <c r="L1070" s="21">
        <v>181.55</v>
      </c>
      <c r="M1070" s="22">
        <v>0.13</v>
      </c>
      <c r="N1070" s="21">
        <f t="shared" si="84"/>
        <v>157.94850000000002</v>
      </c>
      <c r="O1070" s="21">
        <v>1105.6400000000001</v>
      </c>
      <c r="P1070" s="19" t="s">
        <v>6</v>
      </c>
      <c r="Q1070" s="23">
        <v>4</v>
      </c>
      <c r="R1070" s="45">
        <v>2.8</v>
      </c>
    </row>
    <row r="1071" spans="2:18" x14ac:dyDescent="0.2">
      <c r="B1071" s="25">
        <v>1068</v>
      </c>
      <c r="C1071" s="18">
        <v>44898</v>
      </c>
      <c r="D1071" s="24">
        <f t="shared" si="80"/>
        <v>2022</v>
      </c>
      <c r="E1071" s="24" t="str">
        <f t="shared" si="81"/>
        <v>Q4</v>
      </c>
      <c r="F1071" s="24" t="str">
        <f t="shared" si="82"/>
        <v>Dec</v>
      </c>
      <c r="G1071" s="24">
        <f t="shared" si="83"/>
        <v>12</v>
      </c>
      <c r="H1071" s="19">
        <v>1437</v>
      </c>
      <c r="I1071" s="19" t="s">
        <v>0</v>
      </c>
      <c r="J1071" s="19" t="s">
        <v>9</v>
      </c>
      <c r="K1071" s="20">
        <v>7</v>
      </c>
      <c r="L1071" s="21">
        <v>576.55999999999995</v>
      </c>
      <c r="M1071" s="22">
        <v>0.23</v>
      </c>
      <c r="N1071" s="21">
        <f t="shared" si="84"/>
        <v>443.95119999999997</v>
      </c>
      <c r="O1071" s="21">
        <v>3107.66</v>
      </c>
      <c r="P1071" s="19" t="s">
        <v>4</v>
      </c>
      <c r="Q1071" s="23">
        <v>4</v>
      </c>
      <c r="R1071" s="45">
        <v>3.1</v>
      </c>
    </row>
    <row r="1072" spans="2:18" x14ac:dyDescent="0.2">
      <c r="B1072" s="25">
        <v>1069</v>
      </c>
      <c r="C1072" s="18">
        <v>44899</v>
      </c>
      <c r="D1072" s="24">
        <f t="shared" si="80"/>
        <v>2022</v>
      </c>
      <c r="E1072" s="24" t="str">
        <f t="shared" si="81"/>
        <v>Q4</v>
      </c>
      <c r="F1072" s="24" t="str">
        <f t="shared" si="82"/>
        <v>Dec</v>
      </c>
      <c r="G1072" s="24">
        <f t="shared" si="83"/>
        <v>12</v>
      </c>
      <c r="H1072" s="19">
        <v>1117</v>
      </c>
      <c r="I1072" s="19" t="s">
        <v>7</v>
      </c>
      <c r="J1072" s="19" t="s">
        <v>8</v>
      </c>
      <c r="K1072" s="20">
        <v>6</v>
      </c>
      <c r="L1072" s="21">
        <v>236.77</v>
      </c>
      <c r="M1072" s="22">
        <v>0.23</v>
      </c>
      <c r="N1072" s="21">
        <f t="shared" si="84"/>
        <v>182.31290000000001</v>
      </c>
      <c r="O1072" s="21">
        <v>1093.8800000000001</v>
      </c>
      <c r="P1072" s="19" t="s">
        <v>4</v>
      </c>
      <c r="Q1072" s="23">
        <v>2</v>
      </c>
      <c r="R1072" s="45">
        <v>3.5</v>
      </c>
    </row>
    <row r="1073" spans="2:18" x14ac:dyDescent="0.2">
      <c r="B1073" s="25">
        <v>1070</v>
      </c>
      <c r="C1073" s="18">
        <v>44900</v>
      </c>
      <c r="D1073" s="24">
        <f t="shared" si="80"/>
        <v>2022</v>
      </c>
      <c r="E1073" s="24" t="str">
        <f t="shared" si="81"/>
        <v>Q4</v>
      </c>
      <c r="F1073" s="24" t="str">
        <f t="shared" si="82"/>
        <v>Dec</v>
      </c>
      <c r="G1073" s="24">
        <f t="shared" si="83"/>
        <v>12</v>
      </c>
      <c r="H1073" s="19">
        <v>1770</v>
      </c>
      <c r="I1073" s="19" t="s">
        <v>7</v>
      </c>
      <c r="J1073" s="19" t="s">
        <v>5</v>
      </c>
      <c r="K1073" s="20">
        <v>1</v>
      </c>
      <c r="L1073" s="21">
        <v>20.61</v>
      </c>
      <c r="M1073" s="22">
        <v>0.3</v>
      </c>
      <c r="N1073" s="21">
        <f t="shared" si="84"/>
        <v>14.427</v>
      </c>
      <c r="O1073" s="21">
        <v>14.43</v>
      </c>
      <c r="P1073" s="19" t="s">
        <v>4</v>
      </c>
      <c r="Q1073" s="23">
        <v>11</v>
      </c>
      <c r="R1073" s="45">
        <v>3.7</v>
      </c>
    </row>
    <row r="1074" spans="2:18" x14ac:dyDescent="0.2">
      <c r="B1074" s="25">
        <v>1071</v>
      </c>
      <c r="C1074" s="18">
        <v>44901</v>
      </c>
      <c r="D1074" s="24">
        <f t="shared" si="80"/>
        <v>2022</v>
      </c>
      <c r="E1074" s="24" t="str">
        <f t="shared" si="81"/>
        <v>Q4</v>
      </c>
      <c r="F1074" s="24" t="str">
        <f t="shared" si="82"/>
        <v>Dec</v>
      </c>
      <c r="G1074" s="24">
        <f t="shared" si="83"/>
        <v>12</v>
      </c>
      <c r="H1074" s="19">
        <v>1890</v>
      </c>
      <c r="I1074" s="19" t="s">
        <v>7</v>
      </c>
      <c r="J1074" s="19" t="s">
        <v>8</v>
      </c>
      <c r="K1074" s="20">
        <v>1</v>
      </c>
      <c r="L1074" s="21">
        <v>181.05</v>
      </c>
      <c r="M1074" s="22">
        <v>0.05</v>
      </c>
      <c r="N1074" s="21">
        <f t="shared" si="84"/>
        <v>171.9975</v>
      </c>
      <c r="O1074" s="21">
        <v>172</v>
      </c>
      <c r="P1074" s="19" t="s">
        <v>6</v>
      </c>
      <c r="Q1074" s="23">
        <v>10</v>
      </c>
      <c r="R1074" s="45">
        <v>1.3</v>
      </c>
    </row>
    <row r="1075" spans="2:18" x14ac:dyDescent="0.2">
      <c r="B1075" s="25">
        <v>1072</v>
      </c>
      <c r="C1075" s="18">
        <v>44902</v>
      </c>
      <c r="D1075" s="24">
        <f t="shared" si="80"/>
        <v>2022</v>
      </c>
      <c r="E1075" s="24" t="str">
        <f t="shared" si="81"/>
        <v>Q4</v>
      </c>
      <c r="F1075" s="24" t="str">
        <f t="shared" si="82"/>
        <v>Dec</v>
      </c>
      <c r="G1075" s="24">
        <f t="shared" si="83"/>
        <v>12</v>
      </c>
      <c r="H1075" s="19">
        <v>1305</v>
      </c>
      <c r="I1075" s="19" t="s">
        <v>7</v>
      </c>
      <c r="J1075" s="19" t="s">
        <v>8</v>
      </c>
      <c r="K1075" s="20">
        <v>3</v>
      </c>
      <c r="L1075" s="21">
        <v>84.79</v>
      </c>
      <c r="M1075" s="22">
        <v>0.15</v>
      </c>
      <c r="N1075" s="21">
        <f t="shared" si="84"/>
        <v>72.0715</v>
      </c>
      <c r="O1075" s="21">
        <v>216.21</v>
      </c>
      <c r="P1075" s="19" t="s">
        <v>4</v>
      </c>
      <c r="Q1075" s="23">
        <v>1</v>
      </c>
      <c r="R1075" s="45">
        <v>1.2</v>
      </c>
    </row>
    <row r="1076" spans="2:18" x14ac:dyDescent="0.2">
      <c r="B1076" s="25">
        <v>1073</v>
      </c>
      <c r="C1076" s="18">
        <v>44903</v>
      </c>
      <c r="D1076" s="24">
        <f t="shared" si="80"/>
        <v>2022</v>
      </c>
      <c r="E1076" s="24" t="str">
        <f t="shared" si="81"/>
        <v>Q4</v>
      </c>
      <c r="F1076" s="24" t="str">
        <f t="shared" si="82"/>
        <v>Dec</v>
      </c>
      <c r="G1076" s="24">
        <f t="shared" si="83"/>
        <v>12</v>
      </c>
      <c r="H1076" s="19">
        <v>1267</v>
      </c>
      <c r="I1076" s="19" t="s">
        <v>0</v>
      </c>
      <c r="J1076" s="19" t="s">
        <v>5</v>
      </c>
      <c r="K1076" s="20">
        <v>5</v>
      </c>
      <c r="L1076" s="21">
        <v>75.14</v>
      </c>
      <c r="M1076" s="22">
        <v>0.03</v>
      </c>
      <c r="N1076" s="21">
        <f t="shared" si="84"/>
        <v>72.885800000000003</v>
      </c>
      <c r="O1076" s="21">
        <v>364.43</v>
      </c>
      <c r="P1076" s="19" t="s">
        <v>4</v>
      </c>
      <c r="Q1076" s="23">
        <v>7</v>
      </c>
      <c r="R1076" s="45">
        <v>4.5</v>
      </c>
    </row>
    <row r="1077" spans="2:18" x14ac:dyDescent="0.2">
      <c r="B1077" s="25">
        <v>1074</v>
      </c>
      <c r="C1077" s="18">
        <v>44904</v>
      </c>
      <c r="D1077" s="24">
        <f t="shared" si="80"/>
        <v>2022</v>
      </c>
      <c r="E1077" s="24" t="str">
        <f t="shared" si="81"/>
        <v>Q4</v>
      </c>
      <c r="F1077" s="24" t="str">
        <f t="shared" si="82"/>
        <v>Dec</v>
      </c>
      <c r="G1077" s="24">
        <f t="shared" si="83"/>
        <v>12</v>
      </c>
      <c r="H1077" s="19">
        <v>1960</v>
      </c>
      <c r="I1077" s="19" t="s">
        <v>3</v>
      </c>
      <c r="J1077" s="19" t="s">
        <v>1</v>
      </c>
      <c r="K1077" s="20">
        <v>7</v>
      </c>
      <c r="L1077" s="21">
        <v>60.33</v>
      </c>
      <c r="M1077" s="22">
        <v>0.14000000000000001</v>
      </c>
      <c r="N1077" s="21">
        <f t="shared" si="84"/>
        <v>51.883799999999994</v>
      </c>
      <c r="O1077" s="21">
        <v>363.19</v>
      </c>
      <c r="P1077" s="19" t="s">
        <v>4</v>
      </c>
      <c r="Q1077" s="23">
        <v>4</v>
      </c>
      <c r="R1077" s="45">
        <v>1.9</v>
      </c>
    </row>
    <row r="1078" spans="2:18" x14ac:dyDescent="0.2">
      <c r="B1078" s="25">
        <v>1075</v>
      </c>
      <c r="C1078" s="18">
        <v>44905</v>
      </c>
      <c r="D1078" s="24">
        <f t="shared" si="80"/>
        <v>2022</v>
      </c>
      <c r="E1078" s="24" t="str">
        <f t="shared" si="81"/>
        <v>Q4</v>
      </c>
      <c r="F1078" s="24" t="str">
        <f t="shared" si="82"/>
        <v>Dec</v>
      </c>
      <c r="G1078" s="24">
        <f t="shared" si="83"/>
        <v>12</v>
      </c>
      <c r="H1078" s="19">
        <v>1053</v>
      </c>
      <c r="I1078" s="19" t="s">
        <v>3</v>
      </c>
      <c r="J1078" s="19" t="s">
        <v>5</v>
      </c>
      <c r="K1078" s="20">
        <v>6</v>
      </c>
      <c r="L1078" s="21">
        <v>362.06</v>
      </c>
      <c r="M1078" s="22">
        <v>0.01</v>
      </c>
      <c r="N1078" s="21">
        <f t="shared" si="84"/>
        <v>358.43939999999998</v>
      </c>
      <c r="O1078" s="21">
        <v>2150.64</v>
      </c>
      <c r="P1078" s="19" t="s">
        <v>4</v>
      </c>
      <c r="Q1078" s="23">
        <v>6</v>
      </c>
      <c r="R1078" s="45">
        <v>3.3</v>
      </c>
    </row>
    <row r="1079" spans="2:18" x14ac:dyDescent="0.2">
      <c r="B1079" s="25">
        <v>1076</v>
      </c>
      <c r="C1079" s="18">
        <v>44906</v>
      </c>
      <c r="D1079" s="24">
        <f t="shared" si="80"/>
        <v>2022</v>
      </c>
      <c r="E1079" s="24" t="str">
        <f t="shared" si="81"/>
        <v>Q4</v>
      </c>
      <c r="F1079" s="24" t="str">
        <f t="shared" si="82"/>
        <v>Dec</v>
      </c>
      <c r="G1079" s="24">
        <f t="shared" si="83"/>
        <v>12</v>
      </c>
      <c r="H1079" s="19">
        <v>1235</v>
      </c>
      <c r="I1079" s="19" t="s">
        <v>10</v>
      </c>
      <c r="J1079" s="19" t="s">
        <v>9</v>
      </c>
      <c r="K1079" s="20">
        <v>1</v>
      </c>
      <c r="L1079" s="21">
        <v>125.77</v>
      </c>
      <c r="M1079" s="22">
        <v>0.31</v>
      </c>
      <c r="N1079" s="21">
        <f t="shared" si="84"/>
        <v>86.781299999999987</v>
      </c>
      <c r="O1079" s="21">
        <v>86.78</v>
      </c>
      <c r="P1079" s="19" t="s">
        <v>4</v>
      </c>
      <c r="Q1079" s="23">
        <v>8</v>
      </c>
      <c r="R1079" s="45">
        <v>3.5</v>
      </c>
    </row>
    <row r="1080" spans="2:18" x14ac:dyDescent="0.2">
      <c r="B1080" s="25">
        <v>1077</v>
      </c>
      <c r="C1080" s="18">
        <v>44907</v>
      </c>
      <c r="D1080" s="24">
        <f t="shared" si="80"/>
        <v>2022</v>
      </c>
      <c r="E1080" s="24" t="str">
        <f t="shared" si="81"/>
        <v>Q4</v>
      </c>
      <c r="F1080" s="24" t="str">
        <f t="shared" si="82"/>
        <v>Dec</v>
      </c>
      <c r="G1080" s="24">
        <f t="shared" si="83"/>
        <v>12</v>
      </c>
      <c r="H1080" s="19">
        <v>1388</v>
      </c>
      <c r="I1080" s="19" t="s">
        <v>7</v>
      </c>
      <c r="J1080" s="19" t="s">
        <v>1</v>
      </c>
      <c r="K1080" s="20">
        <v>1</v>
      </c>
      <c r="L1080" s="21">
        <v>226.33</v>
      </c>
      <c r="M1080" s="22">
        <v>0.18</v>
      </c>
      <c r="N1080" s="21">
        <f t="shared" si="84"/>
        <v>185.59059999999999</v>
      </c>
      <c r="O1080" s="21">
        <v>185.59</v>
      </c>
      <c r="P1080" s="19" t="s">
        <v>2</v>
      </c>
      <c r="Q1080" s="23">
        <v>11</v>
      </c>
      <c r="R1080" s="45">
        <v>1.7</v>
      </c>
    </row>
    <row r="1081" spans="2:18" x14ac:dyDescent="0.2">
      <c r="B1081" s="25">
        <v>1078</v>
      </c>
      <c r="C1081" s="18">
        <v>44908</v>
      </c>
      <c r="D1081" s="24">
        <f t="shared" si="80"/>
        <v>2022</v>
      </c>
      <c r="E1081" s="24" t="str">
        <f t="shared" si="81"/>
        <v>Q4</v>
      </c>
      <c r="F1081" s="24" t="str">
        <f t="shared" si="82"/>
        <v>Dec</v>
      </c>
      <c r="G1081" s="24">
        <f t="shared" si="83"/>
        <v>12</v>
      </c>
      <c r="H1081" s="19">
        <v>1989</v>
      </c>
      <c r="I1081" s="19" t="s">
        <v>3</v>
      </c>
      <c r="J1081" s="19" t="s">
        <v>8</v>
      </c>
      <c r="K1081" s="20">
        <v>6</v>
      </c>
      <c r="L1081" s="21">
        <v>519.28</v>
      </c>
      <c r="M1081" s="22">
        <v>0.3</v>
      </c>
      <c r="N1081" s="21">
        <f t="shared" si="84"/>
        <v>363.49599999999998</v>
      </c>
      <c r="O1081" s="21">
        <v>2180.98</v>
      </c>
      <c r="P1081" s="19" t="s">
        <v>4</v>
      </c>
      <c r="Q1081" s="23">
        <v>7</v>
      </c>
      <c r="R1081" s="45">
        <v>4</v>
      </c>
    </row>
    <row r="1082" spans="2:18" x14ac:dyDescent="0.2">
      <c r="B1082" s="25">
        <v>1079</v>
      </c>
      <c r="C1082" s="18">
        <v>44909</v>
      </c>
      <c r="D1082" s="24">
        <f t="shared" si="80"/>
        <v>2022</v>
      </c>
      <c r="E1082" s="24" t="str">
        <f t="shared" si="81"/>
        <v>Q4</v>
      </c>
      <c r="F1082" s="24" t="str">
        <f t="shared" si="82"/>
        <v>Dec</v>
      </c>
      <c r="G1082" s="24">
        <f t="shared" si="83"/>
        <v>12</v>
      </c>
      <c r="H1082" s="19">
        <v>1733</v>
      </c>
      <c r="I1082" s="19" t="s">
        <v>3</v>
      </c>
      <c r="J1082" s="19" t="s">
        <v>1</v>
      </c>
      <c r="K1082" s="20">
        <v>2</v>
      </c>
      <c r="L1082" s="21">
        <v>263.24</v>
      </c>
      <c r="M1082" s="22">
        <v>0.02</v>
      </c>
      <c r="N1082" s="21">
        <f t="shared" si="84"/>
        <v>257.97520000000003</v>
      </c>
      <c r="O1082" s="21">
        <v>515.95000000000005</v>
      </c>
      <c r="P1082" s="19" t="s">
        <v>2</v>
      </c>
      <c r="Q1082" s="23">
        <v>7</v>
      </c>
      <c r="R1082" s="45">
        <v>4.5</v>
      </c>
    </row>
    <row r="1083" spans="2:18" x14ac:dyDescent="0.2">
      <c r="B1083" s="25">
        <v>1080</v>
      </c>
      <c r="C1083" s="18">
        <v>44910</v>
      </c>
      <c r="D1083" s="24">
        <f t="shared" si="80"/>
        <v>2022</v>
      </c>
      <c r="E1083" s="24" t="str">
        <f t="shared" si="81"/>
        <v>Q4</v>
      </c>
      <c r="F1083" s="24" t="str">
        <f t="shared" si="82"/>
        <v>Dec</v>
      </c>
      <c r="G1083" s="24">
        <f t="shared" si="83"/>
        <v>12</v>
      </c>
      <c r="H1083" s="19">
        <v>1762</v>
      </c>
      <c r="I1083" s="19" t="s">
        <v>3</v>
      </c>
      <c r="J1083" s="19" t="s">
        <v>1</v>
      </c>
      <c r="K1083" s="20">
        <v>6</v>
      </c>
      <c r="L1083" s="21">
        <v>550.67999999999995</v>
      </c>
      <c r="M1083" s="22">
        <v>0.08</v>
      </c>
      <c r="N1083" s="21">
        <f t="shared" si="84"/>
        <v>506.62559999999996</v>
      </c>
      <c r="O1083" s="21">
        <v>3039.75</v>
      </c>
      <c r="P1083" s="19" t="s">
        <v>4</v>
      </c>
      <c r="Q1083" s="23">
        <v>6</v>
      </c>
      <c r="R1083" s="45">
        <v>2.1</v>
      </c>
    </row>
    <row r="1084" spans="2:18" x14ac:dyDescent="0.2">
      <c r="B1084" s="25">
        <v>1081</v>
      </c>
      <c r="C1084" s="18">
        <v>44911</v>
      </c>
      <c r="D1084" s="24">
        <f t="shared" si="80"/>
        <v>2022</v>
      </c>
      <c r="E1084" s="24" t="str">
        <f t="shared" si="81"/>
        <v>Q4</v>
      </c>
      <c r="F1084" s="24" t="str">
        <f t="shared" si="82"/>
        <v>Dec</v>
      </c>
      <c r="G1084" s="24">
        <f t="shared" si="83"/>
        <v>12</v>
      </c>
      <c r="H1084" s="19">
        <v>1824</v>
      </c>
      <c r="I1084" s="19" t="s">
        <v>0</v>
      </c>
      <c r="J1084" s="19" t="s">
        <v>9</v>
      </c>
      <c r="K1084" s="20">
        <v>1</v>
      </c>
      <c r="L1084" s="21">
        <v>306.29000000000002</v>
      </c>
      <c r="M1084" s="22">
        <v>0.09</v>
      </c>
      <c r="N1084" s="21">
        <f t="shared" si="84"/>
        <v>278.72390000000001</v>
      </c>
      <c r="O1084" s="21">
        <v>278.72000000000003</v>
      </c>
      <c r="P1084" s="19" t="s">
        <v>4</v>
      </c>
      <c r="Q1084" s="23">
        <v>11</v>
      </c>
      <c r="R1084" s="45">
        <v>4.5</v>
      </c>
    </row>
    <row r="1085" spans="2:18" x14ac:dyDescent="0.2">
      <c r="B1085" s="25">
        <v>1082</v>
      </c>
      <c r="C1085" s="18">
        <v>44912</v>
      </c>
      <c r="D1085" s="24">
        <f t="shared" si="80"/>
        <v>2022</v>
      </c>
      <c r="E1085" s="24" t="str">
        <f t="shared" si="81"/>
        <v>Q4</v>
      </c>
      <c r="F1085" s="24" t="str">
        <f t="shared" si="82"/>
        <v>Dec</v>
      </c>
      <c r="G1085" s="24">
        <f t="shared" si="83"/>
        <v>12</v>
      </c>
      <c r="H1085" s="19">
        <v>1400</v>
      </c>
      <c r="I1085" s="19" t="s">
        <v>10</v>
      </c>
      <c r="J1085" s="19" t="s">
        <v>1</v>
      </c>
      <c r="K1085" s="20">
        <v>5</v>
      </c>
      <c r="L1085" s="21">
        <v>248.32</v>
      </c>
      <c r="M1085" s="22">
        <v>0.14000000000000001</v>
      </c>
      <c r="N1085" s="21">
        <f t="shared" si="84"/>
        <v>213.55519999999999</v>
      </c>
      <c r="O1085" s="21">
        <v>1067.78</v>
      </c>
      <c r="P1085" s="19" t="s">
        <v>4</v>
      </c>
      <c r="Q1085" s="23">
        <v>4</v>
      </c>
      <c r="R1085" s="45">
        <v>1.3</v>
      </c>
    </row>
    <row r="1086" spans="2:18" x14ac:dyDescent="0.2">
      <c r="B1086" s="25">
        <v>1083</v>
      </c>
      <c r="C1086" s="18">
        <v>44913</v>
      </c>
      <c r="D1086" s="24">
        <f t="shared" si="80"/>
        <v>2022</v>
      </c>
      <c r="E1086" s="24" t="str">
        <f t="shared" si="81"/>
        <v>Q4</v>
      </c>
      <c r="F1086" s="24" t="str">
        <f t="shared" si="82"/>
        <v>Dec</v>
      </c>
      <c r="G1086" s="24">
        <f t="shared" si="83"/>
        <v>12</v>
      </c>
      <c r="H1086" s="19">
        <v>1623</v>
      </c>
      <c r="I1086" s="19" t="s">
        <v>3</v>
      </c>
      <c r="J1086" s="19" t="s">
        <v>1</v>
      </c>
      <c r="K1086" s="20">
        <v>2</v>
      </c>
      <c r="L1086" s="21">
        <v>453.98</v>
      </c>
      <c r="M1086" s="22">
        <v>0.28000000000000003</v>
      </c>
      <c r="N1086" s="21">
        <f t="shared" si="84"/>
        <v>326.86559999999997</v>
      </c>
      <c r="O1086" s="21">
        <v>653.73</v>
      </c>
      <c r="P1086" s="19" t="s">
        <v>6</v>
      </c>
      <c r="Q1086" s="23">
        <v>4</v>
      </c>
      <c r="R1086" s="45">
        <v>4.2</v>
      </c>
    </row>
    <row r="1087" spans="2:18" x14ac:dyDescent="0.2">
      <c r="B1087" s="25">
        <v>1084</v>
      </c>
      <c r="C1087" s="18">
        <v>44914</v>
      </c>
      <c r="D1087" s="24">
        <f t="shared" si="80"/>
        <v>2022</v>
      </c>
      <c r="E1087" s="24" t="str">
        <f t="shared" si="81"/>
        <v>Q4</v>
      </c>
      <c r="F1087" s="24" t="str">
        <f t="shared" si="82"/>
        <v>Dec</v>
      </c>
      <c r="G1087" s="24">
        <f t="shared" si="83"/>
        <v>12</v>
      </c>
      <c r="H1087" s="19">
        <v>1766</v>
      </c>
      <c r="I1087" s="19" t="s">
        <v>10</v>
      </c>
      <c r="J1087" s="19" t="s">
        <v>1</v>
      </c>
      <c r="K1087" s="20">
        <v>4</v>
      </c>
      <c r="L1087" s="21">
        <v>57.81</v>
      </c>
      <c r="M1087" s="22">
        <v>0.14000000000000001</v>
      </c>
      <c r="N1087" s="21">
        <f t="shared" si="84"/>
        <v>49.7166</v>
      </c>
      <c r="O1087" s="21">
        <v>198.87</v>
      </c>
      <c r="P1087" s="19" t="s">
        <v>6</v>
      </c>
      <c r="Q1087" s="23">
        <v>9</v>
      </c>
      <c r="R1087" s="45">
        <v>3.6</v>
      </c>
    </row>
    <row r="1088" spans="2:18" x14ac:dyDescent="0.2">
      <c r="B1088" s="25">
        <v>1085</v>
      </c>
      <c r="C1088" s="18">
        <v>44915</v>
      </c>
      <c r="D1088" s="24">
        <f t="shared" si="80"/>
        <v>2022</v>
      </c>
      <c r="E1088" s="24" t="str">
        <f t="shared" si="81"/>
        <v>Q4</v>
      </c>
      <c r="F1088" s="24" t="str">
        <f t="shared" si="82"/>
        <v>Dec</v>
      </c>
      <c r="G1088" s="24">
        <f t="shared" si="83"/>
        <v>12</v>
      </c>
      <c r="H1088" s="19">
        <v>1302</v>
      </c>
      <c r="I1088" s="19" t="s">
        <v>7</v>
      </c>
      <c r="J1088" s="19" t="s">
        <v>8</v>
      </c>
      <c r="K1088" s="20">
        <v>6</v>
      </c>
      <c r="L1088" s="21">
        <v>67.34</v>
      </c>
      <c r="M1088" s="22">
        <v>7.0000000000000007E-2</v>
      </c>
      <c r="N1088" s="21">
        <f t="shared" si="84"/>
        <v>62.626200000000004</v>
      </c>
      <c r="O1088" s="21">
        <v>375.76</v>
      </c>
      <c r="P1088" s="19" t="s">
        <v>6</v>
      </c>
      <c r="Q1088" s="23">
        <v>11</v>
      </c>
      <c r="R1088" s="45">
        <v>3.3</v>
      </c>
    </row>
    <row r="1089" spans="2:18" x14ac:dyDescent="0.2">
      <c r="B1089" s="25">
        <v>1086</v>
      </c>
      <c r="C1089" s="18">
        <v>44916</v>
      </c>
      <c r="D1089" s="24">
        <f t="shared" si="80"/>
        <v>2022</v>
      </c>
      <c r="E1089" s="24" t="str">
        <f t="shared" si="81"/>
        <v>Q4</v>
      </c>
      <c r="F1089" s="24" t="str">
        <f t="shared" si="82"/>
        <v>Dec</v>
      </c>
      <c r="G1089" s="24">
        <f t="shared" si="83"/>
        <v>12</v>
      </c>
      <c r="H1089" s="19">
        <v>1918</v>
      </c>
      <c r="I1089" s="19" t="s">
        <v>7</v>
      </c>
      <c r="J1089" s="19" t="s">
        <v>1</v>
      </c>
      <c r="K1089" s="20">
        <v>4</v>
      </c>
      <c r="L1089" s="21">
        <v>396.4</v>
      </c>
      <c r="M1089" s="22">
        <v>0.02</v>
      </c>
      <c r="N1089" s="21">
        <f t="shared" si="84"/>
        <v>388.47199999999998</v>
      </c>
      <c r="O1089" s="21">
        <v>1553.89</v>
      </c>
      <c r="P1089" s="19" t="s">
        <v>4</v>
      </c>
      <c r="Q1089" s="23">
        <v>5</v>
      </c>
      <c r="R1089" s="45">
        <v>1.9</v>
      </c>
    </row>
    <row r="1090" spans="2:18" x14ac:dyDescent="0.2">
      <c r="B1090" s="25">
        <v>1087</v>
      </c>
      <c r="C1090" s="18">
        <v>44917</v>
      </c>
      <c r="D1090" s="24">
        <f t="shared" si="80"/>
        <v>2022</v>
      </c>
      <c r="E1090" s="24" t="str">
        <f t="shared" si="81"/>
        <v>Q4</v>
      </c>
      <c r="F1090" s="24" t="str">
        <f t="shared" si="82"/>
        <v>Dec</v>
      </c>
      <c r="G1090" s="24">
        <f t="shared" si="83"/>
        <v>12</v>
      </c>
      <c r="H1090" s="19">
        <v>1206</v>
      </c>
      <c r="I1090" s="19" t="s">
        <v>7</v>
      </c>
      <c r="J1090" s="19" t="s">
        <v>5</v>
      </c>
      <c r="K1090" s="20">
        <v>2</v>
      </c>
      <c r="L1090" s="21">
        <v>299.86</v>
      </c>
      <c r="M1090" s="22">
        <v>0.03</v>
      </c>
      <c r="N1090" s="21">
        <f t="shared" si="84"/>
        <v>290.86420000000004</v>
      </c>
      <c r="O1090" s="21">
        <v>581.73</v>
      </c>
      <c r="P1090" s="19" t="s">
        <v>2</v>
      </c>
      <c r="Q1090" s="23">
        <v>9</v>
      </c>
      <c r="R1090" s="45">
        <v>2.4</v>
      </c>
    </row>
    <row r="1091" spans="2:18" x14ac:dyDescent="0.2">
      <c r="B1091" s="25">
        <v>1088</v>
      </c>
      <c r="C1091" s="18">
        <v>44918</v>
      </c>
      <c r="D1091" s="24">
        <f t="shared" si="80"/>
        <v>2022</v>
      </c>
      <c r="E1091" s="24" t="str">
        <f t="shared" si="81"/>
        <v>Q4</v>
      </c>
      <c r="F1091" s="24" t="str">
        <f t="shared" si="82"/>
        <v>Dec</v>
      </c>
      <c r="G1091" s="24">
        <f t="shared" si="83"/>
        <v>12</v>
      </c>
      <c r="H1091" s="19">
        <v>1228</v>
      </c>
      <c r="I1091" s="19" t="s">
        <v>7</v>
      </c>
      <c r="J1091" s="19" t="s">
        <v>1</v>
      </c>
      <c r="K1091" s="20">
        <v>2</v>
      </c>
      <c r="L1091" s="21">
        <v>477.39</v>
      </c>
      <c r="M1091" s="22">
        <v>0.27</v>
      </c>
      <c r="N1091" s="21">
        <f t="shared" si="84"/>
        <v>348.49469999999997</v>
      </c>
      <c r="O1091" s="21">
        <v>696.99</v>
      </c>
      <c r="P1091" s="19" t="s">
        <v>2</v>
      </c>
      <c r="Q1091" s="23">
        <v>11</v>
      </c>
      <c r="R1091" s="45">
        <v>4.5999999999999996</v>
      </c>
    </row>
    <row r="1092" spans="2:18" x14ac:dyDescent="0.2">
      <c r="B1092" s="25">
        <v>1089</v>
      </c>
      <c r="C1092" s="18">
        <v>44919</v>
      </c>
      <c r="D1092" s="24">
        <f t="shared" ref="D1092:D1155" si="85">YEAR(C1092)</f>
        <v>2022</v>
      </c>
      <c r="E1092" s="24" t="str">
        <f t="shared" ref="E1092:E1155" si="86">"Q"&amp;ROUNDUP(MONTH(C1092)/3,0)</f>
        <v>Q4</v>
      </c>
      <c r="F1092" s="24" t="str">
        <f t="shared" ref="F1092:F1155" si="87">TEXT(C1092,"mmm")</f>
        <v>Dec</v>
      </c>
      <c r="G1092" s="24">
        <f t="shared" ref="G1092:G1155" si="88">MONTH(C1092)</f>
        <v>12</v>
      </c>
      <c r="H1092" s="19">
        <v>1852</v>
      </c>
      <c r="I1092" s="19" t="s">
        <v>3</v>
      </c>
      <c r="J1092" s="19" t="s">
        <v>9</v>
      </c>
      <c r="K1092" s="20">
        <v>2</v>
      </c>
      <c r="L1092" s="21">
        <v>551.02</v>
      </c>
      <c r="M1092" s="22">
        <v>0.16</v>
      </c>
      <c r="N1092" s="21">
        <f t="shared" si="84"/>
        <v>462.85679999999996</v>
      </c>
      <c r="O1092" s="21">
        <v>925.71</v>
      </c>
      <c r="P1092" s="19" t="s">
        <v>4</v>
      </c>
      <c r="Q1092" s="23">
        <v>9</v>
      </c>
      <c r="R1092" s="45">
        <v>2.9</v>
      </c>
    </row>
    <row r="1093" spans="2:18" x14ac:dyDescent="0.2">
      <c r="B1093" s="25">
        <v>1090</v>
      </c>
      <c r="C1093" s="18">
        <v>44920</v>
      </c>
      <c r="D1093" s="24">
        <f t="shared" si="85"/>
        <v>2022</v>
      </c>
      <c r="E1093" s="24" t="str">
        <f t="shared" si="86"/>
        <v>Q4</v>
      </c>
      <c r="F1093" s="24" t="str">
        <f t="shared" si="87"/>
        <v>Dec</v>
      </c>
      <c r="G1093" s="24">
        <f t="shared" si="88"/>
        <v>12</v>
      </c>
      <c r="H1093" s="19">
        <v>1909</v>
      </c>
      <c r="I1093" s="19" t="s">
        <v>3</v>
      </c>
      <c r="J1093" s="19" t="s">
        <v>1</v>
      </c>
      <c r="K1093" s="20">
        <v>3</v>
      </c>
      <c r="L1093" s="21">
        <v>242.19</v>
      </c>
      <c r="M1093" s="22">
        <v>0.25</v>
      </c>
      <c r="N1093" s="21">
        <f t="shared" ref="N1093:N1156" si="89">L1093-(L1093*M1093)</f>
        <v>181.64249999999998</v>
      </c>
      <c r="O1093" s="21">
        <v>544.92999999999995</v>
      </c>
      <c r="P1093" s="19" t="s">
        <v>6</v>
      </c>
      <c r="Q1093" s="23">
        <v>4</v>
      </c>
      <c r="R1093" s="45">
        <v>3.4</v>
      </c>
    </row>
    <row r="1094" spans="2:18" x14ac:dyDescent="0.2">
      <c r="B1094" s="25">
        <v>1091</v>
      </c>
      <c r="C1094" s="18">
        <v>44921</v>
      </c>
      <c r="D1094" s="24">
        <f t="shared" si="85"/>
        <v>2022</v>
      </c>
      <c r="E1094" s="24" t="str">
        <f t="shared" si="86"/>
        <v>Q4</v>
      </c>
      <c r="F1094" s="24" t="str">
        <f t="shared" si="87"/>
        <v>Dec</v>
      </c>
      <c r="G1094" s="24">
        <f t="shared" si="88"/>
        <v>12</v>
      </c>
      <c r="H1094" s="19">
        <v>1577</v>
      </c>
      <c r="I1094" s="19" t="s">
        <v>0</v>
      </c>
      <c r="J1094" s="19" t="s">
        <v>1</v>
      </c>
      <c r="K1094" s="20">
        <v>6</v>
      </c>
      <c r="L1094" s="21">
        <v>363.9</v>
      </c>
      <c r="M1094" s="22">
        <v>0.24</v>
      </c>
      <c r="N1094" s="21">
        <f t="shared" si="89"/>
        <v>276.56399999999996</v>
      </c>
      <c r="O1094" s="21">
        <v>1659.38</v>
      </c>
      <c r="P1094" s="19" t="s">
        <v>6</v>
      </c>
      <c r="Q1094" s="23">
        <v>2</v>
      </c>
      <c r="R1094" s="45">
        <v>4.7</v>
      </c>
    </row>
    <row r="1095" spans="2:18" x14ac:dyDescent="0.2">
      <c r="B1095" s="25">
        <v>1092</v>
      </c>
      <c r="C1095" s="18">
        <v>44922</v>
      </c>
      <c r="D1095" s="24">
        <f t="shared" si="85"/>
        <v>2022</v>
      </c>
      <c r="E1095" s="24" t="str">
        <f t="shared" si="86"/>
        <v>Q4</v>
      </c>
      <c r="F1095" s="24" t="str">
        <f t="shared" si="87"/>
        <v>Dec</v>
      </c>
      <c r="G1095" s="24">
        <f t="shared" si="88"/>
        <v>12</v>
      </c>
      <c r="H1095" s="19">
        <v>1074</v>
      </c>
      <c r="I1095" s="19" t="s">
        <v>3</v>
      </c>
      <c r="J1095" s="19" t="s">
        <v>8</v>
      </c>
      <c r="K1095" s="20">
        <v>7</v>
      </c>
      <c r="L1095" s="21">
        <v>307.91000000000003</v>
      </c>
      <c r="M1095" s="22">
        <v>0.05</v>
      </c>
      <c r="N1095" s="21">
        <f t="shared" si="89"/>
        <v>292.5145</v>
      </c>
      <c r="O1095" s="21">
        <v>2047.6</v>
      </c>
      <c r="P1095" s="19" t="s">
        <v>4</v>
      </c>
      <c r="Q1095" s="23">
        <v>2</v>
      </c>
      <c r="R1095" s="45">
        <v>2.9</v>
      </c>
    </row>
    <row r="1096" spans="2:18" x14ac:dyDescent="0.2">
      <c r="B1096" s="25">
        <v>1093</v>
      </c>
      <c r="C1096" s="18">
        <v>44923</v>
      </c>
      <c r="D1096" s="24">
        <f t="shared" si="85"/>
        <v>2022</v>
      </c>
      <c r="E1096" s="24" t="str">
        <f t="shared" si="86"/>
        <v>Q4</v>
      </c>
      <c r="F1096" s="24" t="str">
        <f t="shared" si="87"/>
        <v>Dec</v>
      </c>
      <c r="G1096" s="24">
        <f t="shared" si="88"/>
        <v>12</v>
      </c>
      <c r="H1096" s="19">
        <v>1434</v>
      </c>
      <c r="I1096" s="19" t="s">
        <v>3</v>
      </c>
      <c r="J1096" s="19" t="s">
        <v>5</v>
      </c>
      <c r="K1096" s="20">
        <v>5</v>
      </c>
      <c r="L1096" s="21">
        <v>589.24</v>
      </c>
      <c r="M1096" s="22">
        <v>0.05</v>
      </c>
      <c r="N1096" s="21">
        <f t="shared" si="89"/>
        <v>559.77800000000002</v>
      </c>
      <c r="O1096" s="21">
        <v>2798.89</v>
      </c>
      <c r="P1096" s="19" t="s">
        <v>4</v>
      </c>
      <c r="Q1096" s="23">
        <v>9</v>
      </c>
      <c r="R1096" s="45">
        <v>2.6</v>
      </c>
    </row>
    <row r="1097" spans="2:18" x14ac:dyDescent="0.2">
      <c r="B1097" s="25">
        <v>1094</v>
      </c>
      <c r="C1097" s="18">
        <v>44924</v>
      </c>
      <c r="D1097" s="24">
        <f t="shared" si="85"/>
        <v>2022</v>
      </c>
      <c r="E1097" s="24" t="str">
        <f t="shared" si="86"/>
        <v>Q4</v>
      </c>
      <c r="F1097" s="24" t="str">
        <f t="shared" si="87"/>
        <v>Dec</v>
      </c>
      <c r="G1097" s="24">
        <f t="shared" si="88"/>
        <v>12</v>
      </c>
      <c r="H1097" s="19">
        <v>1102</v>
      </c>
      <c r="I1097" s="19" t="s">
        <v>7</v>
      </c>
      <c r="J1097" s="19" t="s">
        <v>1</v>
      </c>
      <c r="K1097" s="20">
        <v>5</v>
      </c>
      <c r="L1097" s="21">
        <v>501.18</v>
      </c>
      <c r="M1097" s="22">
        <v>0.26</v>
      </c>
      <c r="N1097" s="21">
        <f t="shared" si="89"/>
        <v>370.8732</v>
      </c>
      <c r="O1097" s="21">
        <v>1854.37</v>
      </c>
      <c r="P1097" s="19" t="s">
        <v>6</v>
      </c>
      <c r="Q1097" s="23">
        <v>9</v>
      </c>
      <c r="R1097" s="45">
        <v>4.5999999999999996</v>
      </c>
    </row>
    <row r="1098" spans="2:18" x14ac:dyDescent="0.2">
      <c r="B1098" s="25">
        <v>1095</v>
      </c>
      <c r="C1098" s="18">
        <v>44925</v>
      </c>
      <c r="D1098" s="24">
        <f t="shared" si="85"/>
        <v>2022</v>
      </c>
      <c r="E1098" s="24" t="str">
        <f t="shared" si="86"/>
        <v>Q4</v>
      </c>
      <c r="F1098" s="24" t="str">
        <f t="shared" si="87"/>
        <v>Dec</v>
      </c>
      <c r="G1098" s="24">
        <f t="shared" si="88"/>
        <v>12</v>
      </c>
      <c r="H1098" s="19">
        <v>1421</v>
      </c>
      <c r="I1098" s="19" t="s">
        <v>7</v>
      </c>
      <c r="J1098" s="19" t="s">
        <v>5</v>
      </c>
      <c r="K1098" s="20">
        <v>4</v>
      </c>
      <c r="L1098" s="21">
        <v>548.37</v>
      </c>
      <c r="M1098" s="22">
        <v>0.25</v>
      </c>
      <c r="N1098" s="21">
        <f t="shared" si="89"/>
        <v>411.27750000000003</v>
      </c>
      <c r="O1098" s="21">
        <v>1645.11</v>
      </c>
      <c r="P1098" s="19" t="s">
        <v>2</v>
      </c>
      <c r="Q1098" s="23">
        <v>3</v>
      </c>
      <c r="R1098" s="45">
        <v>4.5999999999999996</v>
      </c>
    </row>
    <row r="1099" spans="2:18" x14ac:dyDescent="0.2">
      <c r="B1099" s="25">
        <v>1096</v>
      </c>
      <c r="C1099" s="18">
        <v>44926</v>
      </c>
      <c r="D1099" s="24">
        <f t="shared" si="85"/>
        <v>2022</v>
      </c>
      <c r="E1099" s="24" t="str">
        <f t="shared" si="86"/>
        <v>Q4</v>
      </c>
      <c r="F1099" s="24" t="str">
        <f t="shared" si="87"/>
        <v>Dec</v>
      </c>
      <c r="G1099" s="24">
        <f t="shared" si="88"/>
        <v>12</v>
      </c>
      <c r="H1099" s="19">
        <v>1703</v>
      </c>
      <c r="I1099" s="19" t="s">
        <v>3</v>
      </c>
      <c r="J1099" s="19" t="s">
        <v>9</v>
      </c>
      <c r="K1099" s="20">
        <v>4</v>
      </c>
      <c r="L1099" s="21">
        <v>163.79</v>
      </c>
      <c r="M1099" s="22">
        <v>0.13</v>
      </c>
      <c r="N1099" s="21">
        <f t="shared" si="89"/>
        <v>142.4973</v>
      </c>
      <c r="O1099" s="21">
        <v>569.99</v>
      </c>
      <c r="P1099" s="19" t="s">
        <v>4</v>
      </c>
      <c r="Q1099" s="23">
        <v>5</v>
      </c>
      <c r="R1099" s="45">
        <v>2.4</v>
      </c>
    </row>
    <row r="1100" spans="2:18" x14ac:dyDescent="0.2">
      <c r="B1100" s="25">
        <v>1097</v>
      </c>
      <c r="C1100" s="18">
        <v>44927</v>
      </c>
      <c r="D1100" s="24">
        <f t="shared" si="85"/>
        <v>2023</v>
      </c>
      <c r="E1100" s="24" t="str">
        <f t="shared" si="86"/>
        <v>Q1</v>
      </c>
      <c r="F1100" s="24" t="str">
        <f t="shared" si="87"/>
        <v>Jan</v>
      </c>
      <c r="G1100" s="24">
        <f t="shared" si="88"/>
        <v>1</v>
      </c>
      <c r="H1100" s="19">
        <v>1763</v>
      </c>
      <c r="I1100" s="19" t="s">
        <v>3</v>
      </c>
      <c r="J1100" s="19" t="s">
        <v>8</v>
      </c>
      <c r="K1100" s="20">
        <v>7</v>
      </c>
      <c r="L1100" s="21">
        <v>466.93</v>
      </c>
      <c r="M1100" s="22">
        <v>0.03</v>
      </c>
      <c r="N1100" s="21">
        <f t="shared" si="89"/>
        <v>452.9221</v>
      </c>
      <c r="O1100" s="21">
        <v>3170.45</v>
      </c>
      <c r="P1100" s="19" t="s">
        <v>6</v>
      </c>
      <c r="Q1100" s="23">
        <v>5</v>
      </c>
      <c r="R1100" s="45">
        <v>3.4</v>
      </c>
    </row>
    <row r="1101" spans="2:18" x14ac:dyDescent="0.2">
      <c r="B1101" s="25">
        <v>1098</v>
      </c>
      <c r="C1101" s="18">
        <v>44928</v>
      </c>
      <c r="D1101" s="24">
        <f t="shared" si="85"/>
        <v>2023</v>
      </c>
      <c r="E1101" s="24" t="str">
        <f t="shared" si="86"/>
        <v>Q1</v>
      </c>
      <c r="F1101" s="24" t="str">
        <f t="shared" si="87"/>
        <v>Jan</v>
      </c>
      <c r="G1101" s="24">
        <f t="shared" si="88"/>
        <v>1</v>
      </c>
      <c r="H1101" s="19">
        <v>1737</v>
      </c>
      <c r="I1101" s="19" t="s">
        <v>10</v>
      </c>
      <c r="J1101" s="19" t="s">
        <v>5</v>
      </c>
      <c r="K1101" s="20">
        <v>4</v>
      </c>
      <c r="L1101" s="21">
        <v>170.3</v>
      </c>
      <c r="M1101" s="22">
        <v>0</v>
      </c>
      <c r="N1101" s="21">
        <f t="shared" si="89"/>
        <v>170.3</v>
      </c>
      <c r="O1101" s="21">
        <v>681.2</v>
      </c>
      <c r="P1101" s="19" t="s">
        <v>2</v>
      </c>
      <c r="Q1101" s="23">
        <v>2</v>
      </c>
      <c r="R1101" s="45">
        <v>4.9000000000000004</v>
      </c>
    </row>
    <row r="1102" spans="2:18" x14ac:dyDescent="0.2">
      <c r="B1102" s="25">
        <v>1099</v>
      </c>
      <c r="C1102" s="18">
        <v>44929</v>
      </c>
      <c r="D1102" s="24">
        <f t="shared" si="85"/>
        <v>2023</v>
      </c>
      <c r="E1102" s="24" t="str">
        <f t="shared" si="86"/>
        <v>Q1</v>
      </c>
      <c r="F1102" s="24" t="str">
        <f t="shared" si="87"/>
        <v>Jan</v>
      </c>
      <c r="G1102" s="24">
        <f t="shared" si="88"/>
        <v>1</v>
      </c>
      <c r="H1102" s="19">
        <v>1805</v>
      </c>
      <c r="I1102" s="19" t="s">
        <v>7</v>
      </c>
      <c r="J1102" s="19" t="s">
        <v>8</v>
      </c>
      <c r="K1102" s="20">
        <v>6</v>
      </c>
      <c r="L1102" s="21">
        <v>137.11000000000001</v>
      </c>
      <c r="M1102" s="22">
        <v>0.1</v>
      </c>
      <c r="N1102" s="21">
        <f t="shared" si="89"/>
        <v>123.39900000000002</v>
      </c>
      <c r="O1102" s="21">
        <v>740.39</v>
      </c>
      <c r="P1102" s="19" t="s">
        <v>4</v>
      </c>
      <c r="Q1102" s="23">
        <v>2</v>
      </c>
      <c r="R1102" s="45">
        <v>1.2</v>
      </c>
    </row>
    <row r="1103" spans="2:18" x14ac:dyDescent="0.2">
      <c r="B1103" s="25">
        <v>1100</v>
      </c>
      <c r="C1103" s="18">
        <v>44930</v>
      </c>
      <c r="D1103" s="24">
        <f t="shared" si="85"/>
        <v>2023</v>
      </c>
      <c r="E1103" s="24" t="str">
        <f t="shared" si="86"/>
        <v>Q1</v>
      </c>
      <c r="F1103" s="24" t="str">
        <f t="shared" si="87"/>
        <v>Jan</v>
      </c>
      <c r="G1103" s="24">
        <f t="shared" si="88"/>
        <v>1</v>
      </c>
      <c r="H1103" s="19">
        <v>1305</v>
      </c>
      <c r="I1103" s="19" t="s">
        <v>7</v>
      </c>
      <c r="J1103" s="19" t="s">
        <v>1</v>
      </c>
      <c r="K1103" s="20">
        <v>1</v>
      </c>
      <c r="L1103" s="21">
        <v>567.4</v>
      </c>
      <c r="M1103" s="22">
        <v>0</v>
      </c>
      <c r="N1103" s="21">
        <f t="shared" si="89"/>
        <v>567.4</v>
      </c>
      <c r="O1103" s="21">
        <v>567.4</v>
      </c>
      <c r="P1103" s="19" t="s">
        <v>4</v>
      </c>
      <c r="Q1103" s="23">
        <v>10</v>
      </c>
      <c r="R1103" s="45">
        <v>1.2</v>
      </c>
    </row>
    <row r="1104" spans="2:18" x14ac:dyDescent="0.2">
      <c r="B1104" s="25">
        <v>1101</v>
      </c>
      <c r="C1104" s="18">
        <v>44931</v>
      </c>
      <c r="D1104" s="24">
        <f t="shared" si="85"/>
        <v>2023</v>
      </c>
      <c r="E1104" s="24" t="str">
        <f t="shared" si="86"/>
        <v>Q1</v>
      </c>
      <c r="F1104" s="24" t="str">
        <f t="shared" si="87"/>
        <v>Jan</v>
      </c>
      <c r="G1104" s="24">
        <f t="shared" si="88"/>
        <v>1</v>
      </c>
      <c r="H1104" s="19">
        <v>1097</v>
      </c>
      <c r="I1104" s="19" t="s">
        <v>3</v>
      </c>
      <c r="J1104" s="19" t="s">
        <v>9</v>
      </c>
      <c r="K1104" s="20">
        <v>4</v>
      </c>
      <c r="L1104" s="21">
        <v>26.29</v>
      </c>
      <c r="M1104" s="22">
        <v>0.08</v>
      </c>
      <c r="N1104" s="21">
        <f t="shared" si="89"/>
        <v>24.186799999999998</v>
      </c>
      <c r="O1104" s="21">
        <v>96.75</v>
      </c>
      <c r="P1104" s="19" t="s">
        <v>6</v>
      </c>
      <c r="Q1104" s="23">
        <v>1</v>
      </c>
      <c r="R1104" s="45">
        <v>3.1</v>
      </c>
    </row>
    <row r="1105" spans="2:18" x14ac:dyDescent="0.2">
      <c r="B1105" s="25">
        <v>1102</v>
      </c>
      <c r="C1105" s="18">
        <v>44932</v>
      </c>
      <c r="D1105" s="24">
        <f t="shared" si="85"/>
        <v>2023</v>
      </c>
      <c r="E1105" s="24" t="str">
        <f t="shared" si="86"/>
        <v>Q1</v>
      </c>
      <c r="F1105" s="24" t="str">
        <f t="shared" si="87"/>
        <v>Jan</v>
      </c>
      <c r="G1105" s="24">
        <f t="shared" si="88"/>
        <v>1</v>
      </c>
      <c r="H1105" s="19">
        <v>1849</v>
      </c>
      <c r="I1105" s="19" t="s">
        <v>7</v>
      </c>
      <c r="J1105" s="19" t="s">
        <v>8</v>
      </c>
      <c r="K1105" s="20">
        <v>2</v>
      </c>
      <c r="L1105" s="21">
        <v>579.75</v>
      </c>
      <c r="M1105" s="22">
        <v>0.15</v>
      </c>
      <c r="N1105" s="21">
        <f t="shared" si="89"/>
        <v>492.78750000000002</v>
      </c>
      <c r="O1105" s="21">
        <v>985.58</v>
      </c>
      <c r="P1105" s="19" t="s">
        <v>4</v>
      </c>
      <c r="Q1105" s="23">
        <v>2</v>
      </c>
      <c r="R1105" s="45">
        <v>2.2000000000000002</v>
      </c>
    </row>
    <row r="1106" spans="2:18" x14ac:dyDescent="0.2">
      <c r="B1106" s="25">
        <v>1103</v>
      </c>
      <c r="C1106" s="18">
        <v>44933</v>
      </c>
      <c r="D1106" s="24">
        <f t="shared" si="85"/>
        <v>2023</v>
      </c>
      <c r="E1106" s="24" t="str">
        <f t="shared" si="86"/>
        <v>Q1</v>
      </c>
      <c r="F1106" s="24" t="str">
        <f t="shared" si="87"/>
        <v>Jan</v>
      </c>
      <c r="G1106" s="24">
        <f t="shared" si="88"/>
        <v>1</v>
      </c>
      <c r="H1106" s="19">
        <v>1797</v>
      </c>
      <c r="I1106" s="19" t="s">
        <v>7</v>
      </c>
      <c r="J1106" s="19" t="s">
        <v>1</v>
      </c>
      <c r="K1106" s="20">
        <v>4</v>
      </c>
      <c r="L1106" s="21">
        <v>102.32</v>
      </c>
      <c r="M1106" s="22">
        <v>0.04</v>
      </c>
      <c r="N1106" s="21">
        <f t="shared" si="89"/>
        <v>98.227199999999996</v>
      </c>
      <c r="O1106" s="21">
        <v>392.91</v>
      </c>
      <c r="P1106" s="19" t="s">
        <v>4</v>
      </c>
      <c r="Q1106" s="23">
        <v>11</v>
      </c>
      <c r="R1106" s="45">
        <v>3.3</v>
      </c>
    </row>
    <row r="1107" spans="2:18" x14ac:dyDescent="0.2">
      <c r="B1107" s="25">
        <v>1104</v>
      </c>
      <c r="C1107" s="18">
        <v>44934</v>
      </c>
      <c r="D1107" s="24">
        <f t="shared" si="85"/>
        <v>2023</v>
      </c>
      <c r="E1107" s="24" t="str">
        <f t="shared" si="86"/>
        <v>Q1</v>
      </c>
      <c r="F1107" s="24" t="str">
        <f t="shared" si="87"/>
        <v>Jan</v>
      </c>
      <c r="G1107" s="24">
        <f t="shared" si="88"/>
        <v>1</v>
      </c>
      <c r="H1107" s="19">
        <v>1334</v>
      </c>
      <c r="I1107" s="19" t="s">
        <v>10</v>
      </c>
      <c r="J1107" s="19" t="s">
        <v>5</v>
      </c>
      <c r="K1107" s="20">
        <v>2</v>
      </c>
      <c r="L1107" s="21">
        <v>494.37</v>
      </c>
      <c r="M1107" s="22">
        <v>0.04</v>
      </c>
      <c r="N1107" s="21">
        <f t="shared" si="89"/>
        <v>474.59519999999998</v>
      </c>
      <c r="O1107" s="21">
        <v>949.19</v>
      </c>
      <c r="P1107" s="19" t="s">
        <v>4</v>
      </c>
      <c r="Q1107" s="23">
        <v>7</v>
      </c>
      <c r="R1107" s="45">
        <v>3.9</v>
      </c>
    </row>
    <row r="1108" spans="2:18" x14ac:dyDescent="0.2">
      <c r="B1108" s="25">
        <v>1105</v>
      </c>
      <c r="C1108" s="18">
        <v>44935</v>
      </c>
      <c r="D1108" s="24">
        <f t="shared" si="85"/>
        <v>2023</v>
      </c>
      <c r="E1108" s="24" t="str">
        <f t="shared" si="86"/>
        <v>Q1</v>
      </c>
      <c r="F1108" s="24" t="str">
        <f t="shared" si="87"/>
        <v>Jan</v>
      </c>
      <c r="G1108" s="24">
        <f t="shared" si="88"/>
        <v>1</v>
      </c>
      <c r="H1108" s="19">
        <v>1858</v>
      </c>
      <c r="I1108" s="19" t="s">
        <v>7</v>
      </c>
      <c r="J1108" s="19" t="s">
        <v>9</v>
      </c>
      <c r="K1108" s="20">
        <v>3</v>
      </c>
      <c r="L1108" s="21">
        <v>176.41</v>
      </c>
      <c r="M1108" s="22">
        <v>0.31</v>
      </c>
      <c r="N1108" s="21">
        <f t="shared" si="89"/>
        <v>121.7229</v>
      </c>
      <c r="O1108" s="21">
        <v>365.17</v>
      </c>
      <c r="P1108" s="19" t="s">
        <v>4</v>
      </c>
      <c r="Q1108" s="23">
        <v>1</v>
      </c>
      <c r="R1108" s="45">
        <v>1.3</v>
      </c>
    </row>
    <row r="1109" spans="2:18" x14ac:dyDescent="0.2">
      <c r="B1109" s="25">
        <v>1106</v>
      </c>
      <c r="C1109" s="18">
        <v>44936</v>
      </c>
      <c r="D1109" s="24">
        <f t="shared" si="85"/>
        <v>2023</v>
      </c>
      <c r="E1109" s="24" t="str">
        <f t="shared" si="86"/>
        <v>Q1</v>
      </c>
      <c r="F1109" s="24" t="str">
        <f t="shared" si="87"/>
        <v>Jan</v>
      </c>
      <c r="G1109" s="24">
        <f t="shared" si="88"/>
        <v>1</v>
      </c>
      <c r="H1109" s="19">
        <v>1434</v>
      </c>
      <c r="I1109" s="19" t="s">
        <v>3</v>
      </c>
      <c r="J1109" s="19" t="s">
        <v>9</v>
      </c>
      <c r="K1109" s="20">
        <v>1</v>
      </c>
      <c r="L1109" s="21">
        <v>220.16</v>
      </c>
      <c r="M1109" s="22">
        <v>0.2</v>
      </c>
      <c r="N1109" s="21">
        <f t="shared" si="89"/>
        <v>176.12799999999999</v>
      </c>
      <c r="O1109" s="21">
        <v>176.13</v>
      </c>
      <c r="P1109" s="19" t="s">
        <v>2</v>
      </c>
      <c r="Q1109" s="23">
        <v>1</v>
      </c>
      <c r="R1109" s="45">
        <v>4.5</v>
      </c>
    </row>
    <row r="1110" spans="2:18" x14ac:dyDescent="0.2">
      <c r="B1110" s="25">
        <v>1107</v>
      </c>
      <c r="C1110" s="18">
        <v>44937</v>
      </c>
      <c r="D1110" s="24">
        <f t="shared" si="85"/>
        <v>2023</v>
      </c>
      <c r="E1110" s="24" t="str">
        <f t="shared" si="86"/>
        <v>Q1</v>
      </c>
      <c r="F1110" s="24" t="str">
        <f t="shared" si="87"/>
        <v>Jan</v>
      </c>
      <c r="G1110" s="24">
        <f t="shared" si="88"/>
        <v>1</v>
      </c>
      <c r="H1110" s="19">
        <v>1446</v>
      </c>
      <c r="I1110" s="19" t="s">
        <v>7</v>
      </c>
      <c r="J1110" s="19" t="s">
        <v>5</v>
      </c>
      <c r="K1110" s="20">
        <v>1</v>
      </c>
      <c r="L1110" s="21">
        <v>141.80000000000001</v>
      </c>
      <c r="M1110" s="22">
        <v>0.33</v>
      </c>
      <c r="N1110" s="21">
        <f t="shared" si="89"/>
        <v>95.006</v>
      </c>
      <c r="O1110" s="21">
        <v>95.01</v>
      </c>
      <c r="P1110" s="19" t="s">
        <v>6</v>
      </c>
      <c r="Q1110" s="23">
        <v>9</v>
      </c>
      <c r="R1110" s="45">
        <v>2.1</v>
      </c>
    </row>
    <row r="1111" spans="2:18" x14ac:dyDescent="0.2">
      <c r="B1111" s="25">
        <v>1108</v>
      </c>
      <c r="C1111" s="18">
        <v>44938</v>
      </c>
      <c r="D1111" s="24">
        <f t="shared" si="85"/>
        <v>2023</v>
      </c>
      <c r="E1111" s="24" t="str">
        <f t="shared" si="86"/>
        <v>Q1</v>
      </c>
      <c r="F1111" s="24" t="str">
        <f t="shared" si="87"/>
        <v>Jan</v>
      </c>
      <c r="G1111" s="24">
        <f t="shared" si="88"/>
        <v>1</v>
      </c>
      <c r="H1111" s="19">
        <v>1993</v>
      </c>
      <c r="I1111" s="19" t="s">
        <v>7</v>
      </c>
      <c r="J1111" s="19" t="s">
        <v>5</v>
      </c>
      <c r="K1111" s="20">
        <v>7</v>
      </c>
      <c r="L1111" s="21">
        <v>357.53</v>
      </c>
      <c r="M1111" s="22">
        <v>0.12</v>
      </c>
      <c r="N1111" s="21">
        <f t="shared" si="89"/>
        <v>314.62639999999999</v>
      </c>
      <c r="O1111" s="21">
        <v>2202.38</v>
      </c>
      <c r="P1111" s="19" t="s">
        <v>4</v>
      </c>
      <c r="Q1111" s="23">
        <v>2</v>
      </c>
      <c r="R1111" s="45">
        <v>2.5</v>
      </c>
    </row>
    <row r="1112" spans="2:18" x14ac:dyDescent="0.2">
      <c r="B1112" s="25">
        <v>1109</v>
      </c>
      <c r="C1112" s="18">
        <v>44939</v>
      </c>
      <c r="D1112" s="24">
        <f t="shared" si="85"/>
        <v>2023</v>
      </c>
      <c r="E1112" s="24" t="str">
        <f t="shared" si="86"/>
        <v>Q1</v>
      </c>
      <c r="F1112" s="24" t="str">
        <f t="shared" si="87"/>
        <v>Jan</v>
      </c>
      <c r="G1112" s="24">
        <f t="shared" si="88"/>
        <v>1</v>
      </c>
      <c r="H1112" s="19">
        <v>1307</v>
      </c>
      <c r="I1112" s="19" t="s">
        <v>3</v>
      </c>
      <c r="J1112" s="19" t="s">
        <v>9</v>
      </c>
      <c r="K1112" s="20">
        <v>6</v>
      </c>
      <c r="L1112" s="21">
        <v>218.64</v>
      </c>
      <c r="M1112" s="22">
        <v>0.24</v>
      </c>
      <c r="N1112" s="21">
        <f t="shared" si="89"/>
        <v>166.16639999999998</v>
      </c>
      <c r="O1112" s="21">
        <v>997</v>
      </c>
      <c r="P1112" s="19" t="s">
        <v>6</v>
      </c>
      <c r="Q1112" s="23">
        <v>11</v>
      </c>
      <c r="R1112" s="45">
        <v>2.2999999999999998</v>
      </c>
    </row>
    <row r="1113" spans="2:18" x14ac:dyDescent="0.2">
      <c r="B1113" s="25">
        <v>1110</v>
      </c>
      <c r="C1113" s="18">
        <v>44940</v>
      </c>
      <c r="D1113" s="24">
        <f t="shared" si="85"/>
        <v>2023</v>
      </c>
      <c r="E1113" s="24" t="str">
        <f t="shared" si="86"/>
        <v>Q1</v>
      </c>
      <c r="F1113" s="24" t="str">
        <f t="shared" si="87"/>
        <v>Jan</v>
      </c>
      <c r="G1113" s="24">
        <f t="shared" si="88"/>
        <v>1</v>
      </c>
      <c r="H1113" s="19">
        <v>1248</v>
      </c>
      <c r="I1113" s="19" t="s">
        <v>10</v>
      </c>
      <c r="J1113" s="19" t="s">
        <v>8</v>
      </c>
      <c r="K1113" s="20">
        <v>6</v>
      </c>
      <c r="L1113" s="21">
        <v>399.57</v>
      </c>
      <c r="M1113" s="22">
        <v>7.0000000000000007E-2</v>
      </c>
      <c r="N1113" s="21">
        <f t="shared" si="89"/>
        <v>371.6001</v>
      </c>
      <c r="O1113" s="21">
        <v>2229.6</v>
      </c>
      <c r="P1113" s="19" t="s">
        <v>2</v>
      </c>
      <c r="Q1113" s="23">
        <v>4</v>
      </c>
      <c r="R1113" s="45">
        <v>4.4000000000000004</v>
      </c>
    </row>
    <row r="1114" spans="2:18" x14ac:dyDescent="0.2">
      <c r="B1114" s="25">
        <v>1111</v>
      </c>
      <c r="C1114" s="18">
        <v>44941</v>
      </c>
      <c r="D1114" s="24">
        <f t="shared" si="85"/>
        <v>2023</v>
      </c>
      <c r="E1114" s="24" t="str">
        <f t="shared" si="86"/>
        <v>Q1</v>
      </c>
      <c r="F1114" s="24" t="str">
        <f t="shared" si="87"/>
        <v>Jan</v>
      </c>
      <c r="G1114" s="24">
        <f t="shared" si="88"/>
        <v>1</v>
      </c>
      <c r="H1114" s="19">
        <v>1165</v>
      </c>
      <c r="I1114" s="19" t="s">
        <v>3</v>
      </c>
      <c r="J1114" s="19" t="s">
        <v>9</v>
      </c>
      <c r="K1114" s="20">
        <v>5</v>
      </c>
      <c r="L1114" s="21">
        <v>24.15</v>
      </c>
      <c r="M1114" s="22">
        <v>0.22</v>
      </c>
      <c r="N1114" s="21">
        <f t="shared" si="89"/>
        <v>18.837</v>
      </c>
      <c r="O1114" s="21">
        <v>94.18</v>
      </c>
      <c r="P1114" s="19" t="s">
        <v>4</v>
      </c>
      <c r="Q1114" s="23">
        <v>11</v>
      </c>
      <c r="R1114" s="45">
        <v>1.7</v>
      </c>
    </row>
    <row r="1115" spans="2:18" x14ac:dyDescent="0.2">
      <c r="B1115" s="25">
        <v>1112</v>
      </c>
      <c r="C1115" s="18">
        <v>44942</v>
      </c>
      <c r="D1115" s="24">
        <f t="shared" si="85"/>
        <v>2023</v>
      </c>
      <c r="E1115" s="24" t="str">
        <f t="shared" si="86"/>
        <v>Q1</v>
      </c>
      <c r="F1115" s="24" t="str">
        <f t="shared" si="87"/>
        <v>Jan</v>
      </c>
      <c r="G1115" s="24">
        <f t="shared" si="88"/>
        <v>1</v>
      </c>
      <c r="H1115" s="19">
        <v>1480</v>
      </c>
      <c r="I1115" s="19" t="s">
        <v>10</v>
      </c>
      <c r="J1115" s="19" t="s">
        <v>5</v>
      </c>
      <c r="K1115" s="20">
        <v>3</v>
      </c>
      <c r="L1115" s="21">
        <v>52.66</v>
      </c>
      <c r="M1115" s="22">
        <v>0.05</v>
      </c>
      <c r="N1115" s="21">
        <f t="shared" si="89"/>
        <v>50.026999999999994</v>
      </c>
      <c r="O1115" s="21">
        <v>150.08000000000001</v>
      </c>
      <c r="P1115" s="19" t="s">
        <v>4</v>
      </c>
      <c r="Q1115" s="23">
        <v>3</v>
      </c>
      <c r="R1115" s="45">
        <v>1.1000000000000001</v>
      </c>
    </row>
    <row r="1116" spans="2:18" x14ac:dyDescent="0.2">
      <c r="B1116" s="25">
        <v>1113</v>
      </c>
      <c r="C1116" s="18">
        <v>44943</v>
      </c>
      <c r="D1116" s="24">
        <f t="shared" si="85"/>
        <v>2023</v>
      </c>
      <c r="E1116" s="24" t="str">
        <f t="shared" si="86"/>
        <v>Q1</v>
      </c>
      <c r="F1116" s="24" t="str">
        <f t="shared" si="87"/>
        <v>Jan</v>
      </c>
      <c r="G1116" s="24">
        <f t="shared" si="88"/>
        <v>1</v>
      </c>
      <c r="H1116" s="19">
        <v>1983</v>
      </c>
      <c r="I1116" s="19" t="s">
        <v>7</v>
      </c>
      <c r="J1116" s="19" t="s">
        <v>8</v>
      </c>
      <c r="K1116" s="20">
        <v>7</v>
      </c>
      <c r="L1116" s="21">
        <v>73.3</v>
      </c>
      <c r="M1116" s="22">
        <v>0</v>
      </c>
      <c r="N1116" s="21">
        <f t="shared" si="89"/>
        <v>73.3</v>
      </c>
      <c r="O1116" s="21">
        <v>513.1</v>
      </c>
      <c r="P1116" s="19" t="s">
        <v>2</v>
      </c>
      <c r="Q1116" s="23">
        <v>11</v>
      </c>
      <c r="R1116" s="45">
        <v>4.9000000000000004</v>
      </c>
    </row>
    <row r="1117" spans="2:18" x14ac:dyDescent="0.2">
      <c r="B1117" s="25">
        <v>1114</v>
      </c>
      <c r="C1117" s="18">
        <v>44944</v>
      </c>
      <c r="D1117" s="24">
        <f t="shared" si="85"/>
        <v>2023</v>
      </c>
      <c r="E1117" s="24" t="str">
        <f t="shared" si="86"/>
        <v>Q1</v>
      </c>
      <c r="F1117" s="24" t="str">
        <f t="shared" si="87"/>
        <v>Jan</v>
      </c>
      <c r="G1117" s="24">
        <f t="shared" si="88"/>
        <v>1</v>
      </c>
      <c r="H1117" s="19">
        <v>1334</v>
      </c>
      <c r="I1117" s="19" t="s">
        <v>10</v>
      </c>
      <c r="J1117" s="19" t="s">
        <v>1</v>
      </c>
      <c r="K1117" s="20">
        <v>6</v>
      </c>
      <c r="L1117" s="21">
        <v>260.11</v>
      </c>
      <c r="M1117" s="22">
        <v>0.33</v>
      </c>
      <c r="N1117" s="21">
        <f t="shared" si="89"/>
        <v>174.27370000000002</v>
      </c>
      <c r="O1117" s="21">
        <v>1045.6400000000001</v>
      </c>
      <c r="P1117" s="19" t="s">
        <v>2</v>
      </c>
      <c r="Q1117" s="23">
        <v>4</v>
      </c>
      <c r="R1117" s="45">
        <v>4.9000000000000004</v>
      </c>
    </row>
    <row r="1118" spans="2:18" x14ac:dyDescent="0.2">
      <c r="B1118" s="25">
        <v>1115</v>
      </c>
      <c r="C1118" s="18">
        <v>44945</v>
      </c>
      <c r="D1118" s="24">
        <f t="shared" si="85"/>
        <v>2023</v>
      </c>
      <c r="E1118" s="24" t="str">
        <f t="shared" si="86"/>
        <v>Q1</v>
      </c>
      <c r="F1118" s="24" t="str">
        <f t="shared" si="87"/>
        <v>Jan</v>
      </c>
      <c r="G1118" s="24">
        <f t="shared" si="88"/>
        <v>1</v>
      </c>
      <c r="H1118" s="19">
        <v>1541</v>
      </c>
      <c r="I1118" s="19" t="s">
        <v>7</v>
      </c>
      <c r="J1118" s="19" t="s">
        <v>9</v>
      </c>
      <c r="K1118" s="20">
        <v>2</v>
      </c>
      <c r="L1118" s="21">
        <v>491.66</v>
      </c>
      <c r="M1118" s="22">
        <v>0.19</v>
      </c>
      <c r="N1118" s="21">
        <f t="shared" si="89"/>
        <v>398.24459999999999</v>
      </c>
      <c r="O1118" s="21">
        <v>796.49</v>
      </c>
      <c r="P1118" s="19" t="s">
        <v>4</v>
      </c>
      <c r="Q1118" s="23">
        <v>11</v>
      </c>
      <c r="R1118" s="45">
        <v>2</v>
      </c>
    </row>
    <row r="1119" spans="2:18" x14ac:dyDescent="0.2">
      <c r="B1119" s="25">
        <v>1116</v>
      </c>
      <c r="C1119" s="18">
        <v>44946</v>
      </c>
      <c r="D1119" s="24">
        <f t="shared" si="85"/>
        <v>2023</v>
      </c>
      <c r="E1119" s="24" t="str">
        <f t="shared" si="86"/>
        <v>Q1</v>
      </c>
      <c r="F1119" s="24" t="str">
        <f t="shared" si="87"/>
        <v>Jan</v>
      </c>
      <c r="G1119" s="24">
        <f t="shared" si="88"/>
        <v>1</v>
      </c>
      <c r="H1119" s="19">
        <v>1758</v>
      </c>
      <c r="I1119" s="19" t="s">
        <v>10</v>
      </c>
      <c r="J1119" s="19" t="s">
        <v>5</v>
      </c>
      <c r="K1119" s="20">
        <v>3</v>
      </c>
      <c r="L1119" s="21">
        <v>534.58000000000004</v>
      </c>
      <c r="M1119" s="22">
        <v>0.32</v>
      </c>
      <c r="N1119" s="21">
        <f t="shared" si="89"/>
        <v>363.51440000000002</v>
      </c>
      <c r="O1119" s="21">
        <v>1090.54</v>
      </c>
      <c r="P1119" s="19" t="s">
        <v>4</v>
      </c>
      <c r="Q1119" s="23">
        <v>11</v>
      </c>
      <c r="R1119" s="45">
        <v>1</v>
      </c>
    </row>
    <row r="1120" spans="2:18" x14ac:dyDescent="0.2">
      <c r="B1120" s="25">
        <v>1117</v>
      </c>
      <c r="C1120" s="18">
        <v>44947</v>
      </c>
      <c r="D1120" s="24">
        <f t="shared" si="85"/>
        <v>2023</v>
      </c>
      <c r="E1120" s="24" t="str">
        <f t="shared" si="86"/>
        <v>Q1</v>
      </c>
      <c r="F1120" s="24" t="str">
        <f t="shared" si="87"/>
        <v>Jan</v>
      </c>
      <c r="G1120" s="24">
        <f t="shared" si="88"/>
        <v>1</v>
      </c>
      <c r="H1120" s="19">
        <v>1105</v>
      </c>
      <c r="I1120" s="19" t="s">
        <v>3</v>
      </c>
      <c r="J1120" s="19" t="s">
        <v>1</v>
      </c>
      <c r="K1120" s="20">
        <v>1</v>
      </c>
      <c r="L1120" s="21">
        <v>158.21</v>
      </c>
      <c r="M1120" s="22">
        <v>0.12</v>
      </c>
      <c r="N1120" s="21">
        <f t="shared" si="89"/>
        <v>139.22480000000002</v>
      </c>
      <c r="O1120" s="21">
        <v>139.22</v>
      </c>
      <c r="P1120" s="19" t="s">
        <v>4</v>
      </c>
      <c r="Q1120" s="23">
        <v>7</v>
      </c>
      <c r="R1120" s="45">
        <v>3.6</v>
      </c>
    </row>
    <row r="1121" spans="2:18" x14ac:dyDescent="0.2">
      <c r="B1121" s="25">
        <v>1118</v>
      </c>
      <c r="C1121" s="18">
        <v>44948</v>
      </c>
      <c r="D1121" s="24">
        <f t="shared" si="85"/>
        <v>2023</v>
      </c>
      <c r="E1121" s="24" t="str">
        <f t="shared" si="86"/>
        <v>Q1</v>
      </c>
      <c r="F1121" s="24" t="str">
        <f t="shared" si="87"/>
        <v>Jan</v>
      </c>
      <c r="G1121" s="24">
        <f t="shared" si="88"/>
        <v>1</v>
      </c>
      <c r="H1121" s="19">
        <v>1562</v>
      </c>
      <c r="I1121" s="19" t="s">
        <v>0</v>
      </c>
      <c r="J1121" s="19" t="s">
        <v>9</v>
      </c>
      <c r="K1121" s="20">
        <v>2</v>
      </c>
      <c r="L1121" s="21">
        <v>351.01</v>
      </c>
      <c r="M1121" s="22">
        <v>0.11</v>
      </c>
      <c r="N1121" s="21">
        <f t="shared" si="89"/>
        <v>312.39889999999997</v>
      </c>
      <c r="O1121" s="21">
        <v>624.79999999999995</v>
      </c>
      <c r="P1121" s="19" t="s">
        <v>4</v>
      </c>
      <c r="Q1121" s="23">
        <v>10</v>
      </c>
      <c r="R1121" s="45">
        <v>3.6</v>
      </c>
    </row>
    <row r="1122" spans="2:18" x14ac:dyDescent="0.2">
      <c r="B1122" s="25">
        <v>1119</v>
      </c>
      <c r="C1122" s="18">
        <v>44949</v>
      </c>
      <c r="D1122" s="24">
        <f t="shared" si="85"/>
        <v>2023</v>
      </c>
      <c r="E1122" s="24" t="str">
        <f t="shared" si="86"/>
        <v>Q1</v>
      </c>
      <c r="F1122" s="24" t="str">
        <f t="shared" si="87"/>
        <v>Jan</v>
      </c>
      <c r="G1122" s="24">
        <f t="shared" si="88"/>
        <v>1</v>
      </c>
      <c r="H1122" s="19">
        <v>1080</v>
      </c>
      <c r="I1122" s="19" t="s">
        <v>3</v>
      </c>
      <c r="J1122" s="19" t="s">
        <v>9</v>
      </c>
      <c r="K1122" s="20">
        <v>7</v>
      </c>
      <c r="L1122" s="21">
        <v>464.49</v>
      </c>
      <c r="M1122" s="22">
        <v>0.14000000000000001</v>
      </c>
      <c r="N1122" s="21">
        <f t="shared" si="89"/>
        <v>399.46140000000003</v>
      </c>
      <c r="O1122" s="21">
        <v>2796.23</v>
      </c>
      <c r="P1122" s="19" t="s">
        <v>6</v>
      </c>
      <c r="Q1122" s="23">
        <v>2</v>
      </c>
      <c r="R1122" s="45">
        <v>4.8</v>
      </c>
    </row>
    <row r="1123" spans="2:18" x14ac:dyDescent="0.2">
      <c r="B1123" s="25">
        <v>1120</v>
      </c>
      <c r="C1123" s="18">
        <v>44950</v>
      </c>
      <c r="D1123" s="24">
        <f t="shared" si="85"/>
        <v>2023</v>
      </c>
      <c r="E1123" s="24" t="str">
        <f t="shared" si="86"/>
        <v>Q1</v>
      </c>
      <c r="F1123" s="24" t="str">
        <f t="shared" si="87"/>
        <v>Jan</v>
      </c>
      <c r="G1123" s="24">
        <f t="shared" si="88"/>
        <v>1</v>
      </c>
      <c r="H1123" s="19">
        <v>1132</v>
      </c>
      <c r="I1123" s="19" t="s">
        <v>7</v>
      </c>
      <c r="J1123" s="19" t="s">
        <v>8</v>
      </c>
      <c r="K1123" s="20">
        <v>7</v>
      </c>
      <c r="L1123" s="21">
        <v>183.97</v>
      </c>
      <c r="M1123" s="22">
        <v>0.25</v>
      </c>
      <c r="N1123" s="21">
        <f t="shared" si="89"/>
        <v>137.97749999999999</v>
      </c>
      <c r="O1123" s="21">
        <v>965.84</v>
      </c>
      <c r="P1123" s="19" t="s">
        <v>4</v>
      </c>
      <c r="Q1123" s="23">
        <v>2</v>
      </c>
      <c r="R1123" s="45">
        <v>2.2000000000000002</v>
      </c>
    </row>
    <row r="1124" spans="2:18" x14ac:dyDescent="0.2">
      <c r="B1124" s="25">
        <v>1121</v>
      </c>
      <c r="C1124" s="18">
        <v>44951</v>
      </c>
      <c r="D1124" s="24">
        <f t="shared" si="85"/>
        <v>2023</v>
      </c>
      <c r="E1124" s="24" t="str">
        <f t="shared" si="86"/>
        <v>Q1</v>
      </c>
      <c r="F1124" s="24" t="str">
        <f t="shared" si="87"/>
        <v>Jan</v>
      </c>
      <c r="G1124" s="24">
        <f t="shared" si="88"/>
        <v>1</v>
      </c>
      <c r="H1124" s="19">
        <v>1796</v>
      </c>
      <c r="I1124" s="19" t="s">
        <v>7</v>
      </c>
      <c r="J1124" s="19" t="s">
        <v>5</v>
      </c>
      <c r="K1124" s="20">
        <v>3</v>
      </c>
      <c r="L1124" s="21">
        <v>254.27</v>
      </c>
      <c r="M1124" s="22">
        <v>0.2</v>
      </c>
      <c r="N1124" s="21">
        <f t="shared" si="89"/>
        <v>203.416</v>
      </c>
      <c r="O1124" s="21">
        <v>610.25</v>
      </c>
      <c r="P1124" s="19" t="s">
        <v>4</v>
      </c>
      <c r="Q1124" s="23">
        <v>9</v>
      </c>
      <c r="R1124" s="45">
        <v>1.8</v>
      </c>
    </row>
    <row r="1125" spans="2:18" x14ac:dyDescent="0.2">
      <c r="B1125" s="25">
        <v>1122</v>
      </c>
      <c r="C1125" s="18">
        <v>44952</v>
      </c>
      <c r="D1125" s="24">
        <f t="shared" si="85"/>
        <v>2023</v>
      </c>
      <c r="E1125" s="24" t="str">
        <f t="shared" si="86"/>
        <v>Q1</v>
      </c>
      <c r="F1125" s="24" t="str">
        <f t="shared" si="87"/>
        <v>Jan</v>
      </c>
      <c r="G1125" s="24">
        <f t="shared" si="88"/>
        <v>1</v>
      </c>
      <c r="H1125" s="19">
        <v>1899</v>
      </c>
      <c r="I1125" s="19" t="s">
        <v>10</v>
      </c>
      <c r="J1125" s="19" t="s">
        <v>1</v>
      </c>
      <c r="K1125" s="20">
        <v>1</v>
      </c>
      <c r="L1125" s="21">
        <v>321.52</v>
      </c>
      <c r="M1125" s="22">
        <v>0.32</v>
      </c>
      <c r="N1125" s="21">
        <f t="shared" si="89"/>
        <v>218.6336</v>
      </c>
      <c r="O1125" s="21">
        <v>218.63</v>
      </c>
      <c r="P1125" s="19" t="s">
        <v>6</v>
      </c>
      <c r="Q1125" s="23">
        <v>6</v>
      </c>
      <c r="R1125" s="45">
        <v>3.5</v>
      </c>
    </row>
    <row r="1126" spans="2:18" x14ac:dyDescent="0.2">
      <c r="B1126" s="25">
        <v>1123</v>
      </c>
      <c r="C1126" s="18">
        <v>44953</v>
      </c>
      <c r="D1126" s="24">
        <f t="shared" si="85"/>
        <v>2023</v>
      </c>
      <c r="E1126" s="24" t="str">
        <f t="shared" si="86"/>
        <v>Q1</v>
      </c>
      <c r="F1126" s="24" t="str">
        <f t="shared" si="87"/>
        <v>Jan</v>
      </c>
      <c r="G1126" s="24">
        <f t="shared" si="88"/>
        <v>1</v>
      </c>
      <c r="H1126" s="19">
        <v>1137</v>
      </c>
      <c r="I1126" s="19" t="s">
        <v>3</v>
      </c>
      <c r="J1126" s="19" t="s">
        <v>9</v>
      </c>
      <c r="K1126" s="20">
        <v>6</v>
      </c>
      <c r="L1126" s="21">
        <v>93.9</v>
      </c>
      <c r="M1126" s="22">
        <v>0.01</v>
      </c>
      <c r="N1126" s="21">
        <f t="shared" si="89"/>
        <v>92.961000000000013</v>
      </c>
      <c r="O1126" s="21">
        <v>557.77</v>
      </c>
      <c r="P1126" s="19" t="s">
        <v>2</v>
      </c>
      <c r="Q1126" s="23">
        <v>11</v>
      </c>
      <c r="R1126" s="45">
        <v>3.3</v>
      </c>
    </row>
    <row r="1127" spans="2:18" x14ac:dyDescent="0.2">
      <c r="B1127" s="25">
        <v>1124</v>
      </c>
      <c r="C1127" s="18">
        <v>44954</v>
      </c>
      <c r="D1127" s="24">
        <f t="shared" si="85"/>
        <v>2023</v>
      </c>
      <c r="E1127" s="24" t="str">
        <f t="shared" si="86"/>
        <v>Q1</v>
      </c>
      <c r="F1127" s="24" t="str">
        <f t="shared" si="87"/>
        <v>Jan</v>
      </c>
      <c r="G1127" s="24">
        <f t="shared" si="88"/>
        <v>1</v>
      </c>
      <c r="H1127" s="19">
        <v>1183</v>
      </c>
      <c r="I1127" s="19" t="s">
        <v>10</v>
      </c>
      <c r="J1127" s="19" t="s">
        <v>8</v>
      </c>
      <c r="K1127" s="20">
        <v>2</v>
      </c>
      <c r="L1127" s="21">
        <v>30.2</v>
      </c>
      <c r="M1127" s="22">
        <v>0.25</v>
      </c>
      <c r="N1127" s="21">
        <f t="shared" si="89"/>
        <v>22.65</v>
      </c>
      <c r="O1127" s="21">
        <v>45.3</v>
      </c>
      <c r="P1127" s="19" t="s">
        <v>4</v>
      </c>
      <c r="Q1127" s="23">
        <v>7</v>
      </c>
      <c r="R1127" s="45">
        <v>3.9</v>
      </c>
    </row>
    <row r="1128" spans="2:18" x14ac:dyDescent="0.2">
      <c r="B1128" s="25">
        <v>1125</v>
      </c>
      <c r="C1128" s="18">
        <v>44955</v>
      </c>
      <c r="D1128" s="24">
        <f t="shared" si="85"/>
        <v>2023</v>
      </c>
      <c r="E1128" s="24" t="str">
        <f t="shared" si="86"/>
        <v>Q1</v>
      </c>
      <c r="F1128" s="24" t="str">
        <f t="shared" si="87"/>
        <v>Jan</v>
      </c>
      <c r="G1128" s="24">
        <f t="shared" si="88"/>
        <v>1</v>
      </c>
      <c r="H1128" s="19">
        <v>1400</v>
      </c>
      <c r="I1128" s="19" t="s">
        <v>7</v>
      </c>
      <c r="J1128" s="19" t="s">
        <v>1</v>
      </c>
      <c r="K1128" s="20">
        <v>2</v>
      </c>
      <c r="L1128" s="21">
        <v>104.39</v>
      </c>
      <c r="M1128" s="22">
        <v>0.12</v>
      </c>
      <c r="N1128" s="21">
        <f t="shared" si="89"/>
        <v>91.863200000000006</v>
      </c>
      <c r="O1128" s="21">
        <v>183.73</v>
      </c>
      <c r="P1128" s="19" t="s">
        <v>4</v>
      </c>
      <c r="Q1128" s="23">
        <v>5</v>
      </c>
      <c r="R1128" s="45">
        <v>4.5</v>
      </c>
    </row>
    <row r="1129" spans="2:18" x14ac:dyDescent="0.2">
      <c r="B1129" s="25">
        <v>1126</v>
      </c>
      <c r="C1129" s="18">
        <v>44956</v>
      </c>
      <c r="D1129" s="24">
        <f t="shared" si="85"/>
        <v>2023</v>
      </c>
      <c r="E1129" s="24" t="str">
        <f t="shared" si="86"/>
        <v>Q1</v>
      </c>
      <c r="F1129" s="24" t="str">
        <f t="shared" si="87"/>
        <v>Jan</v>
      </c>
      <c r="G1129" s="24">
        <f t="shared" si="88"/>
        <v>1</v>
      </c>
      <c r="H1129" s="19">
        <v>1329</v>
      </c>
      <c r="I1129" s="19" t="s">
        <v>7</v>
      </c>
      <c r="J1129" s="19" t="s">
        <v>1</v>
      </c>
      <c r="K1129" s="20">
        <v>1</v>
      </c>
      <c r="L1129" s="21">
        <v>381.71</v>
      </c>
      <c r="M1129" s="22">
        <v>0.06</v>
      </c>
      <c r="N1129" s="21">
        <f t="shared" si="89"/>
        <v>358.80739999999997</v>
      </c>
      <c r="O1129" s="21">
        <v>358.81</v>
      </c>
      <c r="P1129" s="19" t="s">
        <v>2</v>
      </c>
      <c r="Q1129" s="23">
        <v>5</v>
      </c>
      <c r="R1129" s="45">
        <v>3.2</v>
      </c>
    </row>
    <row r="1130" spans="2:18" x14ac:dyDescent="0.2">
      <c r="B1130" s="25">
        <v>1127</v>
      </c>
      <c r="C1130" s="18">
        <v>44957</v>
      </c>
      <c r="D1130" s="24">
        <f t="shared" si="85"/>
        <v>2023</v>
      </c>
      <c r="E1130" s="24" t="str">
        <f t="shared" si="86"/>
        <v>Q1</v>
      </c>
      <c r="F1130" s="24" t="str">
        <f t="shared" si="87"/>
        <v>Jan</v>
      </c>
      <c r="G1130" s="24">
        <f t="shared" si="88"/>
        <v>1</v>
      </c>
      <c r="H1130" s="19">
        <v>1784</v>
      </c>
      <c r="I1130" s="19" t="s">
        <v>7</v>
      </c>
      <c r="J1130" s="19" t="s">
        <v>9</v>
      </c>
      <c r="K1130" s="20">
        <v>2</v>
      </c>
      <c r="L1130" s="21">
        <v>58.07</v>
      </c>
      <c r="M1130" s="22">
        <v>0.18</v>
      </c>
      <c r="N1130" s="21">
        <f t="shared" si="89"/>
        <v>47.617400000000004</v>
      </c>
      <c r="O1130" s="21">
        <v>95.23</v>
      </c>
      <c r="P1130" s="19" t="s">
        <v>6</v>
      </c>
      <c r="Q1130" s="23">
        <v>4</v>
      </c>
      <c r="R1130" s="45">
        <v>1.6</v>
      </c>
    </row>
    <row r="1131" spans="2:18" x14ac:dyDescent="0.2">
      <c r="B1131" s="25">
        <v>1128</v>
      </c>
      <c r="C1131" s="18">
        <v>44958</v>
      </c>
      <c r="D1131" s="24">
        <f t="shared" si="85"/>
        <v>2023</v>
      </c>
      <c r="E1131" s="24" t="str">
        <f t="shared" si="86"/>
        <v>Q1</v>
      </c>
      <c r="F1131" s="24" t="str">
        <f t="shared" si="87"/>
        <v>Feb</v>
      </c>
      <c r="G1131" s="24">
        <f t="shared" si="88"/>
        <v>2</v>
      </c>
      <c r="H1131" s="19">
        <v>1507</v>
      </c>
      <c r="I1131" s="19" t="s">
        <v>0</v>
      </c>
      <c r="J1131" s="19" t="s">
        <v>1</v>
      </c>
      <c r="K1131" s="20">
        <v>6</v>
      </c>
      <c r="L1131" s="21">
        <v>125.97</v>
      </c>
      <c r="M1131" s="22">
        <v>0.18</v>
      </c>
      <c r="N1131" s="21">
        <f t="shared" si="89"/>
        <v>103.2954</v>
      </c>
      <c r="O1131" s="21">
        <v>619.77</v>
      </c>
      <c r="P1131" s="19" t="s">
        <v>4</v>
      </c>
      <c r="Q1131" s="23">
        <v>8</v>
      </c>
      <c r="R1131" s="45">
        <v>3.4</v>
      </c>
    </row>
    <row r="1132" spans="2:18" x14ac:dyDescent="0.2">
      <c r="B1132" s="25">
        <v>1129</v>
      </c>
      <c r="C1132" s="18">
        <v>44959</v>
      </c>
      <c r="D1132" s="24">
        <f t="shared" si="85"/>
        <v>2023</v>
      </c>
      <c r="E1132" s="24" t="str">
        <f t="shared" si="86"/>
        <v>Q1</v>
      </c>
      <c r="F1132" s="24" t="str">
        <f t="shared" si="87"/>
        <v>Feb</v>
      </c>
      <c r="G1132" s="24">
        <f t="shared" si="88"/>
        <v>2</v>
      </c>
      <c r="H1132" s="19">
        <v>1851</v>
      </c>
      <c r="I1132" s="19" t="s">
        <v>10</v>
      </c>
      <c r="J1132" s="19" t="s">
        <v>9</v>
      </c>
      <c r="K1132" s="20">
        <v>6</v>
      </c>
      <c r="L1132" s="21">
        <v>212.64</v>
      </c>
      <c r="M1132" s="22">
        <v>0.05</v>
      </c>
      <c r="N1132" s="21">
        <f t="shared" si="89"/>
        <v>202.00799999999998</v>
      </c>
      <c r="O1132" s="21">
        <v>1212.05</v>
      </c>
      <c r="P1132" s="19" t="s">
        <v>4</v>
      </c>
      <c r="Q1132" s="23">
        <v>7</v>
      </c>
      <c r="R1132" s="45">
        <v>2.5</v>
      </c>
    </row>
    <row r="1133" spans="2:18" x14ac:dyDescent="0.2">
      <c r="B1133" s="25">
        <v>1130</v>
      </c>
      <c r="C1133" s="18">
        <v>44960</v>
      </c>
      <c r="D1133" s="24">
        <f t="shared" si="85"/>
        <v>2023</v>
      </c>
      <c r="E1133" s="24" t="str">
        <f t="shared" si="86"/>
        <v>Q1</v>
      </c>
      <c r="F1133" s="24" t="str">
        <f t="shared" si="87"/>
        <v>Feb</v>
      </c>
      <c r="G1133" s="24">
        <f t="shared" si="88"/>
        <v>2</v>
      </c>
      <c r="H1133" s="19">
        <v>1983</v>
      </c>
      <c r="I1133" s="19" t="s">
        <v>0</v>
      </c>
      <c r="J1133" s="19" t="s">
        <v>8</v>
      </c>
      <c r="K1133" s="20">
        <v>6</v>
      </c>
      <c r="L1133" s="21">
        <v>60.55</v>
      </c>
      <c r="M1133" s="22">
        <v>7.0000000000000007E-2</v>
      </c>
      <c r="N1133" s="21">
        <f t="shared" si="89"/>
        <v>56.311499999999995</v>
      </c>
      <c r="O1133" s="21">
        <v>337.87</v>
      </c>
      <c r="P1133" s="19" t="s">
        <v>4</v>
      </c>
      <c r="Q1133" s="23">
        <v>10</v>
      </c>
      <c r="R1133" s="45">
        <v>2.8</v>
      </c>
    </row>
    <row r="1134" spans="2:18" x14ac:dyDescent="0.2">
      <c r="B1134" s="25">
        <v>1131</v>
      </c>
      <c r="C1134" s="18">
        <v>44961</v>
      </c>
      <c r="D1134" s="24">
        <f t="shared" si="85"/>
        <v>2023</v>
      </c>
      <c r="E1134" s="24" t="str">
        <f t="shared" si="86"/>
        <v>Q1</v>
      </c>
      <c r="F1134" s="24" t="str">
        <f t="shared" si="87"/>
        <v>Feb</v>
      </c>
      <c r="G1134" s="24">
        <f t="shared" si="88"/>
        <v>2</v>
      </c>
      <c r="H1134" s="19">
        <v>1068</v>
      </c>
      <c r="I1134" s="19" t="s">
        <v>7</v>
      </c>
      <c r="J1134" s="19" t="s">
        <v>8</v>
      </c>
      <c r="K1134" s="20">
        <v>1</v>
      </c>
      <c r="L1134" s="21">
        <v>127.14</v>
      </c>
      <c r="M1134" s="22">
        <v>0.14000000000000001</v>
      </c>
      <c r="N1134" s="21">
        <f t="shared" si="89"/>
        <v>109.3404</v>
      </c>
      <c r="O1134" s="21">
        <v>109.34</v>
      </c>
      <c r="P1134" s="19" t="s">
        <v>6</v>
      </c>
      <c r="Q1134" s="23">
        <v>2</v>
      </c>
      <c r="R1134" s="45">
        <v>4.8</v>
      </c>
    </row>
    <row r="1135" spans="2:18" x14ac:dyDescent="0.2">
      <c r="B1135" s="25">
        <v>1132</v>
      </c>
      <c r="C1135" s="18">
        <v>44962</v>
      </c>
      <c r="D1135" s="24">
        <f t="shared" si="85"/>
        <v>2023</v>
      </c>
      <c r="E1135" s="24" t="str">
        <f t="shared" si="86"/>
        <v>Q1</v>
      </c>
      <c r="F1135" s="24" t="str">
        <f t="shared" si="87"/>
        <v>Feb</v>
      </c>
      <c r="G1135" s="24">
        <f t="shared" si="88"/>
        <v>2</v>
      </c>
      <c r="H1135" s="19">
        <v>1545</v>
      </c>
      <c r="I1135" s="19" t="s">
        <v>3</v>
      </c>
      <c r="J1135" s="19" t="s">
        <v>1</v>
      </c>
      <c r="K1135" s="20">
        <v>4</v>
      </c>
      <c r="L1135" s="21">
        <v>548.09</v>
      </c>
      <c r="M1135" s="22">
        <v>0.14000000000000001</v>
      </c>
      <c r="N1135" s="21">
        <f t="shared" si="89"/>
        <v>471.35740000000004</v>
      </c>
      <c r="O1135" s="21">
        <v>1885.43</v>
      </c>
      <c r="P1135" s="19" t="s">
        <v>4</v>
      </c>
      <c r="Q1135" s="23">
        <v>2</v>
      </c>
      <c r="R1135" s="45">
        <v>3.2</v>
      </c>
    </row>
    <row r="1136" spans="2:18" x14ac:dyDescent="0.2">
      <c r="B1136" s="25">
        <v>1133</v>
      </c>
      <c r="C1136" s="18">
        <v>44963</v>
      </c>
      <c r="D1136" s="24">
        <f t="shared" si="85"/>
        <v>2023</v>
      </c>
      <c r="E1136" s="24" t="str">
        <f t="shared" si="86"/>
        <v>Q1</v>
      </c>
      <c r="F1136" s="24" t="str">
        <f t="shared" si="87"/>
        <v>Feb</v>
      </c>
      <c r="G1136" s="24">
        <f t="shared" si="88"/>
        <v>2</v>
      </c>
      <c r="H1136" s="19">
        <v>1773</v>
      </c>
      <c r="I1136" s="19" t="s">
        <v>10</v>
      </c>
      <c r="J1136" s="19" t="s">
        <v>9</v>
      </c>
      <c r="K1136" s="20">
        <v>4</v>
      </c>
      <c r="L1136" s="21">
        <v>26.29</v>
      </c>
      <c r="M1136" s="22">
        <v>0.11</v>
      </c>
      <c r="N1136" s="21">
        <f t="shared" si="89"/>
        <v>23.398099999999999</v>
      </c>
      <c r="O1136" s="21">
        <v>93.59</v>
      </c>
      <c r="P1136" s="19" t="s">
        <v>4</v>
      </c>
      <c r="Q1136" s="23">
        <v>6</v>
      </c>
      <c r="R1136" s="45">
        <v>1.6</v>
      </c>
    </row>
    <row r="1137" spans="2:18" x14ac:dyDescent="0.2">
      <c r="B1137" s="25">
        <v>1134</v>
      </c>
      <c r="C1137" s="18">
        <v>44964</v>
      </c>
      <c r="D1137" s="24">
        <f t="shared" si="85"/>
        <v>2023</v>
      </c>
      <c r="E1137" s="24" t="str">
        <f t="shared" si="86"/>
        <v>Q1</v>
      </c>
      <c r="F1137" s="24" t="str">
        <f t="shared" si="87"/>
        <v>Feb</v>
      </c>
      <c r="G1137" s="24">
        <f t="shared" si="88"/>
        <v>2</v>
      </c>
      <c r="H1137" s="19">
        <v>1052</v>
      </c>
      <c r="I1137" s="19" t="s">
        <v>7</v>
      </c>
      <c r="J1137" s="19" t="s">
        <v>5</v>
      </c>
      <c r="K1137" s="20">
        <v>7</v>
      </c>
      <c r="L1137" s="21">
        <v>397.26</v>
      </c>
      <c r="M1137" s="22">
        <v>0.05</v>
      </c>
      <c r="N1137" s="21">
        <f t="shared" si="89"/>
        <v>377.39699999999999</v>
      </c>
      <c r="O1137" s="21">
        <v>2641.78</v>
      </c>
      <c r="P1137" s="19" t="s">
        <v>4</v>
      </c>
      <c r="Q1137" s="23">
        <v>11</v>
      </c>
      <c r="R1137" s="45">
        <v>2.8</v>
      </c>
    </row>
    <row r="1138" spans="2:18" x14ac:dyDescent="0.2">
      <c r="B1138" s="25">
        <v>1135</v>
      </c>
      <c r="C1138" s="18">
        <v>44965</v>
      </c>
      <c r="D1138" s="24">
        <f t="shared" si="85"/>
        <v>2023</v>
      </c>
      <c r="E1138" s="24" t="str">
        <f t="shared" si="86"/>
        <v>Q1</v>
      </c>
      <c r="F1138" s="24" t="str">
        <f t="shared" si="87"/>
        <v>Feb</v>
      </c>
      <c r="G1138" s="24">
        <f t="shared" si="88"/>
        <v>2</v>
      </c>
      <c r="H1138" s="19">
        <v>1449</v>
      </c>
      <c r="I1138" s="19" t="s">
        <v>10</v>
      </c>
      <c r="J1138" s="19" t="s">
        <v>8</v>
      </c>
      <c r="K1138" s="20">
        <v>7</v>
      </c>
      <c r="L1138" s="21">
        <v>239.88</v>
      </c>
      <c r="M1138" s="22">
        <v>0</v>
      </c>
      <c r="N1138" s="21">
        <f t="shared" si="89"/>
        <v>239.88</v>
      </c>
      <c r="O1138" s="21">
        <v>1679.16</v>
      </c>
      <c r="P1138" s="19" t="s">
        <v>4</v>
      </c>
      <c r="Q1138" s="23">
        <v>1</v>
      </c>
      <c r="R1138" s="45">
        <v>1.9</v>
      </c>
    </row>
    <row r="1139" spans="2:18" x14ac:dyDescent="0.2">
      <c r="B1139" s="25">
        <v>1136</v>
      </c>
      <c r="C1139" s="18">
        <v>44966</v>
      </c>
      <c r="D1139" s="24">
        <f t="shared" si="85"/>
        <v>2023</v>
      </c>
      <c r="E1139" s="24" t="str">
        <f t="shared" si="86"/>
        <v>Q1</v>
      </c>
      <c r="F1139" s="24" t="str">
        <f t="shared" si="87"/>
        <v>Feb</v>
      </c>
      <c r="G1139" s="24">
        <f t="shared" si="88"/>
        <v>2</v>
      </c>
      <c r="H1139" s="19">
        <v>1204</v>
      </c>
      <c r="I1139" s="19" t="s">
        <v>0</v>
      </c>
      <c r="J1139" s="19" t="s">
        <v>9</v>
      </c>
      <c r="K1139" s="20">
        <v>2</v>
      </c>
      <c r="L1139" s="21">
        <v>408.5</v>
      </c>
      <c r="M1139" s="22">
        <v>0.34</v>
      </c>
      <c r="N1139" s="21">
        <f t="shared" si="89"/>
        <v>269.61</v>
      </c>
      <c r="O1139" s="21">
        <v>539.22</v>
      </c>
      <c r="P1139" s="19" t="s">
        <v>6</v>
      </c>
      <c r="Q1139" s="23">
        <v>7</v>
      </c>
      <c r="R1139" s="45">
        <v>1.5</v>
      </c>
    </row>
    <row r="1140" spans="2:18" x14ac:dyDescent="0.2">
      <c r="B1140" s="25">
        <v>1137</v>
      </c>
      <c r="C1140" s="18">
        <v>44967</v>
      </c>
      <c r="D1140" s="24">
        <f t="shared" si="85"/>
        <v>2023</v>
      </c>
      <c r="E1140" s="24" t="str">
        <f t="shared" si="86"/>
        <v>Q1</v>
      </c>
      <c r="F1140" s="24" t="str">
        <f t="shared" si="87"/>
        <v>Feb</v>
      </c>
      <c r="G1140" s="24">
        <f t="shared" si="88"/>
        <v>2</v>
      </c>
      <c r="H1140" s="19">
        <v>1125</v>
      </c>
      <c r="I1140" s="19" t="s">
        <v>0</v>
      </c>
      <c r="J1140" s="19" t="s">
        <v>9</v>
      </c>
      <c r="K1140" s="20">
        <v>6</v>
      </c>
      <c r="L1140" s="21">
        <v>359.38</v>
      </c>
      <c r="M1140" s="22">
        <v>0.33</v>
      </c>
      <c r="N1140" s="21">
        <f t="shared" si="89"/>
        <v>240.78460000000001</v>
      </c>
      <c r="O1140" s="21">
        <v>1444.71</v>
      </c>
      <c r="P1140" s="19" t="s">
        <v>4</v>
      </c>
      <c r="Q1140" s="23">
        <v>8</v>
      </c>
      <c r="R1140" s="45">
        <v>3.8</v>
      </c>
    </row>
    <row r="1141" spans="2:18" x14ac:dyDescent="0.2">
      <c r="B1141" s="25">
        <v>1138</v>
      </c>
      <c r="C1141" s="18">
        <v>44968</v>
      </c>
      <c r="D1141" s="24">
        <f t="shared" si="85"/>
        <v>2023</v>
      </c>
      <c r="E1141" s="24" t="str">
        <f t="shared" si="86"/>
        <v>Q1</v>
      </c>
      <c r="F1141" s="24" t="str">
        <f t="shared" si="87"/>
        <v>Feb</v>
      </c>
      <c r="G1141" s="24">
        <f t="shared" si="88"/>
        <v>2</v>
      </c>
      <c r="H1141" s="19">
        <v>1746</v>
      </c>
      <c r="I1141" s="19" t="s">
        <v>10</v>
      </c>
      <c r="J1141" s="19" t="s">
        <v>9</v>
      </c>
      <c r="K1141" s="20">
        <v>2</v>
      </c>
      <c r="L1141" s="21">
        <v>145.75</v>
      </c>
      <c r="M1141" s="22">
        <v>0.17</v>
      </c>
      <c r="N1141" s="21">
        <f t="shared" si="89"/>
        <v>120.9725</v>
      </c>
      <c r="O1141" s="21">
        <v>241.94</v>
      </c>
      <c r="P1141" s="19" t="s">
        <v>4</v>
      </c>
      <c r="Q1141" s="23">
        <v>10</v>
      </c>
      <c r="R1141" s="45">
        <v>3.5</v>
      </c>
    </row>
    <row r="1142" spans="2:18" x14ac:dyDescent="0.2">
      <c r="B1142" s="25">
        <v>1139</v>
      </c>
      <c r="C1142" s="18">
        <v>44969</v>
      </c>
      <c r="D1142" s="24">
        <f t="shared" si="85"/>
        <v>2023</v>
      </c>
      <c r="E1142" s="24" t="str">
        <f t="shared" si="86"/>
        <v>Q1</v>
      </c>
      <c r="F1142" s="24" t="str">
        <f t="shared" si="87"/>
        <v>Feb</v>
      </c>
      <c r="G1142" s="24">
        <f t="shared" si="88"/>
        <v>2</v>
      </c>
      <c r="H1142" s="19">
        <v>1042</v>
      </c>
      <c r="I1142" s="19" t="s">
        <v>7</v>
      </c>
      <c r="J1142" s="19" t="s">
        <v>1</v>
      </c>
      <c r="K1142" s="20">
        <v>1</v>
      </c>
      <c r="L1142" s="21">
        <v>510.62</v>
      </c>
      <c r="M1142" s="22">
        <v>0.35</v>
      </c>
      <c r="N1142" s="21">
        <f t="shared" si="89"/>
        <v>331.90300000000002</v>
      </c>
      <c r="O1142" s="21">
        <v>331.9</v>
      </c>
      <c r="P1142" s="19" t="s">
        <v>2</v>
      </c>
      <c r="Q1142" s="23">
        <v>8</v>
      </c>
      <c r="R1142" s="45">
        <v>3</v>
      </c>
    </row>
    <row r="1143" spans="2:18" x14ac:dyDescent="0.2">
      <c r="B1143" s="25">
        <v>1140</v>
      </c>
      <c r="C1143" s="18">
        <v>44970</v>
      </c>
      <c r="D1143" s="24">
        <f t="shared" si="85"/>
        <v>2023</v>
      </c>
      <c r="E1143" s="24" t="str">
        <f t="shared" si="86"/>
        <v>Q1</v>
      </c>
      <c r="F1143" s="24" t="str">
        <f t="shared" si="87"/>
        <v>Feb</v>
      </c>
      <c r="G1143" s="24">
        <f t="shared" si="88"/>
        <v>2</v>
      </c>
      <c r="H1143" s="19">
        <v>1751</v>
      </c>
      <c r="I1143" s="19" t="s">
        <v>7</v>
      </c>
      <c r="J1143" s="19" t="s">
        <v>5</v>
      </c>
      <c r="K1143" s="20">
        <v>2</v>
      </c>
      <c r="L1143" s="21">
        <v>302.79000000000002</v>
      </c>
      <c r="M1143" s="22">
        <v>0.24</v>
      </c>
      <c r="N1143" s="21">
        <f t="shared" si="89"/>
        <v>230.12040000000002</v>
      </c>
      <c r="O1143" s="21">
        <v>460.24</v>
      </c>
      <c r="P1143" s="19" t="s">
        <v>6</v>
      </c>
      <c r="Q1143" s="23">
        <v>3</v>
      </c>
      <c r="R1143" s="45">
        <v>2.7</v>
      </c>
    </row>
    <row r="1144" spans="2:18" x14ac:dyDescent="0.2">
      <c r="B1144" s="25">
        <v>1141</v>
      </c>
      <c r="C1144" s="18">
        <v>44971</v>
      </c>
      <c r="D1144" s="24">
        <f t="shared" si="85"/>
        <v>2023</v>
      </c>
      <c r="E1144" s="24" t="str">
        <f t="shared" si="86"/>
        <v>Q1</v>
      </c>
      <c r="F1144" s="24" t="str">
        <f t="shared" si="87"/>
        <v>Feb</v>
      </c>
      <c r="G1144" s="24">
        <f t="shared" si="88"/>
        <v>2</v>
      </c>
      <c r="H1144" s="19">
        <v>1970</v>
      </c>
      <c r="I1144" s="19" t="s">
        <v>0</v>
      </c>
      <c r="J1144" s="19" t="s">
        <v>1</v>
      </c>
      <c r="K1144" s="20">
        <v>5</v>
      </c>
      <c r="L1144" s="21">
        <v>496.18</v>
      </c>
      <c r="M1144" s="22">
        <v>0.02</v>
      </c>
      <c r="N1144" s="21">
        <f t="shared" si="89"/>
        <v>486.25639999999999</v>
      </c>
      <c r="O1144" s="21">
        <v>2431.2800000000002</v>
      </c>
      <c r="P1144" s="19" t="s">
        <v>4</v>
      </c>
      <c r="Q1144" s="23">
        <v>7</v>
      </c>
      <c r="R1144" s="45">
        <v>2.2999999999999998</v>
      </c>
    </row>
    <row r="1145" spans="2:18" x14ac:dyDescent="0.2">
      <c r="B1145" s="25">
        <v>1142</v>
      </c>
      <c r="C1145" s="18">
        <v>44972</v>
      </c>
      <c r="D1145" s="24">
        <f t="shared" si="85"/>
        <v>2023</v>
      </c>
      <c r="E1145" s="24" t="str">
        <f t="shared" si="86"/>
        <v>Q1</v>
      </c>
      <c r="F1145" s="24" t="str">
        <f t="shared" si="87"/>
        <v>Feb</v>
      </c>
      <c r="G1145" s="24">
        <f t="shared" si="88"/>
        <v>2</v>
      </c>
      <c r="H1145" s="19">
        <v>1882</v>
      </c>
      <c r="I1145" s="19" t="s">
        <v>7</v>
      </c>
      <c r="J1145" s="19" t="s">
        <v>8</v>
      </c>
      <c r="K1145" s="20">
        <v>4</v>
      </c>
      <c r="L1145" s="21">
        <v>252.52</v>
      </c>
      <c r="M1145" s="22">
        <v>0.04</v>
      </c>
      <c r="N1145" s="21">
        <f t="shared" si="89"/>
        <v>242.41920000000002</v>
      </c>
      <c r="O1145" s="21">
        <v>969.68</v>
      </c>
      <c r="P1145" s="19" t="s">
        <v>6</v>
      </c>
      <c r="Q1145" s="23">
        <v>1</v>
      </c>
      <c r="R1145" s="45">
        <v>1.4</v>
      </c>
    </row>
    <row r="1146" spans="2:18" x14ac:dyDescent="0.2">
      <c r="B1146" s="25">
        <v>1143</v>
      </c>
      <c r="C1146" s="18">
        <v>44973</v>
      </c>
      <c r="D1146" s="24">
        <f t="shared" si="85"/>
        <v>2023</v>
      </c>
      <c r="E1146" s="24" t="str">
        <f t="shared" si="86"/>
        <v>Q1</v>
      </c>
      <c r="F1146" s="24" t="str">
        <f t="shared" si="87"/>
        <v>Feb</v>
      </c>
      <c r="G1146" s="24">
        <f t="shared" si="88"/>
        <v>2</v>
      </c>
      <c r="H1146" s="19">
        <v>1110</v>
      </c>
      <c r="I1146" s="19" t="s">
        <v>10</v>
      </c>
      <c r="J1146" s="19" t="s">
        <v>1</v>
      </c>
      <c r="K1146" s="20">
        <v>2</v>
      </c>
      <c r="L1146" s="21">
        <v>591.04</v>
      </c>
      <c r="M1146" s="22">
        <v>0.32</v>
      </c>
      <c r="N1146" s="21">
        <f t="shared" si="89"/>
        <v>401.90719999999999</v>
      </c>
      <c r="O1146" s="21">
        <v>803.81</v>
      </c>
      <c r="P1146" s="19" t="s">
        <v>4</v>
      </c>
      <c r="Q1146" s="23">
        <v>11</v>
      </c>
      <c r="R1146" s="45">
        <v>2.2000000000000002</v>
      </c>
    </row>
    <row r="1147" spans="2:18" x14ac:dyDescent="0.2">
      <c r="B1147" s="25">
        <v>1144</v>
      </c>
      <c r="C1147" s="18">
        <v>44974</v>
      </c>
      <c r="D1147" s="24">
        <f t="shared" si="85"/>
        <v>2023</v>
      </c>
      <c r="E1147" s="24" t="str">
        <f t="shared" si="86"/>
        <v>Q1</v>
      </c>
      <c r="F1147" s="24" t="str">
        <f t="shared" si="87"/>
        <v>Feb</v>
      </c>
      <c r="G1147" s="24">
        <f t="shared" si="88"/>
        <v>2</v>
      </c>
      <c r="H1147" s="19">
        <v>1760</v>
      </c>
      <c r="I1147" s="19" t="s">
        <v>10</v>
      </c>
      <c r="J1147" s="19" t="s">
        <v>9</v>
      </c>
      <c r="K1147" s="20">
        <v>2</v>
      </c>
      <c r="L1147" s="21">
        <v>465.74</v>
      </c>
      <c r="M1147" s="22">
        <v>0.22</v>
      </c>
      <c r="N1147" s="21">
        <f t="shared" si="89"/>
        <v>363.27719999999999</v>
      </c>
      <c r="O1147" s="21">
        <v>726.55</v>
      </c>
      <c r="P1147" s="19" t="s">
        <v>6</v>
      </c>
      <c r="Q1147" s="23">
        <v>3</v>
      </c>
      <c r="R1147" s="45">
        <v>4.4000000000000004</v>
      </c>
    </row>
    <row r="1148" spans="2:18" x14ac:dyDescent="0.2">
      <c r="B1148" s="25">
        <v>1145</v>
      </c>
      <c r="C1148" s="18">
        <v>44975</v>
      </c>
      <c r="D1148" s="24">
        <f t="shared" si="85"/>
        <v>2023</v>
      </c>
      <c r="E1148" s="24" t="str">
        <f t="shared" si="86"/>
        <v>Q1</v>
      </c>
      <c r="F1148" s="24" t="str">
        <f t="shared" si="87"/>
        <v>Feb</v>
      </c>
      <c r="G1148" s="24">
        <f t="shared" si="88"/>
        <v>2</v>
      </c>
      <c r="H1148" s="19">
        <v>1662</v>
      </c>
      <c r="I1148" s="19" t="s">
        <v>3</v>
      </c>
      <c r="J1148" s="19" t="s">
        <v>1</v>
      </c>
      <c r="K1148" s="20">
        <v>3</v>
      </c>
      <c r="L1148" s="21">
        <v>580.08000000000004</v>
      </c>
      <c r="M1148" s="22">
        <v>0.3</v>
      </c>
      <c r="N1148" s="21">
        <f t="shared" si="89"/>
        <v>406.05600000000004</v>
      </c>
      <c r="O1148" s="21">
        <v>1218.17</v>
      </c>
      <c r="P1148" s="19" t="s">
        <v>6</v>
      </c>
      <c r="Q1148" s="23">
        <v>6</v>
      </c>
      <c r="R1148" s="45">
        <v>4.0999999999999996</v>
      </c>
    </row>
    <row r="1149" spans="2:18" x14ac:dyDescent="0.2">
      <c r="B1149" s="25">
        <v>1146</v>
      </c>
      <c r="C1149" s="18">
        <v>44976</v>
      </c>
      <c r="D1149" s="24">
        <f t="shared" si="85"/>
        <v>2023</v>
      </c>
      <c r="E1149" s="24" t="str">
        <f t="shared" si="86"/>
        <v>Q1</v>
      </c>
      <c r="F1149" s="24" t="str">
        <f t="shared" si="87"/>
        <v>Feb</v>
      </c>
      <c r="G1149" s="24">
        <f t="shared" si="88"/>
        <v>2</v>
      </c>
      <c r="H1149" s="19">
        <v>1182</v>
      </c>
      <c r="I1149" s="19" t="s">
        <v>0</v>
      </c>
      <c r="J1149" s="19" t="s">
        <v>9</v>
      </c>
      <c r="K1149" s="20">
        <v>2</v>
      </c>
      <c r="L1149" s="21">
        <v>315.88</v>
      </c>
      <c r="M1149" s="22">
        <v>0.31</v>
      </c>
      <c r="N1149" s="21">
        <f t="shared" si="89"/>
        <v>217.9572</v>
      </c>
      <c r="O1149" s="21">
        <v>435.91</v>
      </c>
      <c r="P1149" s="19" t="s">
        <v>6</v>
      </c>
      <c r="Q1149" s="23">
        <v>9</v>
      </c>
      <c r="R1149" s="45">
        <v>4.9000000000000004</v>
      </c>
    </row>
    <row r="1150" spans="2:18" x14ac:dyDescent="0.2">
      <c r="B1150" s="25">
        <v>1147</v>
      </c>
      <c r="C1150" s="18">
        <v>44977</v>
      </c>
      <c r="D1150" s="24">
        <f t="shared" si="85"/>
        <v>2023</v>
      </c>
      <c r="E1150" s="24" t="str">
        <f t="shared" si="86"/>
        <v>Q1</v>
      </c>
      <c r="F1150" s="24" t="str">
        <f t="shared" si="87"/>
        <v>Feb</v>
      </c>
      <c r="G1150" s="24">
        <f t="shared" si="88"/>
        <v>2</v>
      </c>
      <c r="H1150" s="19">
        <v>1847</v>
      </c>
      <c r="I1150" s="19" t="s">
        <v>7</v>
      </c>
      <c r="J1150" s="19" t="s">
        <v>5</v>
      </c>
      <c r="K1150" s="20">
        <v>5</v>
      </c>
      <c r="L1150" s="21">
        <v>292.11</v>
      </c>
      <c r="M1150" s="22">
        <v>0.16</v>
      </c>
      <c r="N1150" s="21">
        <f t="shared" si="89"/>
        <v>245.37240000000003</v>
      </c>
      <c r="O1150" s="21">
        <v>1226.8599999999999</v>
      </c>
      <c r="P1150" s="19" t="s">
        <v>6</v>
      </c>
      <c r="Q1150" s="23">
        <v>5</v>
      </c>
      <c r="R1150" s="45">
        <v>3.6</v>
      </c>
    </row>
    <row r="1151" spans="2:18" x14ac:dyDescent="0.2">
      <c r="B1151" s="25">
        <v>1148</v>
      </c>
      <c r="C1151" s="18">
        <v>44978</v>
      </c>
      <c r="D1151" s="24">
        <f t="shared" si="85"/>
        <v>2023</v>
      </c>
      <c r="E1151" s="24" t="str">
        <f t="shared" si="86"/>
        <v>Q1</v>
      </c>
      <c r="F1151" s="24" t="str">
        <f t="shared" si="87"/>
        <v>Feb</v>
      </c>
      <c r="G1151" s="24">
        <f t="shared" si="88"/>
        <v>2</v>
      </c>
      <c r="H1151" s="19">
        <v>1094</v>
      </c>
      <c r="I1151" s="19" t="s">
        <v>7</v>
      </c>
      <c r="J1151" s="19" t="s">
        <v>1</v>
      </c>
      <c r="K1151" s="20">
        <v>4</v>
      </c>
      <c r="L1151" s="21">
        <v>456.94</v>
      </c>
      <c r="M1151" s="22">
        <v>0.02</v>
      </c>
      <c r="N1151" s="21">
        <f t="shared" si="89"/>
        <v>447.80119999999999</v>
      </c>
      <c r="O1151" s="21">
        <v>1791.2</v>
      </c>
      <c r="P1151" s="19" t="s">
        <v>4</v>
      </c>
      <c r="Q1151" s="23">
        <v>5</v>
      </c>
      <c r="R1151" s="45">
        <v>3.2</v>
      </c>
    </row>
    <row r="1152" spans="2:18" x14ac:dyDescent="0.2">
      <c r="B1152" s="25">
        <v>1149</v>
      </c>
      <c r="C1152" s="18">
        <v>44979</v>
      </c>
      <c r="D1152" s="24">
        <f t="shared" si="85"/>
        <v>2023</v>
      </c>
      <c r="E1152" s="24" t="str">
        <f t="shared" si="86"/>
        <v>Q1</v>
      </c>
      <c r="F1152" s="24" t="str">
        <f t="shared" si="87"/>
        <v>Feb</v>
      </c>
      <c r="G1152" s="24">
        <f t="shared" si="88"/>
        <v>2</v>
      </c>
      <c r="H1152" s="19">
        <v>1970</v>
      </c>
      <c r="I1152" s="19" t="s">
        <v>7</v>
      </c>
      <c r="J1152" s="19" t="s">
        <v>1</v>
      </c>
      <c r="K1152" s="20">
        <v>3</v>
      </c>
      <c r="L1152" s="21">
        <v>529.97</v>
      </c>
      <c r="M1152" s="22">
        <v>7.0000000000000007E-2</v>
      </c>
      <c r="N1152" s="21">
        <f t="shared" si="89"/>
        <v>492.87210000000005</v>
      </c>
      <c r="O1152" s="21">
        <v>1478.62</v>
      </c>
      <c r="P1152" s="19" t="s">
        <v>6</v>
      </c>
      <c r="Q1152" s="23">
        <v>9</v>
      </c>
      <c r="R1152" s="45">
        <v>2.2000000000000002</v>
      </c>
    </row>
    <row r="1153" spans="2:18" x14ac:dyDescent="0.2">
      <c r="B1153" s="25">
        <v>1150</v>
      </c>
      <c r="C1153" s="18">
        <v>44980</v>
      </c>
      <c r="D1153" s="24">
        <f t="shared" si="85"/>
        <v>2023</v>
      </c>
      <c r="E1153" s="24" t="str">
        <f t="shared" si="86"/>
        <v>Q1</v>
      </c>
      <c r="F1153" s="24" t="str">
        <f t="shared" si="87"/>
        <v>Feb</v>
      </c>
      <c r="G1153" s="24">
        <f t="shared" si="88"/>
        <v>2</v>
      </c>
      <c r="H1153" s="19">
        <v>1373</v>
      </c>
      <c r="I1153" s="19" t="s">
        <v>3</v>
      </c>
      <c r="J1153" s="19" t="s">
        <v>1</v>
      </c>
      <c r="K1153" s="20">
        <v>1</v>
      </c>
      <c r="L1153" s="21">
        <v>579.03</v>
      </c>
      <c r="M1153" s="22">
        <v>0.02</v>
      </c>
      <c r="N1153" s="21">
        <f t="shared" si="89"/>
        <v>567.44939999999997</v>
      </c>
      <c r="O1153" s="21">
        <v>567.45000000000005</v>
      </c>
      <c r="P1153" s="19" t="s">
        <v>4</v>
      </c>
      <c r="Q1153" s="23">
        <v>9</v>
      </c>
      <c r="R1153" s="45">
        <v>1.3</v>
      </c>
    </row>
    <row r="1154" spans="2:18" x14ac:dyDescent="0.2">
      <c r="B1154" s="25">
        <v>1151</v>
      </c>
      <c r="C1154" s="18">
        <v>44981</v>
      </c>
      <c r="D1154" s="24">
        <f t="shared" si="85"/>
        <v>2023</v>
      </c>
      <c r="E1154" s="24" t="str">
        <f t="shared" si="86"/>
        <v>Q1</v>
      </c>
      <c r="F1154" s="24" t="str">
        <f t="shared" si="87"/>
        <v>Feb</v>
      </c>
      <c r="G1154" s="24">
        <f t="shared" si="88"/>
        <v>2</v>
      </c>
      <c r="H1154" s="19">
        <v>1911</v>
      </c>
      <c r="I1154" s="19" t="s">
        <v>7</v>
      </c>
      <c r="J1154" s="19" t="s">
        <v>9</v>
      </c>
      <c r="K1154" s="20">
        <v>7</v>
      </c>
      <c r="L1154" s="21">
        <v>204.86</v>
      </c>
      <c r="M1154" s="22">
        <v>7.0000000000000007E-2</v>
      </c>
      <c r="N1154" s="21">
        <f t="shared" si="89"/>
        <v>190.5198</v>
      </c>
      <c r="O1154" s="21">
        <v>1333.64</v>
      </c>
      <c r="P1154" s="19" t="s">
        <v>4</v>
      </c>
      <c r="Q1154" s="23">
        <v>6</v>
      </c>
      <c r="R1154" s="45">
        <v>3.5</v>
      </c>
    </row>
    <row r="1155" spans="2:18" x14ac:dyDescent="0.2">
      <c r="B1155" s="25">
        <v>1152</v>
      </c>
      <c r="C1155" s="18">
        <v>44982</v>
      </c>
      <c r="D1155" s="24">
        <f t="shared" si="85"/>
        <v>2023</v>
      </c>
      <c r="E1155" s="24" t="str">
        <f t="shared" si="86"/>
        <v>Q1</v>
      </c>
      <c r="F1155" s="24" t="str">
        <f t="shared" si="87"/>
        <v>Feb</v>
      </c>
      <c r="G1155" s="24">
        <f t="shared" si="88"/>
        <v>2</v>
      </c>
      <c r="H1155" s="19">
        <v>1519</v>
      </c>
      <c r="I1155" s="19" t="s">
        <v>7</v>
      </c>
      <c r="J1155" s="19" t="s">
        <v>9</v>
      </c>
      <c r="K1155" s="20">
        <v>1</v>
      </c>
      <c r="L1155" s="21">
        <v>482.24</v>
      </c>
      <c r="M1155" s="22">
        <v>0.14000000000000001</v>
      </c>
      <c r="N1155" s="21">
        <f t="shared" si="89"/>
        <v>414.72640000000001</v>
      </c>
      <c r="O1155" s="21">
        <v>414.73</v>
      </c>
      <c r="P1155" s="19" t="s">
        <v>2</v>
      </c>
      <c r="Q1155" s="23">
        <v>5</v>
      </c>
      <c r="R1155" s="45">
        <v>3</v>
      </c>
    </row>
    <row r="1156" spans="2:18" x14ac:dyDescent="0.2">
      <c r="B1156" s="25">
        <v>1153</v>
      </c>
      <c r="C1156" s="18">
        <v>44983</v>
      </c>
      <c r="D1156" s="24">
        <f t="shared" ref="D1156:D1219" si="90">YEAR(C1156)</f>
        <v>2023</v>
      </c>
      <c r="E1156" s="24" t="str">
        <f t="shared" ref="E1156:E1219" si="91">"Q"&amp;ROUNDUP(MONTH(C1156)/3,0)</f>
        <v>Q1</v>
      </c>
      <c r="F1156" s="24" t="str">
        <f t="shared" ref="F1156:F1219" si="92">TEXT(C1156,"mmm")</f>
        <v>Feb</v>
      </c>
      <c r="G1156" s="24">
        <f t="shared" ref="G1156:G1219" si="93">MONTH(C1156)</f>
        <v>2</v>
      </c>
      <c r="H1156" s="19">
        <v>1899</v>
      </c>
      <c r="I1156" s="19" t="s">
        <v>10</v>
      </c>
      <c r="J1156" s="19" t="s">
        <v>1</v>
      </c>
      <c r="K1156" s="20">
        <v>4</v>
      </c>
      <c r="L1156" s="21">
        <v>138.22999999999999</v>
      </c>
      <c r="M1156" s="22">
        <v>0.04</v>
      </c>
      <c r="N1156" s="21">
        <f t="shared" si="89"/>
        <v>132.70079999999999</v>
      </c>
      <c r="O1156" s="21">
        <v>530.79999999999995</v>
      </c>
      <c r="P1156" s="19" t="s">
        <v>6</v>
      </c>
      <c r="Q1156" s="23">
        <v>10</v>
      </c>
      <c r="R1156" s="45">
        <v>4</v>
      </c>
    </row>
    <row r="1157" spans="2:18" x14ac:dyDescent="0.2">
      <c r="B1157" s="25">
        <v>1154</v>
      </c>
      <c r="C1157" s="18">
        <v>44984</v>
      </c>
      <c r="D1157" s="24">
        <f t="shared" si="90"/>
        <v>2023</v>
      </c>
      <c r="E1157" s="24" t="str">
        <f t="shared" si="91"/>
        <v>Q1</v>
      </c>
      <c r="F1157" s="24" t="str">
        <f t="shared" si="92"/>
        <v>Feb</v>
      </c>
      <c r="G1157" s="24">
        <f t="shared" si="93"/>
        <v>2</v>
      </c>
      <c r="H1157" s="19">
        <v>1359</v>
      </c>
      <c r="I1157" s="19" t="s">
        <v>0</v>
      </c>
      <c r="J1157" s="19" t="s">
        <v>1</v>
      </c>
      <c r="K1157" s="20">
        <v>7</v>
      </c>
      <c r="L1157" s="21">
        <v>334.16</v>
      </c>
      <c r="M1157" s="22">
        <v>0.06</v>
      </c>
      <c r="N1157" s="21">
        <f t="shared" ref="N1157:N1220" si="94">L1157-(L1157*M1157)</f>
        <v>314.11040000000003</v>
      </c>
      <c r="O1157" s="21">
        <v>2198.77</v>
      </c>
      <c r="P1157" s="19" t="s">
        <v>2</v>
      </c>
      <c r="Q1157" s="23">
        <v>2</v>
      </c>
      <c r="R1157" s="45">
        <v>2.6</v>
      </c>
    </row>
    <row r="1158" spans="2:18" x14ac:dyDescent="0.2">
      <c r="B1158" s="25">
        <v>1155</v>
      </c>
      <c r="C1158" s="18">
        <v>44985</v>
      </c>
      <c r="D1158" s="24">
        <f t="shared" si="90"/>
        <v>2023</v>
      </c>
      <c r="E1158" s="24" t="str">
        <f t="shared" si="91"/>
        <v>Q1</v>
      </c>
      <c r="F1158" s="24" t="str">
        <f t="shared" si="92"/>
        <v>Feb</v>
      </c>
      <c r="G1158" s="24">
        <f t="shared" si="93"/>
        <v>2</v>
      </c>
      <c r="H1158" s="19">
        <v>1899</v>
      </c>
      <c r="I1158" s="19" t="s">
        <v>7</v>
      </c>
      <c r="J1158" s="19" t="s">
        <v>5</v>
      </c>
      <c r="K1158" s="20">
        <v>1</v>
      </c>
      <c r="L1158" s="21">
        <v>120.21</v>
      </c>
      <c r="M1158" s="22">
        <v>0.16</v>
      </c>
      <c r="N1158" s="21">
        <f t="shared" si="94"/>
        <v>100.9764</v>
      </c>
      <c r="O1158" s="21">
        <v>100.98</v>
      </c>
      <c r="P1158" s="19" t="s">
        <v>4</v>
      </c>
      <c r="Q1158" s="23">
        <v>11</v>
      </c>
      <c r="R1158" s="45">
        <v>4.9000000000000004</v>
      </c>
    </row>
    <row r="1159" spans="2:18" x14ac:dyDescent="0.2">
      <c r="B1159" s="25">
        <v>1156</v>
      </c>
      <c r="C1159" s="18">
        <v>44986</v>
      </c>
      <c r="D1159" s="24">
        <f t="shared" si="90"/>
        <v>2023</v>
      </c>
      <c r="E1159" s="24" t="str">
        <f t="shared" si="91"/>
        <v>Q1</v>
      </c>
      <c r="F1159" s="24" t="str">
        <f t="shared" si="92"/>
        <v>Mar</v>
      </c>
      <c r="G1159" s="24">
        <f t="shared" si="93"/>
        <v>3</v>
      </c>
      <c r="H1159" s="19">
        <v>1695</v>
      </c>
      <c r="I1159" s="19" t="s">
        <v>3</v>
      </c>
      <c r="J1159" s="19" t="s">
        <v>5</v>
      </c>
      <c r="K1159" s="20">
        <v>5</v>
      </c>
      <c r="L1159" s="21">
        <v>218.23</v>
      </c>
      <c r="M1159" s="22">
        <v>0.12</v>
      </c>
      <c r="N1159" s="21">
        <f t="shared" si="94"/>
        <v>192.04239999999999</v>
      </c>
      <c r="O1159" s="21">
        <v>960.21</v>
      </c>
      <c r="P1159" s="19" t="s">
        <v>6</v>
      </c>
      <c r="Q1159" s="23">
        <v>8</v>
      </c>
      <c r="R1159" s="45">
        <v>2.6</v>
      </c>
    </row>
    <row r="1160" spans="2:18" x14ac:dyDescent="0.2">
      <c r="B1160" s="25">
        <v>1157</v>
      </c>
      <c r="C1160" s="18">
        <v>44987</v>
      </c>
      <c r="D1160" s="24">
        <f t="shared" si="90"/>
        <v>2023</v>
      </c>
      <c r="E1160" s="24" t="str">
        <f t="shared" si="91"/>
        <v>Q1</v>
      </c>
      <c r="F1160" s="24" t="str">
        <f t="shared" si="92"/>
        <v>Mar</v>
      </c>
      <c r="G1160" s="24">
        <f t="shared" si="93"/>
        <v>3</v>
      </c>
      <c r="H1160" s="19">
        <v>1280</v>
      </c>
      <c r="I1160" s="19" t="s">
        <v>0</v>
      </c>
      <c r="J1160" s="19" t="s">
        <v>8</v>
      </c>
      <c r="K1160" s="20">
        <v>2</v>
      </c>
      <c r="L1160" s="21">
        <v>559.84</v>
      </c>
      <c r="M1160" s="22">
        <v>0.16</v>
      </c>
      <c r="N1160" s="21">
        <f t="shared" si="94"/>
        <v>470.26560000000001</v>
      </c>
      <c r="O1160" s="21">
        <v>940.53</v>
      </c>
      <c r="P1160" s="19" t="s">
        <v>4</v>
      </c>
      <c r="Q1160" s="23">
        <v>8</v>
      </c>
      <c r="R1160" s="45">
        <v>2.2999999999999998</v>
      </c>
    </row>
    <row r="1161" spans="2:18" x14ac:dyDescent="0.2">
      <c r="B1161" s="25">
        <v>1158</v>
      </c>
      <c r="C1161" s="18">
        <v>44988</v>
      </c>
      <c r="D1161" s="24">
        <f t="shared" si="90"/>
        <v>2023</v>
      </c>
      <c r="E1161" s="24" t="str">
        <f t="shared" si="91"/>
        <v>Q1</v>
      </c>
      <c r="F1161" s="24" t="str">
        <f t="shared" si="92"/>
        <v>Mar</v>
      </c>
      <c r="G1161" s="24">
        <f t="shared" si="93"/>
        <v>3</v>
      </c>
      <c r="H1161" s="19">
        <v>1194</v>
      </c>
      <c r="I1161" s="19" t="s">
        <v>7</v>
      </c>
      <c r="J1161" s="19" t="s">
        <v>5</v>
      </c>
      <c r="K1161" s="20">
        <v>4</v>
      </c>
      <c r="L1161" s="21">
        <v>100.46</v>
      </c>
      <c r="M1161" s="22">
        <v>0.15</v>
      </c>
      <c r="N1161" s="21">
        <f t="shared" si="94"/>
        <v>85.390999999999991</v>
      </c>
      <c r="O1161" s="21">
        <v>341.56</v>
      </c>
      <c r="P1161" s="19" t="s">
        <v>6</v>
      </c>
      <c r="Q1161" s="23">
        <v>7</v>
      </c>
      <c r="R1161" s="45">
        <v>4.5</v>
      </c>
    </row>
    <row r="1162" spans="2:18" x14ac:dyDescent="0.2">
      <c r="B1162" s="25">
        <v>1159</v>
      </c>
      <c r="C1162" s="18">
        <v>44989</v>
      </c>
      <c r="D1162" s="24">
        <f t="shared" si="90"/>
        <v>2023</v>
      </c>
      <c r="E1162" s="24" t="str">
        <f t="shared" si="91"/>
        <v>Q1</v>
      </c>
      <c r="F1162" s="24" t="str">
        <f t="shared" si="92"/>
        <v>Mar</v>
      </c>
      <c r="G1162" s="24">
        <f t="shared" si="93"/>
        <v>3</v>
      </c>
      <c r="H1162" s="19">
        <v>1863</v>
      </c>
      <c r="I1162" s="19" t="s">
        <v>7</v>
      </c>
      <c r="J1162" s="19" t="s">
        <v>5</v>
      </c>
      <c r="K1162" s="20">
        <v>7</v>
      </c>
      <c r="L1162" s="21">
        <v>384.95</v>
      </c>
      <c r="M1162" s="22">
        <v>0.23</v>
      </c>
      <c r="N1162" s="21">
        <f t="shared" si="94"/>
        <v>296.41149999999999</v>
      </c>
      <c r="O1162" s="21">
        <v>2074.88</v>
      </c>
      <c r="P1162" s="19" t="s">
        <v>4</v>
      </c>
      <c r="Q1162" s="23">
        <v>8</v>
      </c>
      <c r="R1162" s="45">
        <v>2.6</v>
      </c>
    </row>
    <row r="1163" spans="2:18" x14ac:dyDescent="0.2">
      <c r="B1163" s="25">
        <v>1160</v>
      </c>
      <c r="C1163" s="18">
        <v>44990</v>
      </c>
      <c r="D1163" s="24">
        <f t="shared" si="90"/>
        <v>2023</v>
      </c>
      <c r="E1163" s="24" t="str">
        <f t="shared" si="91"/>
        <v>Q1</v>
      </c>
      <c r="F1163" s="24" t="str">
        <f t="shared" si="92"/>
        <v>Mar</v>
      </c>
      <c r="G1163" s="24">
        <f t="shared" si="93"/>
        <v>3</v>
      </c>
      <c r="H1163" s="19">
        <v>1194</v>
      </c>
      <c r="I1163" s="19" t="s">
        <v>7</v>
      </c>
      <c r="J1163" s="19" t="s">
        <v>5</v>
      </c>
      <c r="K1163" s="20">
        <v>3</v>
      </c>
      <c r="L1163" s="21">
        <v>361.88</v>
      </c>
      <c r="M1163" s="22">
        <v>0.33</v>
      </c>
      <c r="N1163" s="21">
        <f t="shared" si="94"/>
        <v>242.45959999999999</v>
      </c>
      <c r="O1163" s="21">
        <v>727.38</v>
      </c>
      <c r="P1163" s="19" t="s">
        <v>4</v>
      </c>
      <c r="Q1163" s="23">
        <v>3</v>
      </c>
      <c r="R1163" s="45">
        <v>4.5</v>
      </c>
    </row>
    <row r="1164" spans="2:18" x14ac:dyDescent="0.2">
      <c r="B1164" s="25">
        <v>1161</v>
      </c>
      <c r="C1164" s="18">
        <v>44991</v>
      </c>
      <c r="D1164" s="24">
        <f t="shared" si="90"/>
        <v>2023</v>
      </c>
      <c r="E1164" s="24" t="str">
        <f t="shared" si="91"/>
        <v>Q1</v>
      </c>
      <c r="F1164" s="24" t="str">
        <f t="shared" si="92"/>
        <v>Mar</v>
      </c>
      <c r="G1164" s="24">
        <f t="shared" si="93"/>
        <v>3</v>
      </c>
      <c r="H1164" s="19">
        <v>1666</v>
      </c>
      <c r="I1164" s="19" t="s">
        <v>3</v>
      </c>
      <c r="J1164" s="19" t="s">
        <v>9</v>
      </c>
      <c r="K1164" s="20">
        <v>2</v>
      </c>
      <c r="L1164" s="21">
        <v>85.63</v>
      </c>
      <c r="M1164" s="22">
        <v>0.04</v>
      </c>
      <c r="N1164" s="21">
        <f t="shared" si="94"/>
        <v>82.204799999999992</v>
      </c>
      <c r="O1164" s="21">
        <v>164.41</v>
      </c>
      <c r="P1164" s="19" t="s">
        <v>4</v>
      </c>
      <c r="Q1164" s="23">
        <v>3</v>
      </c>
      <c r="R1164" s="45">
        <v>1.1000000000000001</v>
      </c>
    </row>
    <row r="1165" spans="2:18" x14ac:dyDescent="0.2">
      <c r="B1165" s="25">
        <v>1162</v>
      </c>
      <c r="C1165" s="18">
        <v>44992</v>
      </c>
      <c r="D1165" s="24">
        <f t="shared" si="90"/>
        <v>2023</v>
      </c>
      <c r="E1165" s="24" t="str">
        <f t="shared" si="91"/>
        <v>Q1</v>
      </c>
      <c r="F1165" s="24" t="str">
        <f t="shared" si="92"/>
        <v>Mar</v>
      </c>
      <c r="G1165" s="24">
        <f t="shared" si="93"/>
        <v>3</v>
      </c>
      <c r="H1165" s="19">
        <v>1092</v>
      </c>
      <c r="I1165" s="19" t="s">
        <v>7</v>
      </c>
      <c r="J1165" s="19" t="s">
        <v>5</v>
      </c>
      <c r="K1165" s="20">
        <v>1</v>
      </c>
      <c r="L1165" s="21">
        <v>205.7</v>
      </c>
      <c r="M1165" s="22">
        <v>0.03</v>
      </c>
      <c r="N1165" s="21">
        <f t="shared" si="94"/>
        <v>199.529</v>
      </c>
      <c r="O1165" s="21">
        <v>199.53</v>
      </c>
      <c r="P1165" s="19" t="s">
        <v>6</v>
      </c>
      <c r="Q1165" s="23">
        <v>2</v>
      </c>
      <c r="R1165" s="45">
        <v>3.8</v>
      </c>
    </row>
    <row r="1166" spans="2:18" x14ac:dyDescent="0.2">
      <c r="B1166" s="25">
        <v>1163</v>
      </c>
      <c r="C1166" s="18">
        <v>44993</v>
      </c>
      <c r="D1166" s="24">
        <f t="shared" si="90"/>
        <v>2023</v>
      </c>
      <c r="E1166" s="24" t="str">
        <f t="shared" si="91"/>
        <v>Q1</v>
      </c>
      <c r="F1166" s="24" t="str">
        <f t="shared" si="92"/>
        <v>Mar</v>
      </c>
      <c r="G1166" s="24">
        <f t="shared" si="93"/>
        <v>3</v>
      </c>
      <c r="H1166" s="19">
        <v>1671</v>
      </c>
      <c r="I1166" s="19" t="s">
        <v>0</v>
      </c>
      <c r="J1166" s="19" t="s">
        <v>5</v>
      </c>
      <c r="K1166" s="20">
        <v>1</v>
      </c>
      <c r="L1166" s="21">
        <v>344.34</v>
      </c>
      <c r="M1166" s="22">
        <v>0.3</v>
      </c>
      <c r="N1166" s="21">
        <f t="shared" si="94"/>
        <v>241.03799999999998</v>
      </c>
      <c r="O1166" s="21">
        <v>241.04</v>
      </c>
      <c r="P1166" s="19" t="s">
        <v>4</v>
      </c>
      <c r="Q1166" s="23">
        <v>1</v>
      </c>
      <c r="R1166" s="45">
        <v>1.3</v>
      </c>
    </row>
    <row r="1167" spans="2:18" x14ac:dyDescent="0.2">
      <c r="B1167" s="25">
        <v>1164</v>
      </c>
      <c r="C1167" s="18">
        <v>44994</v>
      </c>
      <c r="D1167" s="24">
        <f t="shared" si="90"/>
        <v>2023</v>
      </c>
      <c r="E1167" s="24" t="str">
        <f t="shared" si="91"/>
        <v>Q1</v>
      </c>
      <c r="F1167" s="24" t="str">
        <f t="shared" si="92"/>
        <v>Mar</v>
      </c>
      <c r="G1167" s="24">
        <f t="shared" si="93"/>
        <v>3</v>
      </c>
      <c r="H1167" s="19">
        <v>1945</v>
      </c>
      <c r="I1167" s="19" t="s">
        <v>3</v>
      </c>
      <c r="J1167" s="19" t="s">
        <v>1</v>
      </c>
      <c r="K1167" s="20">
        <v>3</v>
      </c>
      <c r="L1167" s="21">
        <v>124.5</v>
      </c>
      <c r="M1167" s="22">
        <v>0.18</v>
      </c>
      <c r="N1167" s="21">
        <f t="shared" si="94"/>
        <v>102.09</v>
      </c>
      <c r="O1167" s="21">
        <v>306.27</v>
      </c>
      <c r="P1167" s="19" t="s">
        <v>2</v>
      </c>
      <c r="Q1167" s="23">
        <v>3</v>
      </c>
      <c r="R1167" s="45">
        <v>1.6</v>
      </c>
    </row>
    <row r="1168" spans="2:18" x14ac:dyDescent="0.2">
      <c r="B1168" s="25">
        <v>1165</v>
      </c>
      <c r="C1168" s="18">
        <v>44995</v>
      </c>
      <c r="D1168" s="24">
        <f t="shared" si="90"/>
        <v>2023</v>
      </c>
      <c r="E1168" s="24" t="str">
        <f t="shared" si="91"/>
        <v>Q1</v>
      </c>
      <c r="F1168" s="24" t="str">
        <f t="shared" si="92"/>
        <v>Mar</v>
      </c>
      <c r="G1168" s="24">
        <f t="shared" si="93"/>
        <v>3</v>
      </c>
      <c r="H1168" s="19">
        <v>1060</v>
      </c>
      <c r="I1168" s="19" t="s">
        <v>3</v>
      </c>
      <c r="J1168" s="19" t="s">
        <v>9</v>
      </c>
      <c r="K1168" s="20">
        <v>5</v>
      </c>
      <c r="L1168" s="21">
        <v>483.36</v>
      </c>
      <c r="M1168" s="22">
        <v>0.27</v>
      </c>
      <c r="N1168" s="21">
        <f t="shared" si="94"/>
        <v>352.8528</v>
      </c>
      <c r="O1168" s="21">
        <v>1764.26</v>
      </c>
      <c r="P1168" s="19" t="s">
        <v>4</v>
      </c>
      <c r="Q1168" s="23">
        <v>3</v>
      </c>
      <c r="R1168" s="45">
        <v>3.8</v>
      </c>
    </row>
    <row r="1169" spans="2:18" x14ac:dyDescent="0.2">
      <c r="B1169" s="25">
        <v>1166</v>
      </c>
      <c r="C1169" s="18">
        <v>44996</v>
      </c>
      <c r="D1169" s="24">
        <f t="shared" si="90"/>
        <v>2023</v>
      </c>
      <c r="E1169" s="24" t="str">
        <f t="shared" si="91"/>
        <v>Q1</v>
      </c>
      <c r="F1169" s="24" t="str">
        <f t="shared" si="92"/>
        <v>Mar</v>
      </c>
      <c r="G1169" s="24">
        <f t="shared" si="93"/>
        <v>3</v>
      </c>
      <c r="H1169" s="19">
        <v>1633</v>
      </c>
      <c r="I1169" s="19" t="s">
        <v>7</v>
      </c>
      <c r="J1169" s="19" t="s">
        <v>8</v>
      </c>
      <c r="K1169" s="20">
        <v>3</v>
      </c>
      <c r="L1169" s="21">
        <v>583.71</v>
      </c>
      <c r="M1169" s="22">
        <v>0.08</v>
      </c>
      <c r="N1169" s="21">
        <f t="shared" si="94"/>
        <v>537.01319999999998</v>
      </c>
      <c r="O1169" s="21">
        <v>1611.04</v>
      </c>
      <c r="P1169" s="19" t="s">
        <v>4</v>
      </c>
      <c r="Q1169" s="23">
        <v>7</v>
      </c>
      <c r="R1169" s="45">
        <v>2.2000000000000002</v>
      </c>
    </row>
    <row r="1170" spans="2:18" x14ac:dyDescent="0.2">
      <c r="B1170" s="25">
        <v>1167</v>
      </c>
      <c r="C1170" s="18">
        <v>44997</v>
      </c>
      <c r="D1170" s="24">
        <f t="shared" si="90"/>
        <v>2023</v>
      </c>
      <c r="E1170" s="24" t="str">
        <f t="shared" si="91"/>
        <v>Q1</v>
      </c>
      <c r="F1170" s="24" t="str">
        <f t="shared" si="92"/>
        <v>Mar</v>
      </c>
      <c r="G1170" s="24">
        <f t="shared" si="93"/>
        <v>3</v>
      </c>
      <c r="H1170" s="19">
        <v>1050</v>
      </c>
      <c r="I1170" s="19" t="s">
        <v>3</v>
      </c>
      <c r="J1170" s="19" t="s">
        <v>8</v>
      </c>
      <c r="K1170" s="20">
        <v>4</v>
      </c>
      <c r="L1170" s="21">
        <v>140.63</v>
      </c>
      <c r="M1170" s="22">
        <v>0.28999999999999998</v>
      </c>
      <c r="N1170" s="21">
        <f t="shared" si="94"/>
        <v>99.84729999999999</v>
      </c>
      <c r="O1170" s="21">
        <v>399.39</v>
      </c>
      <c r="P1170" s="19" t="s">
        <v>4</v>
      </c>
      <c r="Q1170" s="23">
        <v>10</v>
      </c>
      <c r="R1170" s="45">
        <v>1.8</v>
      </c>
    </row>
    <row r="1171" spans="2:18" x14ac:dyDescent="0.2">
      <c r="B1171" s="25">
        <v>1168</v>
      </c>
      <c r="C1171" s="18">
        <v>44998</v>
      </c>
      <c r="D1171" s="24">
        <f t="shared" si="90"/>
        <v>2023</v>
      </c>
      <c r="E1171" s="24" t="str">
        <f t="shared" si="91"/>
        <v>Q1</v>
      </c>
      <c r="F1171" s="24" t="str">
        <f t="shared" si="92"/>
        <v>Mar</v>
      </c>
      <c r="G1171" s="24">
        <f t="shared" si="93"/>
        <v>3</v>
      </c>
      <c r="H1171" s="19">
        <v>1402</v>
      </c>
      <c r="I1171" s="19" t="s">
        <v>10</v>
      </c>
      <c r="J1171" s="19" t="s">
        <v>5</v>
      </c>
      <c r="K1171" s="20">
        <v>3</v>
      </c>
      <c r="L1171" s="21">
        <v>124.34</v>
      </c>
      <c r="M1171" s="22">
        <v>0.32</v>
      </c>
      <c r="N1171" s="21">
        <f t="shared" si="94"/>
        <v>84.551199999999994</v>
      </c>
      <c r="O1171" s="21">
        <v>253.65</v>
      </c>
      <c r="P1171" s="19" t="s">
        <v>2</v>
      </c>
      <c r="Q1171" s="23">
        <v>9</v>
      </c>
      <c r="R1171" s="45">
        <v>4.2</v>
      </c>
    </row>
    <row r="1172" spans="2:18" x14ac:dyDescent="0.2">
      <c r="B1172" s="25">
        <v>1169</v>
      </c>
      <c r="C1172" s="18">
        <v>44999</v>
      </c>
      <c r="D1172" s="24">
        <f t="shared" si="90"/>
        <v>2023</v>
      </c>
      <c r="E1172" s="24" t="str">
        <f t="shared" si="91"/>
        <v>Q1</v>
      </c>
      <c r="F1172" s="24" t="str">
        <f t="shared" si="92"/>
        <v>Mar</v>
      </c>
      <c r="G1172" s="24">
        <f t="shared" si="93"/>
        <v>3</v>
      </c>
      <c r="H1172" s="19">
        <v>1788</v>
      </c>
      <c r="I1172" s="19" t="s">
        <v>10</v>
      </c>
      <c r="J1172" s="19" t="s">
        <v>8</v>
      </c>
      <c r="K1172" s="20">
        <v>1</v>
      </c>
      <c r="L1172" s="21">
        <v>281.14</v>
      </c>
      <c r="M1172" s="22">
        <v>0.22</v>
      </c>
      <c r="N1172" s="21">
        <f t="shared" si="94"/>
        <v>219.28919999999999</v>
      </c>
      <c r="O1172" s="21">
        <v>219.29</v>
      </c>
      <c r="P1172" s="19" t="s">
        <v>4</v>
      </c>
      <c r="Q1172" s="23">
        <v>1</v>
      </c>
      <c r="R1172" s="45">
        <v>4.8</v>
      </c>
    </row>
    <row r="1173" spans="2:18" x14ac:dyDescent="0.2">
      <c r="B1173" s="25">
        <v>1170</v>
      </c>
      <c r="C1173" s="18">
        <v>45000</v>
      </c>
      <c r="D1173" s="24">
        <f t="shared" si="90"/>
        <v>2023</v>
      </c>
      <c r="E1173" s="24" t="str">
        <f t="shared" si="91"/>
        <v>Q1</v>
      </c>
      <c r="F1173" s="24" t="str">
        <f t="shared" si="92"/>
        <v>Mar</v>
      </c>
      <c r="G1173" s="24">
        <f t="shared" si="93"/>
        <v>3</v>
      </c>
      <c r="H1173" s="19">
        <v>1004</v>
      </c>
      <c r="I1173" s="19" t="s">
        <v>10</v>
      </c>
      <c r="J1173" s="19" t="s">
        <v>8</v>
      </c>
      <c r="K1173" s="20">
        <v>5</v>
      </c>
      <c r="L1173" s="21">
        <v>452.44</v>
      </c>
      <c r="M1173" s="22">
        <v>0.04</v>
      </c>
      <c r="N1173" s="21">
        <f t="shared" si="94"/>
        <v>434.3424</v>
      </c>
      <c r="O1173" s="21">
        <v>2171.71</v>
      </c>
      <c r="P1173" s="19" t="s">
        <v>4</v>
      </c>
      <c r="Q1173" s="23">
        <v>8</v>
      </c>
      <c r="R1173" s="45">
        <v>1.9</v>
      </c>
    </row>
    <row r="1174" spans="2:18" x14ac:dyDescent="0.2">
      <c r="B1174" s="25">
        <v>1171</v>
      </c>
      <c r="C1174" s="18">
        <v>45001</v>
      </c>
      <c r="D1174" s="24">
        <f t="shared" si="90"/>
        <v>2023</v>
      </c>
      <c r="E1174" s="24" t="str">
        <f t="shared" si="91"/>
        <v>Q1</v>
      </c>
      <c r="F1174" s="24" t="str">
        <f t="shared" si="92"/>
        <v>Mar</v>
      </c>
      <c r="G1174" s="24">
        <f t="shared" si="93"/>
        <v>3</v>
      </c>
      <c r="H1174" s="19">
        <v>1465</v>
      </c>
      <c r="I1174" s="19" t="s">
        <v>3</v>
      </c>
      <c r="J1174" s="19" t="s">
        <v>8</v>
      </c>
      <c r="K1174" s="20">
        <v>5</v>
      </c>
      <c r="L1174" s="21">
        <v>179.74</v>
      </c>
      <c r="M1174" s="22">
        <v>0.31</v>
      </c>
      <c r="N1174" s="21">
        <f t="shared" si="94"/>
        <v>124.0206</v>
      </c>
      <c r="O1174" s="21">
        <v>620.1</v>
      </c>
      <c r="P1174" s="19" t="s">
        <v>6</v>
      </c>
      <c r="Q1174" s="23">
        <v>1</v>
      </c>
      <c r="R1174" s="45">
        <v>2.2999999999999998</v>
      </c>
    </row>
    <row r="1175" spans="2:18" x14ac:dyDescent="0.2">
      <c r="B1175" s="25">
        <v>1172</v>
      </c>
      <c r="C1175" s="18">
        <v>45002</v>
      </c>
      <c r="D1175" s="24">
        <f t="shared" si="90"/>
        <v>2023</v>
      </c>
      <c r="E1175" s="24" t="str">
        <f t="shared" si="91"/>
        <v>Q1</v>
      </c>
      <c r="F1175" s="24" t="str">
        <f t="shared" si="92"/>
        <v>Mar</v>
      </c>
      <c r="G1175" s="24">
        <f t="shared" si="93"/>
        <v>3</v>
      </c>
      <c r="H1175" s="19">
        <v>1603</v>
      </c>
      <c r="I1175" s="19" t="s">
        <v>0</v>
      </c>
      <c r="J1175" s="19" t="s">
        <v>5</v>
      </c>
      <c r="K1175" s="20">
        <v>6</v>
      </c>
      <c r="L1175" s="21">
        <v>26.63</v>
      </c>
      <c r="M1175" s="22">
        <v>0.28000000000000003</v>
      </c>
      <c r="N1175" s="21">
        <f t="shared" si="94"/>
        <v>19.1736</v>
      </c>
      <c r="O1175" s="21">
        <v>115.04</v>
      </c>
      <c r="P1175" s="19" t="s">
        <v>4</v>
      </c>
      <c r="Q1175" s="23">
        <v>3</v>
      </c>
      <c r="R1175" s="45">
        <v>3.9</v>
      </c>
    </row>
    <row r="1176" spans="2:18" x14ac:dyDescent="0.2">
      <c r="B1176" s="25">
        <v>1173</v>
      </c>
      <c r="C1176" s="18">
        <v>45003</v>
      </c>
      <c r="D1176" s="24">
        <f t="shared" si="90"/>
        <v>2023</v>
      </c>
      <c r="E1176" s="24" t="str">
        <f t="shared" si="91"/>
        <v>Q1</v>
      </c>
      <c r="F1176" s="24" t="str">
        <f t="shared" si="92"/>
        <v>Mar</v>
      </c>
      <c r="G1176" s="24">
        <f t="shared" si="93"/>
        <v>3</v>
      </c>
      <c r="H1176" s="19">
        <v>1681</v>
      </c>
      <c r="I1176" s="19" t="s">
        <v>10</v>
      </c>
      <c r="J1176" s="19" t="s">
        <v>8</v>
      </c>
      <c r="K1176" s="20">
        <v>3</v>
      </c>
      <c r="L1176" s="21">
        <v>331.61</v>
      </c>
      <c r="M1176" s="22">
        <v>0.26</v>
      </c>
      <c r="N1176" s="21">
        <f t="shared" si="94"/>
        <v>245.3914</v>
      </c>
      <c r="O1176" s="21">
        <v>736.17</v>
      </c>
      <c r="P1176" s="19" t="s">
        <v>6</v>
      </c>
      <c r="Q1176" s="23">
        <v>4</v>
      </c>
      <c r="R1176" s="45">
        <v>4.3</v>
      </c>
    </row>
    <row r="1177" spans="2:18" x14ac:dyDescent="0.2">
      <c r="B1177" s="25">
        <v>1174</v>
      </c>
      <c r="C1177" s="18">
        <v>45004</v>
      </c>
      <c r="D1177" s="24">
        <f t="shared" si="90"/>
        <v>2023</v>
      </c>
      <c r="E1177" s="24" t="str">
        <f t="shared" si="91"/>
        <v>Q1</v>
      </c>
      <c r="F1177" s="24" t="str">
        <f t="shared" si="92"/>
        <v>Mar</v>
      </c>
      <c r="G1177" s="24">
        <f t="shared" si="93"/>
        <v>3</v>
      </c>
      <c r="H1177" s="19">
        <v>1828</v>
      </c>
      <c r="I1177" s="19" t="s">
        <v>10</v>
      </c>
      <c r="J1177" s="19" t="s">
        <v>5</v>
      </c>
      <c r="K1177" s="20">
        <v>4</v>
      </c>
      <c r="L1177" s="21">
        <v>574.61</v>
      </c>
      <c r="M1177" s="22">
        <v>0.01</v>
      </c>
      <c r="N1177" s="21">
        <f t="shared" si="94"/>
        <v>568.86390000000006</v>
      </c>
      <c r="O1177" s="21">
        <v>2275.46</v>
      </c>
      <c r="P1177" s="19" t="s">
        <v>4</v>
      </c>
      <c r="Q1177" s="23">
        <v>11</v>
      </c>
      <c r="R1177" s="45">
        <v>5</v>
      </c>
    </row>
    <row r="1178" spans="2:18" x14ac:dyDescent="0.2">
      <c r="B1178" s="25">
        <v>1175</v>
      </c>
      <c r="C1178" s="18">
        <v>45005</v>
      </c>
      <c r="D1178" s="24">
        <f t="shared" si="90"/>
        <v>2023</v>
      </c>
      <c r="E1178" s="24" t="str">
        <f t="shared" si="91"/>
        <v>Q1</v>
      </c>
      <c r="F1178" s="24" t="str">
        <f t="shared" si="92"/>
        <v>Mar</v>
      </c>
      <c r="G1178" s="24">
        <f t="shared" si="93"/>
        <v>3</v>
      </c>
      <c r="H1178" s="19">
        <v>1533</v>
      </c>
      <c r="I1178" s="19" t="s">
        <v>7</v>
      </c>
      <c r="J1178" s="19" t="s">
        <v>1</v>
      </c>
      <c r="K1178" s="20">
        <v>1</v>
      </c>
      <c r="L1178" s="21">
        <v>243.9</v>
      </c>
      <c r="M1178" s="22">
        <v>0.28000000000000003</v>
      </c>
      <c r="N1178" s="21">
        <f t="shared" si="94"/>
        <v>175.608</v>
      </c>
      <c r="O1178" s="21">
        <v>175.61</v>
      </c>
      <c r="P1178" s="19" t="s">
        <v>6</v>
      </c>
      <c r="Q1178" s="23">
        <v>8</v>
      </c>
      <c r="R1178" s="45">
        <v>2.1</v>
      </c>
    </row>
    <row r="1179" spans="2:18" x14ac:dyDescent="0.2">
      <c r="B1179" s="25">
        <v>1176</v>
      </c>
      <c r="C1179" s="18">
        <v>45006</v>
      </c>
      <c r="D1179" s="24">
        <f t="shared" si="90"/>
        <v>2023</v>
      </c>
      <c r="E1179" s="24" t="str">
        <f t="shared" si="91"/>
        <v>Q1</v>
      </c>
      <c r="F1179" s="24" t="str">
        <f t="shared" si="92"/>
        <v>Mar</v>
      </c>
      <c r="G1179" s="24">
        <f t="shared" si="93"/>
        <v>3</v>
      </c>
      <c r="H1179" s="19">
        <v>1404</v>
      </c>
      <c r="I1179" s="19" t="s">
        <v>7</v>
      </c>
      <c r="J1179" s="19" t="s">
        <v>1</v>
      </c>
      <c r="K1179" s="20">
        <v>2</v>
      </c>
      <c r="L1179" s="21">
        <v>260.77999999999997</v>
      </c>
      <c r="M1179" s="22">
        <v>0.05</v>
      </c>
      <c r="N1179" s="21">
        <f t="shared" si="94"/>
        <v>247.74099999999999</v>
      </c>
      <c r="O1179" s="21">
        <v>495.48</v>
      </c>
      <c r="P1179" s="19" t="s">
        <v>4</v>
      </c>
      <c r="Q1179" s="23">
        <v>1</v>
      </c>
      <c r="R1179" s="45">
        <v>3.2</v>
      </c>
    </row>
    <row r="1180" spans="2:18" x14ac:dyDescent="0.2">
      <c r="B1180" s="25">
        <v>1177</v>
      </c>
      <c r="C1180" s="18">
        <v>45007</v>
      </c>
      <c r="D1180" s="24">
        <f t="shared" si="90"/>
        <v>2023</v>
      </c>
      <c r="E1180" s="24" t="str">
        <f t="shared" si="91"/>
        <v>Q1</v>
      </c>
      <c r="F1180" s="24" t="str">
        <f t="shared" si="92"/>
        <v>Mar</v>
      </c>
      <c r="G1180" s="24">
        <f t="shared" si="93"/>
        <v>3</v>
      </c>
      <c r="H1180" s="19">
        <v>1837</v>
      </c>
      <c r="I1180" s="19" t="s">
        <v>7</v>
      </c>
      <c r="J1180" s="19" t="s">
        <v>8</v>
      </c>
      <c r="K1180" s="20">
        <v>5</v>
      </c>
      <c r="L1180" s="21">
        <v>581.80999999999995</v>
      </c>
      <c r="M1180" s="22">
        <v>0.08</v>
      </c>
      <c r="N1180" s="21">
        <f t="shared" si="94"/>
        <v>535.26519999999994</v>
      </c>
      <c r="O1180" s="21">
        <v>2676.33</v>
      </c>
      <c r="P1180" s="19" t="s">
        <v>6</v>
      </c>
      <c r="Q1180" s="23">
        <v>2</v>
      </c>
      <c r="R1180" s="45">
        <v>1.5</v>
      </c>
    </row>
    <row r="1181" spans="2:18" x14ac:dyDescent="0.2">
      <c r="B1181" s="25">
        <v>1178</v>
      </c>
      <c r="C1181" s="18">
        <v>45008</v>
      </c>
      <c r="D1181" s="24">
        <f t="shared" si="90"/>
        <v>2023</v>
      </c>
      <c r="E1181" s="24" t="str">
        <f t="shared" si="91"/>
        <v>Q1</v>
      </c>
      <c r="F1181" s="24" t="str">
        <f t="shared" si="92"/>
        <v>Mar</v>
      </c>
      <c r="G1181" s="24">
        <f t="shared" si="93"/>
        <v>3</v>
      </c>
      <c r="H1181" s="19">
        <v>1512</v>
      </c>
      <c r="I1181" s="19" t="s">
        <v>10</v>
      </c>
      <c r="J1181" s="19" t="s">
        <v>1</v>
      </c>
      <c r="K1181" s="20">
        <v>3</v>
      </c>
      <c r="L1181" s="21">
        <v>421.35</v>
      </c>
      <c r="M1181" s="22">
        <v>0.2</v>
      </c>
      <c r="N1181" s="21">
        <f t="shared" si="94"/>
        <v>337.08000000000004</v>
      </c>
      <c r="O1181" s="21">
        <v>1011.24</v>
      </c>
      <c r="P1181" s="19" t="s">
        <v>6</v>
      </c>
      <c r="Q1181" s="23">
        <v>11</v>
      </c>
      <c r="R1181" s="45">
        <v>2.2999999999999998</v>
      </c>
    </row>
    <row r="1182" spans="2:18" x14ac:dyDescent="0.2">
      <c r="B1182" s="25">
        <v>1179</v>
      </c>
      <c r="C1182" s="18">
        <v>45009</v>
      </c>
      <c r="D1182" s="24">
        <f t="shared" si="90"/>
        <v>2023</v>
      </c>
      <c r="E1182" s="24" t="str">
        <f t="shared" si="91"/>
        <v>Q1</v>
      </c>
      <c r="F1182" s="24" t="str">
        <f t="shared" si="92"/>
        <v>Mar</v>
      </c>
      <c r="G1182" s="24">
        <f t="shared" si="93"/>
        <v>3</v>
      </c>
      <c r="H1182" s="19">
        <v>1644</v>
      </c>
      <c r="I1182" s="19" t="s">
        <v>3</v>
      </c>
      <c r="J1182" s="19" t="s">
        <v>5</v>
      </c>
      <c r="K1182" s="20">
        <v>6</v>
      </c>
      <c r="L1182" s="21">
        <v>435.72</v>
      </c>
      <c r="M1182" s="22">
        <v>0.09</v>
      </c>
      <c r="N1182" s="21">
        <f t="shared" si="94"/>
        <v>396.5052</v>
      </c>
      <c r="O1182" s="21">
        <v>2379.0300000000002</v>
      </c>
      <c r="P1182" s="19" t="s">
        <v>6</v>
      </c>
      <c r="Q1182" s="23">
        <v>5</v>
      </c>
      <c r="R1182" s="45">
        <v>1.2</v>
      </c>
    </row>
    <row r="1183" spans="2:18" x14ac:dyDescent="0.2">
      <c r="B1183" s="25">
        <v>1180</v>
      </c>
      <c r="C1183" s="18">
        <v>45010</v>
      </c>
      <c r="D1183" s="24">
        <f t="shared" si="90"/>
        <v>2023</v>
      </c>
      <c r="E1183" s="24" t="str">
        <f t="shared" si="91"/>
        <v>Q1</v>
      </c>
      <c r="F1183" s="24" t="str">
        <f t="shared" si="92"/>
        <v>Mar</v>
      </c>
      <c r="G1183" s="24">
        <f t="shared" si="93"/>
        <v>3</v>
      </c>
      <c r="H1183" s="19">
        <v>1232</v>
      </c>
      <c r="I1183" s="19" t="s">
        <v>3</v>
      </c>
      <c r="J1183" s="19" t="s">
        <v>1</v>
      </c>
      <c r="K1183" s="20">
        <v>4</v>
      </c>
      <c r="L1183" s="21">
        <v>344.18</v>
      </c>
      <c r="M1183" s="22">
        <v>0.23</v>
      </c>
      <c r="N1183" s="21">
        <f t="shared" si="94"/>
        <v>265.01859999999999</v>
      </c>
      <c r="O1183" s="21">
        <v>1060.07</v>
      </c>
      <c r="P1183" s="19" t="s">
        <v>6</v>
      </c>
      <c r="Q1183" s="23">
        <v>6</v>
      </c>
      <c r="R1183" s="45">
        <v>1.8</v>
      </c>
    </row>
    <row r="1184" spans="2:18" x14ac:dyDescent="0.2">
      <c r="B1184" s="25">
        <v>1181</v>
      </c>
      <c r="C1184" s="18">
        <v>45011</v>
      </c>
      <c r="D1184" s="24">
        <f t="shared" si="90"/>
        <v>2023</v>
      </c>
      <c r="E1184" s="24" t="str">
        <f t="shared" si="91"/>
        <v>Q1</v>
      </c>
      <c r="F1184" s="24" t="str">
        <f t="shared" si="92"/>
        <v>Mar</v>
      </c>
      <c r="G1184" s="24">
        <f t="shared" si="93"/>
        <v>3</v>
      </c>
      <c r="H1184" s="19">
        <v>1523</v>
      </c>
      <c r="I1184" s="19" t="s">
        <v>0</v>
      </c>
      <c r="J1184" s="19" t="s">
        <v>8</v>
      </c>
      <c r="K1184" s="20">
        <v>4</v>
      </c>
      <c r="L1184" s="21">
        <v>585.15</v>
      </c>
      <c r="M1184" s="22">
        <v>0.21</v>
      </c>
      <c r="N1184" s="21">
        <f t="shared" si="94"/>
        <v>462.26850000000002</v>
      </c>
      <c r="O1184" s="21">
        <v>1849.07</v>
      </c>
      <c r="P1184" s="19" t="s">
        <v>2</v>
      </c>
      <c r="Q1184" s="23">
        <v>5</v>
      </c>
      <c r="R1184" s="45">
        <v>3</v>
      </c>
    </row>
    <row r="1185" spans="2:18" x14ac:dyDescent="0.2">
      <c r="B1185" s="25">
        <v>1182</v>
      </c>
      <c r="C1185" s="18">
        <v>45012</v>
      </c>
      <c r="D1185" s="24">
        <f t="shared" si="90"/>
        <v>2023</v>
      </c>
      <c r="E1185" s="24" t="str">
        <f t="shared" si="91"/>
        <v>Q1</v>
      </c>
      <c r="F1185" s="24" t="str">
        <f t="shared" si="92"/>
        <v>Mar</v>
      </c>
      <c r="G1185" s="24">
        <f t="shared" si="93"/>
        <v>3</v>
      </c>
      <c r="H1185" s="19">
        <v>1345</v>
      </c>
      <c r="I1185" s="19" t="s">
        <v>0</v>
      </c>
      <c r="J1185" s="19" t="s">
        <v>5</v>
      </c>
      <c r="K1185" s="20">
        <v>7</v>
      </c>
      <c r="L1185" s="21">
        <v>417.99</v>
      </c>
      <c r="M1185" s="22">
        <v>0.04</v>
      </c>
      <c r="N1185" s="21">
        <f t="shared" si="94"/>
        <v>401.2704</v>
      </c>
      <c r="O1185" s="21">
        <v>2808.89</v>
      </c>
      <c r="P1185" s="19" t="s">
        <v>4</v>
      </c>
      <c r="Q1185" s="23">
        <v>3</v>
      </c>
      <c r="R1185" s="45">
        <v>1.7</v>
      </c>
    </row>
    <row r="1186" spans="2:18" x14ac:dyDescent="0.2">
      <c r="B1186" s="25">
        <v>1183</v>
      </c>
      <c r="C1186" s="18">
        <v>45013</v>
      </c>
      <c r="D1186" s="24">
        <f t="shared" si="90"/>
        <v>2023</v>
      </c>
      <c r="E1186" s="24" t="str">
        <f t="shared" si="91"/>
        <v>Q1</v>
      </c>
      <c r="F1186" s="24" t="str">
        <f t="shared" si="92"/>
        <v>Mar</v>
      </c>
      <c r="G1186" s="24">
        <f t="shared" si="93"/>
        <v>3</v>
      </c>
      <c r="H1186" s="19">
        <v>1045</v>
      </c>
      <c r="I1186" s="19" t="s">
        <v>0</v>
      </c>
      <c r="J1186" s="19" t="s">
        <v>9</v>
      </c>
      <c r="K1186" s="20">
        <v>1</v>
      </c>
      <c r="L1186" s="21">
        <v>538.59</v>
      </c>
      <c r="M1186" s="22">
        <v>0.23</v>
      </c>
      <c r="N1186" s="21">
        <f t="shared" si="94"/>
        <v>414.71430000000004</v>
      </c>
      <c r="O1186" s="21">
        <v>414.71</v>
      </c>
      <c r="P1186" s="19" t="s">
        <v>4</v>
      </c>
      <c r="Q1186" s="23">
        <v>10</v>
      </c>
      <c r="R1186" s="45">
        <v>4.5999999999999996</v>
      </c>
    </row>
    <row r="1187" spans="2:18" x14ac:dyDescent="0.2">
      <c r="B1187" s="25">
        <v>1184</v>
      </c>
      <c r="C1187" s="18">
        <v>45014</v>
      </c>
      <c r="D1187" s="24">
        <f t="shared" si="90"/>
        <v>2023</v>
      </c>
      <c r="E1187" s="24" t="str">
        <f t="shared" si="91"/>
        <v>Q1</v>
      </c>
      <c r="F1187" s="24" t="str">
        <f t="shared" si="92"/>
        <v>Mar</v>
      </c>
      <c r="G1187" s="24">
        <f t="shared" si="93"/>
        <v>3</v>
      </c>
      <c r="H1187" s="19">
        <v>1545</v>
      </c>
      <c r="I1187" s="19" t="s">
        <v>7</v>
      </c>
      <c r="J1187" s="19" t="s">
        <v>5</v>
      </c>
      <c r="K1187" s="20">
        <v>5</v>
      </c>
      <c r="L1187" s="21">
        <v>424.14</v>
      </c>
      <c r="M1187" s="22">
        <v>0.32</v>
      </c>
      <c r="N1187" s="21">
        <f t="shared" si="94"/>
        <v>288.41520000000003</v>
      </c>
      <c r="O1187" s="21">
        <v>1442.08</v>
      </c>
      <c r="P1187" s="19" t="s">
        <v>6</v>
      </c>
      <c r="Q1187" s="23">
        <v>7</v>
      </c>
      <c r="R1187" s="45">
        <v>3.8</v>
      </c>
    </row>
    <row r="1188" spans="2:18" x14ac:dyDescent="0.2">
      <c r="B1188" s="25">
        <v>1185</v>
      </c>
      <c r="C1188" s="18">
        <v>45015</v>
      </c>
      <c r="D1188" s="24">
        <f t="shared" si="90"/>
        <v>2023</v>
      </c>
      <c r="E1188" s="24" t="str">
        <f t="shared" si="91"/>
        <v>Q1</v>
      </c>
      <c r="F1188" s="24" t="str">
        <f t="shared" si="92"/>
        <v>Mar</v>
      </c>
      <c r="G1188" s="24">
        <f t="shared" si="93"/>
        <v>3</v>
      </c>
      <c r="H1188" s="19">
        <v>1944</v>
      </c>
      <c r="I1188" s="19" t="s">
        <v>10</v>
      </c>
      <c r="J1188" s="19" t="s">
        <v>1</v>
      </c>
      <c r="K1188" s="20">
        <v>1</v>
      </c>
      <c r="L1188" s="21">
        <v>445.04</v>
      </c>
      <c r="M1188" s="22">
        <v>0.06</v>
      </c>
      <c r="N1188" s="21">
        <f t="shared" si="94"/>
        <v>418.33760000000001</v>
      </c>
      <c r="O1188" s="21">
        <v>418.34</v>
      </c>
      <c r="P1188" s="19" t="s">
        <v>6</v>
      </c>
      <c r="Q1188" s="23">
        <v>1</v>
      </c>
      <c r="R1188" s="45">
        <v>1.1000000000000001</v>
      </c>
    </row>
    <row r="1189" spans="2:18" x14ac:dyDescent="0.2">
      <c r="B1189" s="25">
        <v>1186</v>
      </c>
      <c r="C1189" s="18">
        <v>45016</v>
      </c>
      <c r="D1189" s="24">
        <f t="shared" si="90"/>
        <v>2023</v>
      </c>
      <c r="E1189" s="24" t="str">
        <f t="shared" si="91"/>
        <v>Q1</v>
      </c>
      <c r="F1189" s="24" t="str">
        <f t="shared" si="92"/>
        <v>Mar</v>
      </c>
      <c r="G1189" s="24">
        <f t="shared" si="93"/>
        <v>3</v>
      </c>
      <c r="H1189" s="19">
        <v>1077</v>
      </c>
      <c r="I1189" s="19" t="s">
        <v>7</v>
      </c>
      <c r="J1189" s="19" t="s">
        <v>9</v>
      </c>
      <c r="K1189" s="20">
        <v>6</v>
      </c>
      <c r="L1189" s="21">
        <v>184.89</v>
      </c>
      <c r="M1189" s="22">
        <v>0.21</v>
      </c>
      <c r="N1189" s="21">
        <f t="shared" si="94"/>
        <v>146.06309999999999</v>
      </c>
      <c r="O1189" s="21">
        <v>876.38</v>
      </c>
      <c r="P1189" s="19" t="s">
        <v>4</v>
      </c>
      <c r="Q1189" s="23">
        <v>2</v>
      </c>
      <c r="R1189" s="45">
        <v>4.5</v>
      </c>
    </row>
    <row r="1190" spans="2:18" x14ac:dyDescent="0.2">
      <c r="B1190" s="25">
        <v>1187</v>
      </c>
      <c r="C1190" s="18">
        <v>45017</v>
      </c>
      <c r="D1190" s="24">
        <f t="shared" si="90"/>
        <v>2023</v>
      </c>
      <c r="E1190" s="24" t="str">
        <f t="shared" si="91"/>
        <v>Q2</v>
      </c>
      <c r="F1190" s="24" t="str">
        <f t="shared" si="92"/>
        <v>Apr</v>
      </c>
      <c r="G1190" s="24">
        <f t="shared" si="93"/>
        <v>4</v>
      </c>
      <c r="H1190" s="19">
        <v>1729</v>
      </c>
      <c r="I1190" s="19" t="s">
        <v>7</v>
      </c>
      <c r="J1190" s="19" t="s">
        <v>5</v>
      </c>
      <c r="K1190" s="20">
        <v>2</v>
      </c>
      <c r="L1190" s="21">
        <v>192.54</v>
      </c>
      <c r="M1190" s="22">
        <v>0.12</v>
      </c>
      <c r="N1190" s="21">
        <f t="shared" si="94"/>
        <v>169.43520000000001</v>
      </c>
      <c r="O1190" s="21">
        <v>338.87</v>
      </c>
      <c r="P1190" s="19" t="s">
        <v>6</v>
      </c>
      <c r="Q1190" s="23">
        <v>11</v>
      </c>
      <c r="R1190" s="45">
        <v>4.9000000000000004</v>
      </c>
    </row>
    <row r="1191" spans="2:18" x14ac:dyDescent="0.2">
      <c r="B1191" s="25">
        <v>1188</v>
      </c>
      <c r="C1191" s="18">
        <v>45018</v>
      </c>
      <c r="D1191" s="24">
        <f t="shared" si="90"/>
        <v>2023</v>
      </c>
      <c r="E1191" s="24" t="str">
        <f t="shared" si="91"/>
        <v>Q2</v>
      </c>
      <c r="F1191" s="24" t="str">
        <f t="shared" si="92"/>
        <v>Apr</v>
      </c>
      <c r="G1191" s="24">
        <f t="shared" si="93"/>
        <v>4</v>
      </c>
      <c r="H1191" s="19">
        <v>1812</v>
      </c>
      <c r="I1191" s="19" t="s">
        <v>7</v>
      </c>
      <c r="J1191" s="19" t="s">
        <v>9</v>
      </c>
      <c r="K1191" s="20">
        <v>2</v>
      </c>
      <c r="L1191" s="21">
        <v>473.05</v>
      </c>
      <c r="M1191" s="22">
        <v>0.16</v>
      </c>
      <c r="N1191" s="21">
        <f t="shared" si="94"/>
        <v>397.36200000000002</v>
      </c>
      <c r="O1191" s="21">
        <v>794.72</v>
      </c>
      <c r="P1191" s="19" t="s">
        <v>4</v>
      </c>
      <c r="Q1191" s="23">
        <v>9</v>
      </c>
      <c r="R1191" s="45">
        <v>3</v>
      </c>
    </row>
    <row r="1192" spans="2:18" x14ac:dyDescent="0.2">
      <c r="B1192" s="25">
        <v>1189</v>
      </c>
      <c r="C1192" s="18">
        <v>45019</v>
      </c>
      <c r="D1192" s="24">
        <f t="shared" si="90"/>
        <v>2023</v>
      </c>
      <c r="E1192" s="24" t="str">
        <f t="shared" si="91"/>
        <v>Q2</v>
      </c>
      <c r="F1192" s="24" t="str">
        <f t="shared" si="92"/>
        <v>Apr</v>
      </c>
      <c r="G1192" s="24">
        <f t="shared" si="93"/>
        <v>4</v>
      </c>
      <c r="H1192" s="19">
        <v>1922</v>
      </c>
      <c r="I1192" s="19" t="s">
        <v>7</v>
      </c>
      <c r="J1192" s="19" t="s">
        <v>9</v>
      </c>
      <c r="K1192" s="20">
        <v>2</v>
      </c>
      <c r="L1192" s="21">
        <v>188.57</v>
      </c>
      <c r="M1192" s="22">
        <v>0.1</v>
      </c>
      <c r="N1192" s="21">
        <f t="shared" si="94"/>
        <v>169.71299999999999</v>
      </c>
      <c r="O1192" s="21">
        <v>339.43</v>
      </c>
      <c r="P1192" s="19" t="s">
        <v>6</v>
      </c>
      <c r="Q1192" s="23">
        <v>4</v>
      </c>
      <c r="R1192" s="45">
        <v>2.2999999999999998</v>
      </c>
    </row>
    <row r="1193" spans="2:18" x14ac:dyDescent="0.2">
      <c r="B1193" s="25">
        <v>1190</v>
      </c>
      <c r="C1193" s="18">
        <v>45020</v>
      </c>
      <c r="D1193" s="24">
        <f t="shared" si="90"/>
        <v>2023</v>
      </c>
      <c r="E1193" s="24" t="str">
        <f t="shared" si="91"/>
        <v>Q2</v>
      </c>
      <c r="F1193" s="24" t="str">
        <f t="shared" si="92"/>
        <v>Apr</v>
      </c>
      <c r="G1193" s="24">
        <f t="shared" si="93"/>
        <v>4</v>
      </c>
      <c r="H1193" s="19">
        <v>1072</v>
      </c>
      <c r="I1193" s="19" t="s">
        <v>3</v>
      </c>
      <c r="J1193" s="19" t="s">
        <v>9</v>
      </c>
      <c r="K1193" s="20">
        <v>4</v>
      </c>
      <c r="L1193" s="21">
        <v>344.22</v>
      </c>
      <c r="M1193" s="22">
        <v>0.12</v>
      </c>
      <c r="N1193" s="21">
        <f t="shared" si="94"/>
        <v>302.91360000000003</v>
      </c>
      <c r="O1193" s="21">
        <v>1211.6500000000001</v>
      </c>
      <c r="P1193" s="19" t="s">
        <v>2</v>
      </c>
      <c r="Q1193" s="23">
        <v>8</v>
      </c>
      <c r="R1193" s="45">
        <v>2.1</v>
      </c>
    </row>
    <row r="1194" spans="2:18" x14ac:dyDescent="0.2">
      <c r="B1194" s="25">
        <v>1191</v>
      </c>
      <c r="C1194" s="18">
        <v>45021</v>
      </c>
      <c r="D1194" s="24">
        <f t="shared" si="90"/>
        <v>2023</v>
      </c>
      <c r="E1194" s="24" t="str">
        <f t="shared" si="91"/>
        <v>Q2</v>
      </c>
      <c r="F1194" s="24" t="str">
        <f t="shared" si="92"/>
        <v>Apr</v>
      </c>
      <c r="G1194" s="24">
        <f t="shared" si="93"/>
        <v>4</v>
      </c>
      <c r="H1194" s="19">
        <v>1793</v>
      </c>
      <c r="I1194" s="19" t="s">
        <v>10</v>
      </c>
      <c r="J1194" s="19" t="s">
        <v>5</v>
      </c>
      <c r="K1194" s="20">
        <v>5</v>
      </c>
      <c r="L1194" s="21">
        <v>160.87</v>
      </c>
      <c r="M1194" s="22">
        <v>0.01</v>
      </c>
      <c r="N1194" s="21">
        <f t="shared" si="94"/>
        <v>159.26130000000001</v>
      </c>
      <c r="O1194" s="21">
        <v>796.31</v>
      </c>
      <c r="P1194" s="19" t="s">
        <v>6</v>
      </c>
      <c r="Q1194" s="23">
        <v>9</v>
      </c>
      <c r="R1194" s="45">
        <v>1.3</v>
      </c>
    </row>
    <row r="1195" spans="2:18" x14ac:dyDescent="0.2">
      <c r="B1195" s="25">
        <v>1192</v>
      </c>
      <c r="C1195" s="18">
        <v>45022</v>
      </c>
      <c r="D1195" s="24">
        <f t="shared" si="90"/>
        <v>2023</v>
      </c>
      <c r="E1195" s="24" t="str">
        <f t="shared" si="91"/>
        <v>Q2</v>
      </c>
      <c r="F1195" s="24" t="str">
        <f t="shared" si="92"/>
        <v>Apr</v>
      </c>
      <c r="G1195" s="24">
        <f t="shared" si="93"/>
        <v>4</v>
      </c>
      <c r="H1195" s="19">
        <v>1248</v>
      </c>
      <c r="I1195" s="19" t="s">
        <v>7</v>
      </c>
      <c r="J1195" s="19" t="s">
        <v>1</v>
      </c>
      <c r="K1195" s="20">
        <v>1</v>
      </c>
      <c r="L1195" s="21">
        <v>492.94</v>
      </c>
      <c r="M1195" s="22">
        <v>0.34</v>
      </c>
      <c r="N1195" s="21">
        <f t="shared" si="94"/>
        <v>325.34039999999999</v>
      </c>
      <c r="O1195" s="21">
        <v>325.33999999999997</v>
      </c>
      <c r="P1195" s="19" t="s">
        <v>4</v>
      </c>
      <c r="Q1195" s="23">
        <v>7</v>
      </c>
      <c r="R1195" s="45">
        <v>3</v>
      </c>
    </row>
    <row r="1196" spans="2:18" x14ac:dyDescent="0.2">
      <c r="B1196" s="25">
        <v>1193</v>
      </c>
      <c r="C1196" s="18">
        <v>45023</v>
      </c>
      <c r="D1196" s="24">
        <f t="shared" si="90"/>
        <v>2023</v>
      </c>
      <c r="E1196" s="24" t="str">
        <f t="shared" si="91"/>
        <v>Q2</v>
      </c>
      <c r="F1196" s="24" t="str">
        <f t="shared" si="92"/>
        <v>Apr</v>
      </c>
      <c r="G1196" s="24">
        <f t="shared" si="93"/>
        <v>4</v>
      </c>
      <c r="H1196" s="19">
        <v>1046</v>
      </c>
      <c r="I1196" s="19" t="s">
        <v>10</v>
      </c>
      <c r="J1196" s="19" t="s">
        <v>5</v>
      </c>
      <c r="K1196" s="20">
        <v>1</v>
      </c>
      <c r="L1196" s="21">
        <v>79.64</v>
      </c>
      <c r="M1196" s="22">
        <v>0.22</v>
      </c>
      <c r="N1196" s="21">
        <f t="shared" si="94"/>
        <v>62.119199999999999</v>
      </c>
      <c r="O1196" s="21">
        <v>62.12</v>
      </c>
      <c r="P1196" s="19" t="s">
        <v>6</v>
      </c>
      <c r="Q1196" s="23">
        <v>1</v>
      </c>
      <c r="R1196" s="45">
        <v>1.2</v>
      </c>
    </row>
    <row r="1197" spans="2:18" x14ac:dyDescent="0.2">
      <c r="B1197" s="25">
        <v>1194</v>
      </c>
      <c r="C1197" s="18">
        <v>45024</v>
      </c>
      <c r="D1197" s="24">
        <f t="shared" si="90"/>
        <v>2023</v>
      </c>
      <c r="E1197" s="24" t="str">
        <f t="shared" si="91"/>
        <v>Q2</v>
      </c>
      <c r="F1197" s="24" t="str">
        <f t="shared" si="92"/>
        <v>Apr</v>
      </c>
      <c r="G1197" s="24">
        <f t="shared" si="93"/>
        <v>4</v>
      </c>
      <c r="H1197" s="19">
        <v>1120</v>
      </c>
      <c r="I1197" s="19" t="s">
        <v>3</v>
      </c>
      <c r="J1197" s="19" t="s">
        <v>1</v>
      </c>
      <c r="K1197" s="20">
        <v>6</v>
      </c>
      <c r="L1197" s="21">
        <v>500.23</v>
      </c>
      <c r="M1197" s="22">
        <v>0.18</v>
      </c>
      <c r="N1197" s="21">
        <f t="shared" si="94"/>
        <v>410.18860000000001</v>
      </c>
      <c r="O1197" s="21">
        <v>2461.13</v>
      </c>
      <c r="P1197" s="19" t="s">
        <v>6</v>
      </c>
      <c r="Q1197" s="23">
        <v>5</v>
      </c>
      <c r="R1197" s="45">
        <v>3</v>
      </c>
    </row>
    <row r="1198" spans="2:18" x14ac:dyDescent="0.2">
      <c r="B1198" s="25">
        <v>1195</v>
      </c>
      <c r="C1198" s="18">
        <v>45025</v>
      </c>
      <c r="D1198" s="24">
        <f t="shared" si="90"/>
        <v>2023</v>
      </c>
      <c r="E1198" s="24" t="str">
        <f t="shared" si="91"/>
        <v>Q2</v>
      </c>
      <c r="F1198" s="24" t="str">
        <f t="shared" si="92"/>
        <v>Apr</v>
      </c>
      <c r="G1198" s="24">
        <f t="shared" si="93"/>
        <v>4</v>
      </c>
      <c r="H1198" s="19">
        <v>1213</v>
      </c>
      <c r="I1198" s="19" t="s">
        <v>7</v>
      </c>
      <c r="J1198" s="19" t="s">
        <v>5</v>
      </c>
      <c r="K1198" s="20">
        <v>2</v>
      </c>
      <c r="L1198" s="21">
        <v>367.6</v>
      </c>
      <c r="M1198" s="22">
        <v>0.13</v>
      </c>
      <c r="N1198" s="21">
        <f t="shared" si="94"/>
        <v>319.81200000000001</v>
      </c>
      <c r="O1198" s="21">
        <v>639.62</v>
      </c>
      <c r="P1198" s="19" t="s">
        <v>4</v>
      </c>
      <c r="Q1198" s="23">
        <v>6</v>
      </c>
      <c r="R1198" s="45">
        <v>2</v>
      </c>
    </row>
    <row r="1199" spans="2:18" x14ac:dyDescent="0.2">
      <c r="B1199" s="25">
        <v>1196</v>
      </c>
      <c r="C1199" s="18">
        <v>45026</v>
      </c>
      <c r="D1199" s="24">
        <f t="shared" si="90"/>
        <v>2023</v>
      </c>
      <c r="E1199" s="24" t="str">
        <f t="shared" si="91"/>
        <v>Q2</v>
      </c>
      <c r="F1199" s="24" t="str">
        <f t="shared" si="92"/>
        <v>Apr</v>
      </c>
      <c r="G1199" s="24">
        <f t="shared" si="93"/>
        <v>4</v>
      </c>
      <c r="H1199" s="19">
        <v>1238</v>
      </c>
      <c r="I1199" s="19" t="s">
        <v>3</v>
      </c>
      <c r="J1199" s="19" t="s">
        <v>5</v>
      </c>
      <c r="K1199" s="20">
        <v>5</v>
      </c>
      <c r="L1199" s="21">
        <v>124.34</v>
      </c>
      <c r="M1199" s="22">
        <v>0.19</v>
      </c>
      <c r="N1199" s="21">
        <f t="shared" si="94"/>
        <v>100.7154</v>
      </c>
      <c r="O1199" s="21">
        <v>503.58</v>
      </c>
      <c r="P1199" s="19" t="s">
        <v>6</v>
      </c>
      <c r="Q1199" s="23">
        <v>11</v>
      </c>
      <c r="R1199" s="45">
        <v>2.9</v>
      </c>
    </row>
    <row r="1200" spans="2:18" x14ac:dyDescent="0.2">
      <c r="B1200" s="25">
        <v>1197</v>
      </c>
      <c r="C1200" s="18">
        <v>45027</v>
      </c>
      <c r="D1200" s="24">
        <f t="shared" si="90"/>
        <v>2023</v>
      </c>
      <c r="E1200" s="24" t="str">
        <f t="shared" si="91"/>
        <v>Q2</v>
      </c>
      <c r="F1200" s="24" t="str">
        <f t="shared" si="92"/>
        <v>Apr</v>
      </c>
      <c r="G1200" s="24">
        <f t="shared" si="93"/>
        <v>4</v>
      </c>
      <c r="H1200" s="19">
        <v>1055</v>
      </c>
      <c r="I1200" s="19" t="s">
        <v>7</v>
      </c>
      <c r="J1200" s="19" t="s">
        <v>5</v>
      </c>
      <c r="K1200" s="20">
        <v>5</v>
      </c>
      <c r="L1200" s="21">
        <v>332.09</v>
      </c>
      <c r="M1200" s="22">
        <v>0.13</v>
      </c>
      <c r="N1200" s="21">
        <f t="shared" si="94"/>
        <v>288.91829999999999</v>
      </c>
      <c r="O1200" s="21">
        <v>1444.59</v>
      </c>
      <c r="P1200" s="19" t="s">
        <v>2</v>
      </c>
      <c r="Q1200" s="23">
        <v>8</v>
      </c>
      <c r="R1200" s="45">
        <v>2.7</v>
      </c>
    </row>
    <row r="1201" spans="2:18" x14ac:dyDescent="0.2">
      <c r="B1201" s="25">
        <v>1198</v>
      </c>
      <c r="C1201" s="18">
        <v>45028</v>
      </c>
      <c r="D1201" s="24">
        <f t="shared" si="90"/>
        <v>2023</v>
      </c>
      <c r="E1201" s="24" t="str">
        <f t="shared" si="91"/>
        <v>Q2</v>
      </c>
      <c r="F1201" s="24" t="str">
        <f t="shared" si="92"/>
        <v>Apr</v>
      </c>
      <c r="G1201" s="24">
        <f t="shared" si="93"/>
        <v>4</v>
      </c>
      <c r="H1201" s="19">
        <v>1349</v>
      </c>
      <c r="I1201" s="19" t="s">
        <v>3</v>
      </c>
      <c r="J1201" s="19" t="s">
        <v>1</v>
      </c>
      <c r="K1201" s="20">
        <v>6</v>
      </c>
      <c r="L1201" s="21">
        <v>180.26</v>
      </c>
      <c r="M1201" s="22">
        <v>0.13</v>
      </c>
      <c r="N1201" s="21">
        <f t="shared" si="94"/>
        <v>156.8262</v>
      </c>
      <c r="O1201" s="21">
        <v>940.96</v>
      </c>
      <c r="P1201" s="19" t="s">
        <v>4</v>
      </c>
      <c r="Q1201" s="23">
        <v>10</v>
      </c>
      <c r="R1201" s="45">
        <v>2.2000000000000002</v>
      </c>
    </row>
    <row r="1202" spans="2:18" x14ac:dyDescent="0.2">
      <c r="B1202" s="25">
        <v>1199</v>
      </c>
      <c r="C1202" s="18">
        <v>45029</v>
      </c>
      <c r="D1202" s="24">
        <f t="shared" si="90"/>
        <v>2023</v>
      </c>
      <c r="E1202" s="24" t="str">
        <f t="shared" si="91"/>
        <v>Q2</v>
      </c>
      <c r="F1202" s="24" t="str">
        <f t="shared" si="92"/>
        <v>Apr</v>
      </c>
      <c r="G1202" s="24">
        <f t="shared" si="93"/>
        <v>4</v>
      </c>
      <c r="H1202" s="19">
        <v>1106</v>
      </c>
      <c r="I1202" s="19" t="s">
        <v>3</v>
      </c>
      <c r="J1202" s="19" t="s">
        <v>5</v>
      </c>
      <c r="K1202" s="20">
        <v>3</v>
      </c>
      <c r="L1202" s="21">
        <v>204.23</v>
      </c>
      <c r="M1202" s="22">
        <v>0.16</v>
      </c>
      <c r="N1202" s="21">
        <f t="shared" si="94"/>
        <v>171.5532</v>
      </c>
      <c r="O1202" s="21">
        <v>514.66</v>
      </c>
      <c r="P1202" s="19" t="s">
        <v>4</v>
      </c>
      <c r="Q1202" s="23">
        <v>8</v>
      </c>
      <c r="R1202" s="45">
        <v>2.8</v>
      </c>
    </row>
    <row r="1203" spans="2:18" x14ac:dyDescent="0.2">
      <c r="B1203" s="25">
        <v>1200</v>
      </c>
      <c r="C1203" s="18">
        <v>45030</v>
      </c>
      <c r="D1203" s="24">
        <f t="shared" si="90"/>
        <v>2023</v>
      </c>
      <c r="E1203" s="24" t="str">
        <f t="shared" si="91"/>
        <v>Q2</v>
      </c>
      <c r="F1203" s="24" t="str">
        <f t="shared" si="92"/>
        <v>Apr</v>
      </c>
      <c r="G1203" s="24">
        <f t="shared" si="93"/>
        <v>4</v>
      </c>
      <c r="H1203" s="19">
        <v>1830</v>
      </c>
      <c r="I1203" s="19" t="s">
        <v>7</v>
      </c>
      <c r="J1203" s="19" t="s">
        <v>9</v>
      </c>
      <c r="K1203" s="20">
        <v>5</v>
      </c>
      <c r="L1203" s="21">
        <v>220.64</v>
      </c>
      <c r="M1203" s="22">
        <v>0.1</v>
      </c>
      <c r="N1203" s="21">
        <f t="shared" si="94"/>
        <v>198.57599999999999</v>
      </c>
      <c r="O1203" s="21">
        <v>992.88</v>
      </c>
      <c r="P1203" s="19" t="s">
        <v>4</v>
      </c>
      <c r="Q1203" s="23">
        <v>9</v>
      </c>
      <c r="R1203" s="45">
        <v>2.9</v>
      </c>
    </row>
    <row r="1204" spans="2:18" x14ac:dyDescent="0.2">
      <c r="B1204" s="25">
        <v>1201</v>
      </c>
      <c r="C1204" s="18">
        <v>45031</v>
      </c>
      <c r="D1204" s="24">
        <f t="shared" si="90"/>
        <v>2023</v>
      </c>
      <c r="E1204" s="24" t="str">
        <f t="shared" si="91"/>
        <v>Q2</v>
      </c>
      <c r="F1204" s="24" t="str">
        <f t="shared" si="92"/>
        <v>Apr</v>
      </c>
      <c r="G1204" s="24">
        <f t="shared" si="93"/>
        <v>4</v>
      </c>
      <c r="H1204" s="19">
        <v>1047</v>
      </c>
      <c r="I1204" s="19" t="s">
        <v>7</v>
      </c>
      <c r="J1204" s="19" t="s">
        <v>5</v>
      </c>
      <c r="K1204" s="20">
        <v>5</v>
      </c>
      <c r="L1204" s="21">
        <v>52.04</v>
      </c>
      <c r="M1204" s="22">
        <v>0.06</v>
      </c>
      <c r="N1204" s="21">
        <f t="shared" si="94"/>
        <v>48.9176</v>
      </c>
      <c r="O1204" s="21">
        <v>244.59</v>
      </c>
      <c r="P1204" s="19" t="s">
        <v>6</v>
      </c>
      <c r="Q1204" s="23">
        <v>9</v>
      </c>
      <c r="R1204" s="45">
        <v>4.3</v>
      </c>
    </row>
    <row r="1205" spans="2:18" x14ac:dyDescent="0.2">
      <c r="B1205" s="25">
        <v>1202</v>
      </c>
      <c r="C1205" s="18">
        <v>45032</v>
      </c>
      <c r="D1205" s="24">
        <f t="shared" si="90"/>
        <v>2023</v>
      </c>
      <c r="E1205" s="24" t="str">
        <f t="shared" si="91"/>
        <v>Q2</v>
      </c>
      <c r="F1205" s="24" t="str">
        <f t="shared" si="92"/>
        <v>Apr</v>
      </c>
      <c r="G1205" s="24">
        <f t="shared" si="93"/>
        <v>4</v>
      </c>
      <c r="H1205" s="19">
        <v>1572</v>
      </c>
      <c r="I1205" s="19" t="s">
        <v>3</v>
      </c>
      <c r="J1205" s="19" t="s">
        <v>9</v>
      </c>
      <c r="K1205" s="20">
        <v>1</v>
      </c>
      <c r="L1205" s="21">
        <v>591.79</v>
      </c>
      <c r="M1205" s="22">
        <v>0.19</v>
      </c>
      <c r="N1205" s="21">
        <f t="shared" si="94"/>
        <v>479.34989999999993</v>
      </c>
      <c r="O1205" s="21">
        <v>479.35</v>
      </c>
      <c r="P1205" s="19" t="s">
        <v>2</v>
      </c>
      <c r="Q1205" s="23">
        <v>4</v>
      </c>
      <c r="R1205" s="45">
        <v>3.7</v>
      </c>
    </row>
    <row r="1206" spans="2:18" x14ac:dyDescent="0.2">
      <c r="B1206" s="25">
        <v>1203</v>
      </c>
      <c r="C1206" s="18">
        <v>45033</v>
      </c>
      <c r="D1206" s="24">
        <f t="shared" si="90"/>
        <v>2023</v>
      </c>
      <c r="E1206" s="24" t="str">
        <f t="shared" si="91"/>
        <v>Q2</v>
      </c>
      <c r="F1206" s="24" t="str">
        <f t="shared" si="92"/>
        <v>Apr</v>
      </c>
      <c r="G1206" s="24">
        <f t="shared" si="93"/>
        <v>4</v>
      </c>
      <c r="H1206" s="19">
        <v>1336</v>
      </c>
      <c r="I1206" s="19" t="s">
        <v>0</v>
      </c>
      <c r="J1206" s="19" t="s">
        <v>8</v>
      </c>
      <c r="K1206" s="20">
        <v>6</v>
      </c>
      <c r="L1206" s="21">
        <v>33.450000000000003</v>
      </c>
      <c r="M1206" s="22">
        <v>0.28999999999999998</v>
      </c>
      <c r="N1206" s="21">
        <f t="shared" si="94"/>
        <v>23.749500000000005</v>
      </c>
      <c r="O1206" s="21">
        <v>142.5</v>
      </c>
      <c r="P1206" s="19" t="s">
        <v>6</v>
      </c>
      <c r="Q1206" s="23">
        <v>6</v>
      </c>
      <c r="R1206" s="45">
        <v>2.7</v>
      </c>
    </row>
    <row r="1207" spans="2:18" x14ac:dyDescent="0.2">
      <c r="B1207" s="25">
        <v>1204</v>
      </c>
      <c r="C1207" s="18">
        <v>45034</v>
      </c>
      <c r="D1207" s="24">
        <f t="shared" si="90"/>
        <v>2023</v>
      </c>
      <c r="E1207" s="24" t="str">
        <f t="shared" si="91"/>
        <v>Q2</v>
      </c>
      <c r="F1207" s="24" t="str">
        <f t="shared" si="92"/>
        <v>Apr</v>
      </c>
      <c r="G1207" s="24">
        <f t="shared" si="93"/>
        <v>4</v>
      </c>
      <c r="H1207" s="19">
        <v>1025</v>
      </c>
      <c r="I1207" s="19" t="s">
        <v>7</v>
      </c>
      <c r="J1207" s="19" t="s">
        <v>8</v>
      </c>
      <c r="K1207" s="20">
        <v>5</v>
      </c>
      <c r="L1207" s="21">
        <v>402.56</v>
      </c>
      <c r="M1207" s="22">
        <v>0.05</v>
      </c>
      <c r="N1207" s="21">
        <f t="shared" si="94"/>
        <v>382.43200000000002</v>
      </c>
      <c r="O1207" s="21">
        <v>1912.16</v>
      </c>
      <c r="P1207" s="19" t="s">
        <v>4</v>
      </c>
      <c r="Q1207" s="23">
        <v>3</v>
      </c>
      <c r="R1207" s="45">
        <v>4.5999999999999996</v>
      </c>
    </row>
    <row r="1208" spans="2:18" x14ac:dyDescent="0.2">
      <c r="B1208" s="25">
        <v>1205</v>
      </c>
      <c r="C1208" s="18">
        <v>45035</v>
      </c>
      <c r="D1208" s="24">
        <f t="shared" si="90"/>
        <v>2023</v>
      </c>
      <c r="E1208" s="24" t="str">
        <f t="shared" si="91"/>
        <v>Q2</v>
      </c>
      <c r="F1208" s="24" t="str">
        <f t="shared" si="92"/>
        <v>Apr</v>
      </c>
      <c r="G1208" s="24">
        <f t="shared" si="93"/>
        <v>4</v>
      </c>
      <c r="H1208" s="19">
        <v>1803</v>
      </c>
      <c r="I1208" s="19" t="s">
        <v>10</v>
      </c>
      <c r="J1208" s="19" t="s">
        <v>1</v>
      </c>
      <c r="K1208" s="20">
        <v>5</v>
      </c>
      <c r="L1208" s="21">
        <v>232.17</v>
      </c>
      <c r="M1208" s="22">
        <v>0.01</v>
      </c>
      <c r="N1208" s="21">
        <f t="shared" si="94"/>
        <v>229.84829999999999</v>
      </c>
      <c r="O1208" s="21">
        <v>1149.24</v>
      </c>
      <c r="P1208" s="19" t="s">
        <v>6</v>
      </c>
      <c r="Q1208" s="23">
        <v>1</v>
      </c>
      <c r="R1208" s="45">
        <v>4</v>
      </c>
    </row>
    <row r="1209" spans="2:18" x14ac:dyDescent="0.2">
      <c r="B1209" s="25">
        <v>1206</v>
      </c>
      <c r="C1209" s="18">
        <v>45036</v>
      </c>
      <c r="D1209" s="24">
        <f t="shared" si="90"/>
        <v>2023</v>
      </c>
      <c r="E1209" s="24" t="str">
        <f t="shared" si="91"/>
        <v>Q2</v>
      </c>
      <c r="F1209" s="24" t="str">
        <f t="shared" si="92"/>
        <v>Apr</v>
      </c>
      <c r="G1209" s="24">
        <f t="shared" si="93"/>
        <v>4</v>
      </c>
      <c r="H1209" s="19">
        <v>1256</v>
      </c>
      <c r="I1209" s="19" t="s">
        <v>10</v>
      </c>
      <c r="J1209" s="19" t="s">
        <v>1</v>
      </c>
      <c r="K1209" s="20">
        <v>1</v>
      </c>
      <c r="L1209" s="21">
        <v>392.92</v>
      </c>
      <c r="M1209" s="22">
        <v>0.09</v>
      </c>
      <c r="N1209" s="21">
        <f t="shared" si="94"/>
        <v>357.55720000000002</v>
      </c>
      <c r="O1209" s="21">
        <v>357.56</v>
      </c>
      <c r="P1209" s="19" t="s">
        <v>6</v>
      </c>
      <c r="Q1209" s="23">
        <v>6</v>
      </c>
      <c r="R1209" s="45">
        <v>1.3</v>
      </c>
    </row>
    <row r="1210" spans="2:18" x14ac:dyDescent="0.2">
      <c r="B1210" s="25">
        <v>1207</v>
      </c>
      <c r="C1210" s="18">
        <v>45037</v>
      </c>
      <c r="D1210" s="24">
        <f t="shared" si="90"/>
        <v>2023</v>
      </c>
      <c r="E1210" s="24" t="str">
        <f t="shared" si="91"/>
        <v>Q2</v>
      </c>
      <c r="F1210" s="24" t="str">
        <f t="shared" si="92"/>
        <v>Apr</v>
      </c>
      <c r="G1210" s="24">
        <f t="shared" si="93"/>
        <v>4</v>
      </c>
      <c r="H1210" s="19">
        <v>1007</v>
      </c>
      <c r="I1210" s="19" t="s">
        <v>0</v>
      </c>
      <c r="J1210" s="19" t="s">
        <v>8</v>
      </c>
      <c r="K1210" s="20">
        <v>5</v>
      </c>
      <c r="L1210" s="21">
        <v>223.41</v>
      </c>
      <c r="M1210" s="22">
        <v>0.34</v>
      </c>
      <c r="N1210" s="21">
        <f t="shared" si="94"/>
        <v>147.45060000000001</v>
      </c>
      <c r="O1210" s="21">
        <v>737.25</v>
      </c>
      <c r="P1210" s="19" t="s">
        <v>6</v>
      </c>
      <c r="Q1210" s="23">
        <v>1</v>
      </c>
      <c r="R1210" s="45">
        <v>1.6</v>
      </c>
    </row>
    <row r="1211" spans="2:18" x14ac:dyDescent="0.2">
      <c r="B1211" s="25">
        <v>1208</v>
      </c>
      <c r="C1211" s="18">
        <v>45038</v>
      </c>
      <c r="D1211" s="24">
        <f t="shared" si="90"/>
        <v>2023</v>
      </c>
      <c r="E1211" s="24" t="str">
        <f t="shared" si="91"/>
        <v>Q2</v>
      </c>
      <c r="F1211" s="24" t="str">
        <f t="shared" si="92"/>
        <v>Apr</v>
      </c>
      <c r="G1211" s="24">
        <f t="shared" si="93"/>
        <v>4</v>
      </c>
      <c r="H1211" s="19">
        <v>1624</v>
      </c>
      <c r="I1211" s="19" t="s">
        <v>10</v>
      </c>
      <c r="J1211" s="19" t="s">
        <v>5</v>
      </c>
      <c r="K1211" s="20">
        <v>1</v>
      </c>
      <c r="L1211" s="21">
        <v>409.14</v>
      </c>
      <c r="M1211" s="22">
        <v>0.28999999999999998</v>
      </c>
      <c r="N1211" s="21">
        <f t="shared" si="94"/>
        <v>290.48939999999999</v>
      </c>
      <c r="O1211" s="21">
        <v>290.49</v>
      </c>
      <c r="P1211" s="19" t="s">
        <v>4</v>
      </c>
      <c r="Q1211" s="23">
        <v>9</v>
      </c>
      <c r="R1211" s="45">
        <v>1.3</v>
      </c>
    </row>
    <row r="1212" spans="2:18" x14ac:dyDescent="0.2">
      <c r="B1212" s="25">
        <v>1209</v>
      </c>
      <c r="C1212" s="18">
        <v>45039</v>
      </c>
      <c r="D1212" s="24">
        <f t="shared" si="90"/>
        <v>2023</v>
      </c>
      <c r="E1212" s="24" t="str">
        <f t="shared" si="91"/>
        <v>Q2</v>
      </c>
      <c r="F1212" s="24" t="str">
        <f t="shared" si="92"/>
        <v>Apr</v>
      </c>
      <c r="G1212" s="24">
        <f t="shared" si="93"/>
        <v>4</v>
      </c>
      <c r="H1212" s="19">
        <v>1866</v>
      </c>
      <c r="I1212" s="19" t="s">
        <v>3</v>
      </c>
      <c r="J1212" s="19" t="s">
        <v>5</v>
      </c>
      <c r="K1212" s="20">
        <v>3</v>
      </c>
      <c r="L1212" s="21">
        <v>441.6</v>
      </c>
      <c r="M1212" s="22">
        <v>0.21</v>
      </c>
      <c r="N1212" s="21">
        <f t="shared" si="94"/>
        <v>348.86400000000003</v>
      </c>
      <c r="O1212" s="21">
        <v>1046.5899999999999</v>
      </c>
      <c r="P1212" s="19" t="s">
        <v>6</v>
      </c>
      <c r="Q1212" s="23">
        <v>11</v>
      </c>
      <c r="R1212" s="45">
        <v>2.2999999999999998</v>
      </c>
    </row>
    <row r="1213" spans="2:18" x14ac:dyDescent="0.2">
      <c r="B1213" s="25">
        <v>1210</v>
      </c>
      <c r="C1213" s="18">
        <v>45040</v>
      </c>
      <c r="D1213" s="24">
        <f t="shared" si="90"/>
        <v>2023</v>
      </c>
      <c r="E1213" s="24" t="str">
        <f t="shared" si="91"/>
        <v>Q2</v>
      </c>
      <c r="F1213" s="24" t="str">
        <f t="shared" si="92"/>
        <v>Apr</v>
      </c>
      <c r="G1213" s="24">
        <f t="shared" si="93"/>
        <v>4</v>
      </c>
      <c r="H1213" s="19">
        <v>1252</v>
      </c>
      <c r="I1213" s="19" t="s">
        <v>10</v>
      </c>
      <c r="J1213" s="19" t="s">
        <v>5</v>
      </c>
      <c r="K1213" s="20">
        <v>4</v>
      </c>
      <c r="L1213" s="21">
        <v>418.97</v>
      </c>
      <c r="M1213" s="22">
        <v>0.33</v>
      </c>
      <c r="N1213" s="21">
        <f t="shared" si="94"/>
        <v>280.7099</v>
      </c>
      <c r="O1213" s="21">
        <v>1122.8399999999999</v>
      </c>
      <c r="P1213" s="19" t="s">
        <v>4</v>
      </c>
      <c r="Q1213" s="23">
        <v>6</v>
      </c>
      <c r="R1213" s="45">
        <v>2.7</v>
      </c>
    </row>
    <row r="1214" spans="2:18" x14ac:dyDescent="0.2">
      <c r="B1214" s="25">
        <v>1211</v>
      </c>
      <c r="C1214" s="18">
        <v>45041</v>
      </c>
      <c r="D1214" s="24">
        <f t="shared" si="90"/>
        <v>2023</v>
      </c>
      <c r="E1214" s="24" t="str">
        <f t="shared" si="91"/>
        <v>Q2</v>
      </c>
      <c r="F1214" s="24" t="str">
        <f t="shared" si="92"/>
        <v>Apr</v>
      </c>
      <c r="G1214" s="24">
        <f t="shared" si="93"/>
        <v>4</v>
      </c>
      <c r="H1214" s="19">
        <v>1691</v>
      </c>
      <c r="I1214" s="19" t="s">
        <v>0</v>
      </c>
      <c r="J1214" s="19" t="s">
        <v>8</v>
      </c>
      <c r="K1214" s="20">
        <v>7</v>
      </c>
      <c r="L1214" s="21">
        <v>81.67</v>
      </c>
      <c r="M1214" s="22">
        <v>0.16</v>
      </c>
      <c r="N1214" s="21">
        <f t="shared" si="94"/>
        <v>68.602800000000002</v>
      </c>
      <c r="O1214" s="21">
        <v>480.22</v>
      </c>
      <c r="P1214" s="19" t="s">
        <v>4</v>
      </c>
      <c r="Q1214" s="23">
        <v>1</v>
      </c>
      <c r="R1214" s="45">
        <v>3</v>
      </c>
    </row>
    <row r="1215" spans="2:18" x14ac:dyDescent="0.2">
      <c r="B1215" s="25">
        <v>1212</v>
      </c>
      <c r="C1215" s="18">
        <v>45042</v>
      </c>
      <c r="D1215" s="24">
        <f t="shared" si="90"/>
        <v>2023</v>
      </c>
      <c r="E1215" s="24" t="str">
        <f t="shared" si="91"/>
        <v>Q2</v>
      </c>
      <c r="F1215" s="24" t="str">
        <f t="shared" si="92"/>
        <v>Apr</v>
      </c>
      <c r="G1215" s="24">
        <f t="shared" si="93"/>
        <v>4</v>
      </c>
      <c r="H1215" s="19">
        <v>1718</v>
      </c>
      <c r="I1215" s="19" t="s">
        <v>3</v>
      </c>
      <c r="J1215" s="19" t="s">
        <v>9</v>
      </c>
      <c r="K1215" s="20">
        <v>1</v>
      </c>
      <c r="L1215" s="21">
        <v>399.28</v>
      </c>
      <c r="M1215" s="22">
        <v>0.34</v>
      </c>
      <c r="N1215" s="21">
        <f t="shared" si="94"/>
        <v>263.52479999999997</v>
      </c>
      <c r="O1215" s="21">
        <v>263.52</v>
      </c>
      <c r="P1215" s="19" t="s">
        <v>6</v>
      </c>
      <c r="Q1215" s="23">
        <v>11</v>
      </c>
      <c r="R1215" s="45">
        <v>4.4000000000000004</v>
      </c>
    </row>
    <row r="1216" spans="2:18" x14ac:dyDescent="0.2">
      <c r="B1216" s="25">
        <v>1213</v>
      </c>
      <c r="C1216" s="18">
        <v>45043</v>
      </c>
      <c r="D1216" s="24">
        <f t="shared" si="90"/>
        <v>2023</v>
      </c>
      <c r="E1216" s="24" t="str">
        <f t="shared" si="91"/>
        <v>Q2</v>
      </c>
      <c r="F1216" s="24" t="str">
        <f t="shared" si="92"/>
        <v>Apr</v>
      </c>
      <c r="G1216" s="24">
        <f t="shared" si="93"/>
        <v>4</v>
      </c>
      <c r="H1216" s="19">
        <v>1302</v>
      </c>
      <c r="I1216" s="19" t="s">
        <v>7</v>
      </c>
      <c r="J1216" s="19" t="s">
        <v>1</v>
      </c>
      <c r="K1216" s="20">
        <v>1</v>
      </c>
      <c r="L1216" s="21">
        <v>178.79</v>
      </c>
      <c r="M1216" s="22">
        <v>0.1</v>
      </c>
      <c r="N1216" s="21">
        <f t="shared" si="94"/>
        <v>160.911</v>
      </c>
      <c r="O1216" s="21">
        <v>160.91</v>
      </c>
      <c r="P1216" s="19" t="s">
        <v>2</v>
      </c>
      <c r="Q1216" s="23">
        <v>3</v>
      </c>
      <c r="R1216" s="45">
        <v>1.1000000000000001</v>
      </c>
    </row>
    <row r="1217" spans="2:18" x14ac:dyDescent="0.2">
      <c r="B1217" s="25">
        <v>1214</v>
      </c>
      <c r="C1217" s="18">
        <v>45044</v>
      </c>
      <c r="D1217" s="24">
        <f t="shared" si="90"/>
        <v>2023</v>
      </c>
      <c r="E1217" s="24" t="str">
        <f t="shared" si="91"/>
        <v>Q2</v>
      </c>
      <c r="F1217" s="24" t="str">
        <f t="shared" si="92"/>
        <v>Apr</v>
      </c>
      <c r="G1217" s="24">
        <f t="shared" si="93"/>
        <v>4</v>
      </c>
      <c r="H1217" s="19">
        <v>1638</v>
      </c>
      <c r="I1217" s="19" t="s">
        <v>7</v>
      </c>
      <c r="J1217" s="19" t="s">
        <v>9</v>
      </c>
      <c r="K1217" s="20">
        <v>5</v>
      </c>
      <c r="L1217" s="21">
        <v>31.85</v>
      </c>
      <c r="M1217" s="22">
        <v>0.08</v>
      </c>
      <c r="N1217" s="21">
        <f t="shared" si="94"/>
        <v>29.302</v>
      </c>
      <c r="O1217" s="21">
        <v>146.51</v>
      </c>
      <c r="P1217" s="19" t="s">
        <v>4</v>
      </c>
      <c r="Q1217" s="23">
        <v>1</v>
      </c>
      <c r="R1217" s="45">
        <v>2.7</v>
      </c>
    </row>
    <row r="1218" spans="2:18" x14ac:dyDescent="0.2">
      <c r="B1218" s="25">
        <v>1215</v>
      </c>
      <c r="C1218" s="18">
        <v>45045</v>
      </c>
      <c r="D1218" s="24">
        <f t="shared" si="90"/>
        <v>2023</v>
      </c>
      <c r="E1218" s="24" t="str">
        <f t="shared" si="91"/>
        <v>Q2</v>
      </c>
      <c r="F1218" s="24" t="str">
        <f t="shared" si="92"/>
        <v>Apr</v>
      </c>
      <c r="G1218" s="24">
        <f t="shared" si="93"/>
        <v>4</v>
      </c>
      <c r="H1218" s="19">
        <v>1055</v>
      </c>
      <c r="I1218" s="19" t="s">
        <v>10</v>
      </c>
      <c r="J1218" s="19" t="s">
        <v>8</v>
      </c>
      <c r="K1218" s="20">
        <v>1</v>
      </c>
      <c r="L1218" s="21">
        <v>257.68</v>
      </c>
      <c r="M1218" s="22">
        <v>0.22</v>
      </c>
      <c r="N1218" s="21">
        <f t="shared" si="94"/>
        <v>200.99040000000002</v>
      </c>
      <c r="O1218" s="21">
        <v>200.99</v>
      </c>
      <c r="P1218" s="19" t="s">
        <v>2</v>
      </c>
      <c r="Q1218" s="23">
        <v>2</v>
      </c>
      <c r="R1218" s="45">
        <v>2.6</v>
      </c>
    </row>
    <row r="1219" spans="2:18" x14ac:dyDescent="0.2">
      <c r="B1219" s="25">
        <v>1216</v>
      </c>
      <c r="C1219" s="18">
        <v>45046</v>
      </c>
      <c r="D1219" s="24">
        <f t="shared" si="90"/>
        <v>2023</v>
      </c>
      <c r="E1219" s="24" t="str">
        <f t="shared" si="91"/>
        <v>Q2</v>
      </c>
      <c r="F1219" s="24" t="str">
        <f t="shared" si="92"/>
        <v>Apr</v>
      </c>
      <c r="G1219" s="24">
        <f t="shared" si="93"/>
        <v>4</v>
      </c>
      <c r="H1219" s="19">
        <v>1725</v>
      </c>
      <c r="I1219" s="19" t="s">
        <v>10</v>
      </c>
      <c r="J1219" s="19" t="s">
        <v>9</v>
      </c>
      <c r="K1219" s="20">
        <v>6</v>
      </c>
      <c r="L1219" s="21">
        <v>268.62</v>
      </c>
      <c r="M1219" s="22">
        <v>0.13</v>
      </c>
      <c r="N1219" s="21">
        <f t="shared" si="94"/>
        <v>233.6994</v>
      </c>
      <c r="O1219" s="21">
        <v>1402.2</v>
      </c>
      <c r="P1219" s="19" t="s">
        <v>4</v>
      </c>
      <c r="Q1219" s="23">
        <v>6</v>
      </c>
      <c r="R1219" s="45">
        <v>4.8</v>
      </c>
    </row>
    <row r="1220" spans="2:18" x14ac:dyDescent="0.2">
      <c r="B1220" s="25">
        <v>1217</v>
      </c>
      <c r="C1220" s="18">
        <v>45047</v>
      </c>
      <c r="D1220" s="24">
        <f t="shared" ref="D1220:D1283" si="95">YEAR(C1220)</f>
        <v>2023</v>
      </c>
      <c r="E1220" s="24" t="str">
        <f t="shared" ref="E1220:E1283" si="96">"Q"&amp;ROUNDUP(MONTH(C1220)/3,0)</f>
        <v>Q2</v>
      </c>
      <c r="F1220" s="24" t="str">
        <f t="shared" ref="F1220:F1283" si="97">TEXT(C1220,"mmm")</f>
        <v>May</v>
      </c>
      <c r="G1220" s="24">
        <f t="shared" ref="G1220:G1283" si="98">MONTH(C1220)</f>
        <v>5</v>
      </c>
      <c r="H1220" s="19">
        <v>1525</v>
      </c>
      <c r="I1220" s="19" t="s">
        <v>7</v>
      </c>
      <c r="J1220" s="19" t="s">
        <v>5</v>
      </c>
      <c r="K1220" s="20">
        <v>2</v>
      </c>
      <c r="L1220" s="21">
        <v>288.3</v>
      </c>
      <c r="M1220" s="22">
        <v>0.22</v>
      </c>
      <c r="N1220" s="21">
        <f t="shared" si="94"/>
        <v>224.87400000000002</v>
      </c>
      <c r="O1220" s="21">
        <v>449.75</v>
      </c>
      <c r="P1220" s="19" t="s">
        <v>6</v>
      </c>
      <c r="Q1220" s="23">
        <v>7</v>
      </c>
      <c r="R1220" s="45">
        <v>2</v>
      </c>
    </row>
    <row r="1221" spans="2:18" x14ac:dyDescent="0.2">
      <c r="B1221" s="25">
        <v>1218</v>
      </c>
      <c r="C1221" s="18">
        <v>45048</v>
      </c>
      <c r="D1221" s="24">
        <f t="shared" si="95"/>
        <v>2023</v>
      </c>
      <c r="E1221" s="24" t="str">
        <f t="shared" si="96"/>
        <v>Q2</v>
      </c>
      <c r="F1221" s="24" t="str">
        <f t="shared" si="97"/>
        <v>May</v>
      </c>
      <c r="G1221" s="24">
        <f t="shared" si="98"/>
        <v>5</v>
      </c>
      <c r="H1221" s="19">
        <v>1473</v>
      </c>
      <c r="I1221" s="19" t="s">
        <v>3</v>
      </c>
      <c r="J1221" s="19" t="s">
        <v>5</v>
      </c>
      <c r="K1221" s="20">
        <v>2</v>
      </c>
      <c r="L1221" s="21">
        <v>427.32</v>
      </c>
      <c r="M1221" s="22">
        <v>0.11</v>
      </c>
      <c r="N1221" s="21">
        <f t="shared" ref="N1221:N1284" si="99">L1221-(L1221*M1221)</f>
        <v>380.31479999999999</v>
      </c>
      <c r="O1221" s="21">
        <v>760.63</v>
      </c>
      <c r="P1221" s="19" t="s">
        <v>4</v>
      </c>
      <c r="Q1221" s="23">
        <v>1</v>
      </c>
      <c r="R1221" s="45">
        <v>1.5</v>
      </c>
    </row>
    <row r="1222" spans="2:18" x14ac:dyDescent="0.2">
      <c r="B1222" s="25">
        <v>1219</v>
      </c>
      <c r="C1222" s="18">
        <v>45049</v>
      </c>
      <c r="D1222" s="24">
        <f t="shared" si="95"/>
        <v>2023</v>
      </c>
      <c r="E1222" s="24" t="str">
        <f t="shared" si="96"/>
        <v>Q2</v>
      </c>
      <c r="F1222" s="24" t="str">
        <f t="shared" si="97"/>
        <v>May</v>
      </c>
      <c r="G1222" s="24">
        <f t="shared" si="98"/>
        <v>5</v>
      </c>
      <c r="H1222" s="19">
        <v>1027</v>
      </c>
      <c r="I1222" s="19" t="s">
        <v>3</v>
      </c>
      <c r="J1222" s="19" t="s">
        <v>9</v>
      </c>
      <c r="K1222" s="20">
        <v>3</v>
      </c>
      <c r="L1222" s="21">
        <v>195.67</v>
      </c>
      <c r="M1222" s="22">
        <v>0.22</v>
      </c>
      <c r="N1222" s="21">
        <f t="shared" si="99"/>
        <v>152.62259999999998</v>
      </c>
      <c r="O1222" s="21">
        <v>457.87</v>
      </c>
      <c r="P1222" s="19" t="s">
        <v>4</v>
      </c>
      <c r="Q1222" s="23">
        <v>10</v>
      </c>
      <c r="R1222" s="45">
        <v>1.6</v>
      </c>
    </row>
    <row r="1223" spans="2:18" x14ac:dyDescent="0.2">
      <c r="B1223" s="25">
        <v>1220</v>
      </c>
      <c r="C1223" s="18">
        <v>45050</v>
      </c>
      <c r="D1223" s="24">
        <f t="shared" si="95"/>
        <v>2023</v>
      </c>
      <c r="E1223" s="24" t="str">
        <f t="shared" si="96"/>
        <v>Q2</v>
      </c>
      <c r="F1223" s="24" t="str">
        <f t="shared" si="97"/>
        <v>May</v>
      </c>
      <c r="G1223" s="24">
        <f t="shared" si="98"/>
        <v>5</v>
      </c>
      <c r="H1223" s="19">
        <v>1982</v>
      </c>
      <c r="I1223" s="19" t="s">
        <v>7</v>
      </c>
      <c r="J1223" s="19" t="s">
        <v>8</v>
      </c>
      <c r="K1223" s="20">
        <v>1</v>
      </c>
      <c r="L1223" s="21">
        <v>199.44</v>
      </c>
      <c r="M1223" s="22">
        <v>0.1</v>
      </c>
      <c r="N1223" s="21">
        <f t="shared" si="99"/>
        <v>179.49599999999998</v>
      </c>
      <c r="O1223" s="21">
        <v>179.5</v>
      </c>
      <c r="P1223" s="19" t="s">
        <v>6</v>
      </c>
      <c r="Q1223" s="23">
        <v>5</v>
      </c>
      <c r="R1223" s="45">
        <v>3.1</v>
      </c>
    </row>
    <row r="1224" spans="2:18" x14ac:dyDescent="0.2">
      <c r="B1224" s="25">
        <v>1221</v>
      </c>
      <c r="C1224" s="18">
        <v>45051</v>
      </c>
      <c r="D1224" s="24">
        <f t="shared" si="95"/>
        <v>2023</v>
      </c>
      <c r="E1224" s="24" t="str">
        <f t="shared" si="96"/>
        <v>Q2</v>
      </c>
      <c r="F1224" s="24" t="str">
        <f t="shared" si="97"/>
        <v>May</v>
      </c>
      <c r="G1224" s="24">
        <f t="shared" si="98"/>
        <v>5</v>
      </c>
      <c r="H1224" s="19">
        <v>1077</v>
      </c>
      <c r="I1224" s="19" t="s">
        <v>0</v>
      </c>
      <c r="J1224" s="19" t="s">
        <v>9</v>
      </c>
      <c r="K1224" s="20">
        <v>6</v>
      </c>
      <c r="L1224" s="21">
        <v>50.42</v>
      </c>
      <c r="M1224" s="22">
        <v>0.02</v>
      </c>
      <c r="N1224" s="21">
        <f t="shared" si="99"/>
        <v>49.4116</v>
      </c>
      <c r="O1224" s="21">
        <v>296.47000000000003</v>
      </c>
      <c r="P1224" s="19" t="s">
        <v>6</v>
      </c>
      <c r="Q1224" s="23">
        <v>6</v>
      </c>
      <c r="R1224" s="45">
        <v>2.6</v>
      </c>
    </row>
    <row r="1225" spans="2:18" x14ac:dyDescent="0.2">
      <c r="B1225" s="25">
        <v>1222</v>
      </c>
      <c r="C1225" s="18">
        <v>45052</v>
      </c>
      <c r="D1225" s="24">
        <f t="shared" si="95"/>
        <v>2023</v>
      </c>
      <c r="E1225" s="24" t="str">
        <f t="shared" si="96"/>
        <v>Q2</v>
      </c>
      <c r="F1225" s="24" t="str">
        <f t="shared" si="97"/>
        <v>May</v>
      </c>
      <c r="G1225" s="24">
        <f t="shared" si="98"/>
        <v>5</v>
      </c>
      <c r="H1225" s="19">
        <v>1215</v>
      </c>
      <c r="I1225" s="19" t="s">
        <v>7</v>
      </c>
      <c r="J1225" s="19" t="s">
        <v>5</v>
      </c>
      <c r="K1225" s="20">
        <v>5</v>
      </c>
      <c r="L1225" s="21">
        <v>416.79</v>
      </c>
      <c r="M1225" s="22">
        <v>0.32</v>
      </c>
      <c r="N1225" s="21">
        <f t="shared" si="99"/>
        <v>283.41719999999998</v>
      </c>
      <c r="O1225" s="21">
        <v>1417.09</v>
      </c>
      <c r="P1225" s="19" t="s">
        <v>6</v>
      </c>
      <c r="Q1225" s="23">
        <v>4</v>
      </c>
      <c r="R1225" s="45">
        <v>4</v>
      </c>
    </row>
    <row r="1226" spans="2:18" x14ac:dyDescent="0.2">
      <c r="B1226" s="25">
        <v>1223</v>
      </c>
      <c r="C1226" s="18">
        <v>45053</v>
      </c>
      <c r="D1226" s="24">
        <f t="shared" si="95"/>
        <v>2023</v>
      </c>
      <c r="E1226" s="24" t="str">
        <f t="shared" si="96"/>
        <v>Q2</v>
      </c>
      <c r="F1226" s="24" t="str">
        <f t="shared" si="97"/>
        <v>May</v>
      </c>
      <c r="G1226" s="24">
        <f t="shared" si="98"/>
        <v>5</v>
      </c>
      <c r="H1226" s="19">
        <v>1385</v>
      </c>
      <c r="I1226" s="19" t="s">
        <v>7</v>
      </c>
      <c r="J1226" s="19" t="s">
        <v>5</v>
      </c>
      <c r="K1226" s="20">
        <v>5</v>
      </c>
      <c r="L1226" s="21">
        <v>347.18</v>
      </c>
      <c r="M1226" s="22">
        <v>0.31</v>
      </c>
      <c r="N1226" s="21">
        <f t="shared" si="99"/>
        <v>239.55420000000001</v>
      </c>
      <c r="O1226" s="21">
        <v>1197.77</v>
      </c>
      <c r="P1226" s="19" t="s">
        <v>6</v>
      </c>
      <c r="Q1226" s="23">
        <v>6</v>
      </c>
      <c r="R1226" s="45">
        <v>2.2999999999999998</v>
      </c>
    </row>
    <row r="1227" spans="2:18" x14ac:dyDescent="0.2">
      <c r="B1227" s="25">
        <v>1224</v>
      </c>
      <c r="C1227" s="18">
        <v>45054</v>
      </c>
      <c r="D1227" s="24">
        <f t="shared" si="95"/>
        <v>2023</v>
      </c>
      <c r="E1227" s="24" t="str">
        <f t="shared" si="96"/>
        <v>Q2</v>
      </c>
      <c r="F1227" s="24" t="str">
        <f t="shared" si="97"/>
        <v>May</v>
      </c>
      <c r="G1227" s="24">
        <f t="shared" si="98"/>
        <v>5</v>
      </c>
      <c r="H1227" s="19">
        <v>1364</v>
      </c>
      <c r="I1227" s="19" t="s">
        <v>3</v>
      </c>
      <c r="J1227" s="19" t="s">
        <v>8</v>
      </c>
      <c r="K1227" s="20">
        <v>7</v>
      </c>
      <c r="L1227" s="21">
        <v>219.41</v>
      </c>
      <c r="M1227" s="22">
        <v>0.34</v>
      </c>
      <c r="N1227" s="21">
        <f t="shared" si="99"/>
        <v>144.81059999999999</v>
      </c>
      <c r="O1227" s="21">
        <v>1013.67</v>
      </c>
      <c r="P1227" s="19" t="s">
        <v>6</v>
      </c>
      <c r="Q1227" s="23">
        <v>5</v>
      </c>
      <c r="R1227" s="45">
        <v>1.5</v>
      </c>
    </row>
    <row r="1228" spans="2:18" x14ac:dyDescent="0.2">
      <c r="B1228" s="25">
        <v>1225</v>
      </c>
      <c r="C1228" s="18">
        <v>45055</v>
      </c>
      <c r="D1228" s="24">
        <f t="shared" si="95"/>
        <v>2023</v>
      </c>
      <c r="E1228" s="24" t="str">
        <f t="shared" si="96"/>
        <v>Q2</v>
      </c>
      <c r="F1228" s="24" t="str">
        <f t="shared" si="97"/>
        <v>May</v>
      </c>
      <c r="G1228" s="24">
        <f t="shared" si="98"/>
        <v>5</v>
      </c>
      <c r="H1228" s="19">
        <v>1665</v>
      </c>
      <c r="I1228" s="19" t="s">
        <v>10</v>
      </c>
      <c r="J1228" s="19" t="s">
        <v>9</v>
      </c>
      <c r="K1228" s="20">
        <v>4</v>
      </c>
      <c r="L1228" s="21">
        <v>427.54</v>
      </c>
      <c r="M1228" s="22">
        <v>0.25</v>
      </c>
      <c r="N1228" s="21">
        <f t="shared" si="99"/>
        <v>320.65500000000003</v>
      </c>
      <c r="O1228" s="21">
        <v>1282.6199999999999</v>
      </c>
      <c r="P1228" s="19" t="s">
        <v>2</v>
      </c>
      <c r="Q1228" s="23">
        <v>11</v>
      </c>
      <c r="R1228" s="45">
        <v>2.5</v>
      </c>
    </row>
    <row r="1229" spans="2:18" x14ac:dyDescent="0.2">
      <c r="B1229" s="25">
        <v>1226</v>
      </c>
      <c r="C1229" s="18">
        <v>45056</v>
      </c>
      <c r="D1229" s="24">
        <f t="shared" si="95"/>
        <v>2023</v>
      </c>
      <c r="E1229" s="24" t="str">
        <f t="shared" si="96"/>
        <v>Q2</v>
      </c>
      <c r="F1229" s="24" t="str">
        <f t="shared" si="97"/>
        <v>May</v>
      </c>
      <c r="G1229" s="24">
        <f t="shared" si="98"/>
        <v>5</v>
      </c>
      <c r="H1229" s="19">
        <v>1525</v>
      </c>
      <c r="I1229" s="19" t="s">
        <v>7</v>
      </c>
      <c r="J1229" s="19" t="s">
        <v>5</v>
      </c>
      <c r="K1229" s="20">
        <v>3</v>
      </c>
      <c r="L1229" s="21">
        <v>329.35</v>
      </c>
      <c r="M1229" s="22">
        <v>0.24</v>
      </c>
      <c r="N1229" s="21">
        <f t="shared" si="99"/>
        <v>250.30600000000004</v>
      </c>
      <c r="O1229" s="21">
        <v>750.92</v>
      </c>
      <c r="P1229" s="19" t="s">
        <v>6</v>
      </c>
      <c r="Q1229" s="23">
        <v>7</v>
      </c>
      <c r="R1229" s="45">
        <v>4.5</v>
      </c>
    </row>
    <row r="1230" spans="2:18" x14ac:dyDescent="0.2">
      <c r="B1230" s="25">
        <v>1227</v>
      </c>
      <c r="C1230" s="18">
        <v>45057</v>
      </c>
      <c r="D1230" s="24">
        <f t="shared" si="95"/>
        <v>2023</v>
      </c>
      <c r="E1230" s="24" t="str">
        <f t="shared" si="96"/>
        <v>Q2</v>
      </c>
      <c r="F1230" s="24" t="str">
        <f t="shared" si="97"/>
        <v>May</v>
      </c>
      <c r="G1230" s="24">
        <f t="shared" si="98"/>
        <v>5</v>
      </c>
      <c r="H1230" s="19">
        <v>1698</v>
      </c>
      <c r="I1230" s="19" t="s">
        <v>10</v>
      </c>
      <c r="J1230" s="19" t="s">
        <v>5</v>
      </c>
      <c r="K1230" s="20">
        <v>6</v>
      </c>
      <c r="L1230" s="21">
        <v>289.51</v>
      </c>
      <c r="M1230" s="22">
        <v>0.2</v>
      </c>
      <c r="N1230" s="21">
        <f t="shared" si="99"/>
        <v>231.608</v>
      </c>
      <c r="O1230" s="21">
        <v>1389.65</v>
      </c>
      <c r="P1230" s="19" t="s">
        <v>4</v>
      </c>
      <c r="Q1230" s="23">
        <v>4</v>
      </c>
      <c r="R1230" s="45">
        <v>2.6</v>
      </c>
    </row>
    <row r="1231" spans="2:18" x14ac:dyDescent="0.2">
      <c r="B1231" s="25">
        <v>1228</v>
      </c>
      <c r="C1231" s="18">
        <v>45058</v>
      </c>
      <c r="D1231" s="24">
        <f t="shared" si="95"/>
        <v>2023</v>
      </c>
      <c r="E1231" s="24" t="str">
        <f t="shared" si="96"/>
        <v>Q2</v>
      </c>
      <c r="F1231" s="24" t="str">
        <f t="shared" si="97"/>
        <v>May</v>
      </c>
      <c r="G1231" s="24">
        <f t="shared" si="98"/>
        <v>5</v>
      </c>
      <c r="H1231" s="19">
        <v>1311</v>
      </c>
      <c r="I1231" s="19" t="s">
        <v>3</v>
      </c>
      <c r="J1231" s="19" t="s">
        <v>9</v>
      </c>
      <c r="K1231" s="20">
        <v>6</v>
      </c>
      <c r="L1231" s="21">
        <v>314.12</v>
      </c>
      <c r="M1231" s="22">
        <v>0.04</v>
      </c>
      <c r="N1231" s="21">
        <f t="shared" si="99"/>
        <v>301.55520000000001</v>
      </c>
      <c r="O1231" s="21">
        <v>1809.33</v>
      </c>
      <c r="P1231" s="19" t="s">
        <v>4</v>
      </c>
      <c r="Q1231" s="23">
        <v>1</v>
      </c>
      <c r="R1231" s="45">
        <v>4.3</v>
      </c>
    </row>
    <row r="1232" spans="2:18" x14ac:dyDescent="0.2">
      <c r="B1232" s="25">
        <v>1229</v>
      </c>
      <c r="C1232" s="18">
        <v>45059</v>
      </c>
      <c r="D1232" s="24">
        <f t="shared" si="95"/>
        <v>2023</v>
      </c>
      <c r="E1232" s="24" t="str">
        <f t="shared" si="96"/>
        <v>Q2</v>
      </c>
      <c r="F1232" s="24" t="str">
        <f t="shared" si="97"/>
        <v>May</v>
      </c>
      <c r="G1232" s="24">
        <f t="shared" si="98"/>
        <v>5</v>
      </c>
      <c r="H1232" s="19">
        <v>1882</v>
      </c>
      <c r="I1232" s="19" t="s">
        <v>7</v>
      </c>
      <c r="J1232" s="19" t="s">
        <v>9</v>
      </c>
      <c r="K1232" s="20">
        <v>7</v>
      </c>
      <c r="L1232" s="21">
        <v>387.26</v>
      </c>
      <c r="M1232" s="22">
        <v>7.0000000000000007E-2</v>
      </c>
      <c r="N1232" s="21">
        <f t="shared" si="99"/>
        <v>360.15179999999998</v>
      </c>
      <c r="O1232" s="21">
        <v>2521.06</v>
      </c>
      <c r="P1232" s="19" t="s">
        <v>4</v>
      </c>
      <c r="Q1232" s="23">
        <v>2</v>
      </c>
      <c r="R1232" s="45">
        <v>2.5</v>
      </c>
    </row>
    <row r="1233" spans="2:18" x14ac:dyDescent="0.2">
      <c r="B1233" s="25">
        <v>1230</v>
      </c>
      <c r="C1233" s="18">
        <v>45060</v>
      </c>
      <c r="D1233" s="24">
        <f t="shared" si="95"/>
        <v>2023</v>
      </c>
      <c r="E1233" s="24" t="str">
        <f t="shared" si="96"/>
        <v>Q2</v>
      </c>
      <c r="F1233" s="24" t="str">
        <f t="shared" si="97"/>
        <v>May</v>
      </c>
      <c r="G1233" s="24">
        <f t="shared" si="98"/>
        <v>5</v>
      </c>
      <c r="H1233" s="19">
        <v>1006</v>
      </c>
      <c r="I1233" s="19" t="s">
        <v>7</v>
      </c>
      <c r="J1233" s="19" t="s">
        <v>1</v>
      </c>
      <c r="K1233" s="20">
        <v>7</v>
      </c>
      <c r="L1233" s="21">
        <v>401.1</v>
      </c>
      <c r="M1233" s="22">
        <v>0.1</v>
      </c>
      <c r="N1233" s="21">
        <f t="shared" si="99"/>
        <v>360.99</v>
      </c>
      <c r="O1233" s="21">
        <v>2526.9299999999998</v>
      </c>
      <c r="P1233" s="19" t="s">
        <v>6</v>
      </c>
      <c r="Q1233" s="23">
        <v>6</v>
      </c>
      <c r="R1233" s="45">
        <v>2.1</v>
      </c>
    </row>
    <row r="1234" spans="2:18" x14ac:dyDescent="0.2">
      <c r="B1234" s="25">
        <v>1231</v>
      </c>
      <c r="C1234" s="18">
        <v>45061</v>
      </c>
      <c r="D1234" s="24">
        <f t="shared" si="95"/>
        <v>2023</v>
      </c>
      <c r="E1234" s="24" t="str">
        <f t="shared" si="96"/>
        <v>Q2</v>
      </c>
      <c r="F1234" s="24" t="str">
        <f t="shared" si="97"/>
        <v>May</v>
      </c>
      <c r="G1234" s="24">
        <f t="shared" si="98"/>
        <v>5</v>
      </c>
      <c r="H1234" s="19">
        <v>1002</v>
      </c>
      <c r="I1234" s="19" t="s">
        <v>3</v>
      </c>
      <c r="J1234" s="19" t="s">
        <v>8</v>
      </c>
      <c r="K1234" s="20">
        <v>5</v>
      </c>
      <c r="L1234" s="21">
        <v>184.04</v>
      </c>
      <c r="M1234" s="22">
        <v>0.31</v>
      </c>
      <c r="N1234" s="21">
        <f t="shared" si="99"/>
        <v>126.98759999999999</v>
      </c>
      <c r="O1234" s="21">
        <v>634.94000000000005</v>
      </c>
      <c r="P1234" s="19" t="s">
        <v>4</v>
      </c>
      <c r="Q1234" s="23">
        <v>10</v>
      </c>
      <c r="R1234" s="45">
        <v>4.0999999999999996</v>
      </c>
    </row>
    <row r="1235" spans="2:18" x14ac:dyDescent="0.2">
      <c r="B1235" s="25">
        <v>1232</v>
      </c>
      <c r="C1235" s="18">
        <v>45062</v>
      </c>
      <c r="D1235" s="24">
        <f t="shared" si="95"/>
        <v>2023</v>
      </c>
      <c r="E1235" s="24" t="str">
        <f t="shared" si="96"/>
        <v>Q2</v>
      </c>
      <c r="F1235" s="24" t="str">
        <f t="shared" si="97"/>
        <v>May</v>
      </c>
      <c r="G1235" s="24">
        <f t="shared" si="98"/>
        <v>5</v>
      </c>
      <c r="H1235" s="19">
        <v>1622</v>
      </c>
      <c r="I1235" s="19" t="s">
        <v>7</v>
      </c>
      <c r="J1235" s="19" t="s">
        <v>8</v>
      </c>
      <c r="K1235" s="20">
        <v>4</v>
      </c>
      <c r="L1235" s="21">
        <v>97.33</v>
      </c>
      <c r="M1235" s="22">
        <v>0.06</v>
      </c>
      <c r="N1235" s="21">
        <f t="shared" si="99"/>
        <v>91.490200000000002</v>
      </c>
      <c r="O1235" s="21">
        <v>365.96</v>
      </c>
      <c r="P1235" s="19" t="s">
        <v>4</v>
      </c>
      <c r="Q1235" s="23">
        <v>11</v>
      </c>
      <c r="R1235" s="45">
        <v>1.8</v>
      </c>
    </row>
    <row r="1236" spans="2:18" x14ac:dyDescent="0.2">
      <c r="B1236" s="25">
        <v>1233</v>
      </c>
      <c r="C1236" s="18">
        <v>45063</v>
      </c>
      <c r="D1236" s="24">
        <f t="shared" si="95"/>
        <v>2023</v>
      </c>
      <c r="E1236" s="24" t="str">
        <f t="shared" si="96"/>
        <v>Q2</v>
      </c>
      <c r="F1236" s="24" t="str">
        <f t="shared" si="97"/>
        <v>May</v>
      </c>
      <c r="G1236" s="24">
        <f t="shared" si="98"/>
        <v>5</v>
      </c>
      <c r="H1236" s="19">
        <v>1918</v>
      </c>
      <c r="I1236" s="19" t="s">
        <v>0</v>
      </c>
      <c r="J1236" s="19" t="s">
        <v>9</v>
      </c>
      <c r="K1236" s="20">
        <v>5</v>
      </c>
      <c r="L1236" s="21">
        <v>106.63</v>
      </c>
      <c r="M1236" s="22">
        <v>0.32</v>
      </c>
      <c r="N1236" s="21">
        <f t="shared" si="99"/>
        <v>72.508399999999995</v>
      </c>
      <c r="O1236" s="21">
        <v>362.54</v>
      </c>
      <c r="P1236" s="19" t="s">
        <v>4</v>
      </c>
      <c r="Q1236" s="23">
        <v>2</v>
      </c>
      <c r="R1236" s="45">
        <v>1.9</v>
      </c>
    </row>
    <row r="1237" spans="2:18" x14ac:dyDescent="0.2">
      <c r="B1237" s="25">
        <v>1234</v>
      </c>
      <c r="C1237" s="18">
        <v>45064</v>
      </c>
      <c r="D1237" s="24">
        <f t="shared" si="95"/>
        <v>2023</v>
      </c>
      <c r="E1237" s="24" t="str">
        <f t="shared" si="96"/>
        <v>Q2</v>
      </c>
      <c r="F1237" s="24" t="str">
        <f t="shared" si="97"/>
        <v>May</v>
      </c>
      <c r="G1237" s="24">
        <f t="shared" si="98"/>
        <v>5</v>
      </c>
      <c r="H1237" s="19">
        <v>1749</v>
      </c>
      <c r="I1237" s="19" t="s">
        <v>10</v>
      </c>
      <c r="J1237" s="19" t="s">
        <v>8</v>
      </c>
      <c r="K1237" s="20">
        <v>4</v>
      </c>
      <c r="L1237" s="21">
        <v>389.04</v>
      </c>
      <c r="M1237" s="22">
        <v>0.18</v>
      </c>
      <c r="N1237" s="21">
        <f t="shared" si="99"/>
        <v>319.01280000000003</v>
      </c>
      <c r="O1237" s="21">
        <v>1276.05</v>
      </c>
      <c r="P1237" s="19" t="s">
        <v>6</v>
      </c>
      <c r="Q1237" s="23">
        <v>5</v>
      </c>
      <c r="R1237" s="45">
        <v>1.2</v>
      </c>
    </row>
    <row r="1238" spans="2:18" x14ac:dyDescent="0.2">
      <c r="B1238" s="25">
        <v>1235</v>
      </c>
      <c r="C1238" s="18">
        <v>45065</v>
      </c>
      <c r="D1238" s="24">
        <f t="shared" si="95"/>
        <v>2023</v>
      </c>
      <c r="E1238" s="24" t="str">
        <f t="shared" si="96"/>
        <v>Q2</v>
      </c>
      <c r="F1238" s="24" t="str">
        <f t="shared" si="97"/>
        <v>May</v>
      </c>
      <c r="G1238" s="24">
        <f t="shared" si="98"/>
        <v>5</v>
      </c>
      <c r="H1238" s="19">
        <v>1362</v>
      </c>
      <c r="I1238" s="19" t="s">
        <v>0</v>
      </c>
      <c r="J1238" s="19" t="s">
        <v>5</v>
      </c>
      <c r="K1238" s="20">
        <v>2</v>
      </c>
      <c r="L1238" s="21">
        <v>525.63</v>
      </c>
      <c r="M1238" s="22">
        <v>0.25</v>
      </c>
      <c r="N1238" s="21">
        <f t="shared" si="99"/>
        <v>394.22249999999997</v>
      </c>
      <c r="O1238" s="21">
        <v>788.44</v>
      </c>
      <c r="P1238" s="19" t="s">
        <v>4</v>
      </c>
      <c r="Q1238" s="23">
        <v>4</v>
      </c>
      <c r="R1238" s="45">
        <v>1.8</v>
      </c>
    </row>
    <row r="1239" spans="2:18" x14ac:dyDescent="0.2">
      <c r="B1239" s="25">
        <v>1236</v>
      </c>
      <c r="C1239" s="18">
        <v>45066</v>
      </c>
      <c r="D1239" s="24">
        <f t="shared" si="95"/>
        <v>2023</v>
      </c>
      <c r="E1239" s="24" t="str">
        <f t="shared" si="96"/>
        <v>Q2</v>
      </c>
      <c r="F1239" s="24" t="str">
        <f t="shared" si="97"/>
        <v>May</v>
      </c>
      <c r="G1239" s="24">
        <f t="shared" si="98"/>
        <v>5</v>
      </c>
      <c r="H1239" s="19">
        <v>1750</v>
      </c>
      <c r="I1239" s="19" t="s">
        <v>7</v>
      </c>
      <c r="J1239" s="19" t="s">
        <v>9</v>
      </c>
      <c r="K1239" s="20">
        <v>6</v>
      </c>
      <c r="L1239" s="21">
        <v>254.56</v>
      </c>
      <c r="M1239" s="22">
        <v>0.04</v>
      </c>
      <c r="N1239" s="21">
        <f t="shared" si="99"/>
        <v>244.3776</v>
      </c>
      <c r="O1239" s="21">
        <v>1466.27</v>
      </c>
      <c r="P1239" s="19" t="s">
        <v>4</v>
      </c>
      <c r="Q1239" s="23">
        <v>7</v>
      </c>
      <c r="R1239" s="45">
        <v>2.5</v>
      </c>
    </row>
    <row r="1240" spans="2:18" x14ac:dyDescent="0.2">
      <c r="B1240" s="25">
        <v>1237</v>
      </c>
      <c r="C1240" s="18">
        <v>45067</v>
      </c>
      <c r="D1240" s="24">
        <f t="shared" si="95"/>
        <v>2023</v>
      </c>
      <c r="E1240" s="24" t="str">
        <f t="shared" si="96"/>
        <v>Q2</v>
      </c>
      <c r="F1240" s="24" t="str">
        <f t="shared" si="97"/>
        <v>May</v>
      </c>
      <c r="G1240" s="24">
        <f t="shared" si="98"/>
        <v>5</v>
      </c>
      <c r="H1240" s="19">
        <v>1507</v>
      </c>
      <c r="I1240" s="19" t="s">
        <v>0</v>
      </c>
      <c r="J1240" s="19" t="s">
        <v>9</v>
      </c>
      <c r="K1240" s="20">
        <v>7</v>
      </c>
      <c r="L1240" s="21">
        <v>114.17</v>
      </c>
      <c r="M1240" s="22">
        <v>0.09</v>
      </c>
      <c r="N1240" s="21">
        <f t="shared" si="99"/>
        <v>103.8947</v>
      </c>
      <c r="O1240" s="21">
        <v>727.26</v>
      </c>
      <c r="P1240" s="19" t="s">
        <v>6</v>
      </c>
      <c r="Q1240" s="23">
        <v>4</v>
      </c>
      <c r="R1240" s="45">
        <v>2.6</v>
      </c>
    </row>
    <row r="1241" spans="2:18" x14ac:dyDescent="0.2">
      <c r="B1241" s="25">
        <v>1238</v>
      </c>
      <c r="C1241" s="18">
        <v>45068</v>
      </c>
      <c r="D1241" s="24">
        <f t="shared" si="95"/>
        <v>2023</v>
      </c>
      <c r="E1241" s="24" t="str">
        <f t="shared" si="96"/>
        <v>Q2</v>
      </c>
      <c r="F1241" s="24" t="str">
        <f t="shared" si="97"/>
        <v>May</v>
      </c>
      <c r="G1241" s="24">
        <f t="shared" si="98"/>
        <v>5</v>
      </c>
      <c r="H1241" s="19">
        <v>1273</v>
      </c>
      <c r="I1241" s="19" t="s">
        <v>3</v>
      </c>
      <c r="J1241" s="19" t="s">
        <v>9</v>
      </c>
      <c r="K1241" s="20">
        <v>2</v>
      </c>
      <c r="L1241" s="21">
        <v>457.61</v>
      </c>
      <c r="M1241" s="22">
        <v>0.34</v>
      </c>
      <c r="N1241" s="21">
        <f t="shared" si="99"/>
        <v>302.02260000000001</v>
      </c>
      <c r="O1241" s="21">
        <v>604.04999999999995</v>
      </c>
      <c r="P1241" s="19" t="s">
        <v>6</v>
      </c>
      <c r="Q1241" s="23">
        <v>7</v>
      </c>
      <c r="R1241" s="45">
        <v>2.7</v>
      </c>
    </row>
    <row r="1242" spans="2:18" x14ac:dyDescent="0.2">
      <c r="B1242" s="25">
        <v>1239</v>
      </c>
      <c r="C1242" s="18">
        <v>45069</v>
      </c>
      <c r="D1242" s="24">
        <f t="shared" si="95"/>
        <v>2023</v>
      </c>
      <c r="E1242" s="24" t="str">
        <f t="shared" si="96"/>
        <v>Q2</v>
      </c>
      <c r="F1242" s="24" t="str">
        <f t="shared" si="97"/>
        <v>May</v>
      </c>
      <c r="G1242" s="24">
        <f t="shared" si="98"/>
        <v>5</v>
      </c>
      <c r="H1242" s="19">
        <v>1505</v>
      </c>
      <c r="I1242" s="19" t="s">
        <v>7</v>
      </c>
      <c r="J1242" s="19" t="s">
        <v>1</v>
      </c>
      <c r="K1242" s="20">
        <v>5</v>
      </c>
      <c r="L1242" s="21">
        <v>502.01</v>
      </c>
      <c r="M1242" s="22">
        <v>0.09</v>
      </c>
      <c r="N1242" s="21">
        <f t="shared" si="99"/>
        <v>456.82909999999998</v>
      </c>
      <c r="O1242" s="21">
        <v>2284.15</v>
      </c>
      <c r="P1242" s="19" t="s">
        <v>4</v>
      </c>
      <c r="Q1242" s="23">
        <v>11</v>
      </c>
      <c r="R1242" s="45">
        <v>2.9</v>
      </c>
    </row>
    <row r="1243" spans="2:18" x14ac:dyDescent="0.2">
      <c r="B1243" s="25">
        <v>1240</v>
      </c>
      <c r="C1243" s="18">
        <v>45070</v>
      </c>
      <c r="D1243" s="24">
        <f t="shared" si="95"/>
        <v>2023</v>
      </c>
      <c r="E1243" s="24" t="str">
        <f t="shared" si="96"/>
        <v>Q2</v>
      </c>
      <c r="F1243" s="24" t="str">
        <f t="shared" si="97"/>
        <v>May</v>
      </c>
      <c r="G1243" s="24">
        <f t="shared" si="98"/>
        <v>5</v>
      </c>
      <c r="H1243" s="19">
        <v>1805</v>
      </c>
      <c r="I1243" s="19" t="s">
        <v>7</v>
      </c>
      <c r="J1243" s="19" t="s">
        <v>8</v>
      </c>
      <c r="K1243" s="20">
        <v>3</v>
      </c>
      <c r="L1243" s="21">
        <v>530.14</v>
      </c>
      <c r="M1243" s="22">
        <v>0.1</v>
      </c>
      <c r="N1243" s="21">
        <f t="shared" si="99"/>
        <v>477.12599999999998</v>
      </c>
      <c r="O1243" s="21">
        <v>1431.38</v>
      </c>
      <c r="P1243" s="19" t="s">
        <v>6</v>
      </c>
      <c r="Q1243" s="23">
        <v>8</v>
      </c>
      <c r="R1243" s="45">
        <v>3.3</v>
      </c>
    </row>
    <row r="1244" spans="2:18" x14ac:dyDescent="0.2">
      <c r="B1244" s="25">
        <v>1241</v>
      </c>
      <c r="C1244" s="18">
        <v>45071</v>
      </c>
      <c r="D1244" s="24">
        <f t="shared" si="95"/>
        <v>2023</v>
      </c>
      <c r="E1244" s="24" t="str">
        <f t="shared" si="96"/>
        <v>Q2</v>
      </c>
      <c r="F1244" s="24" t="str">
        <f t="shared" si="97"/>
        <v>May</v>
      </c>
      <c r="G1244" s="24">
        <f t="shared" si="98"/>
        <v>5</v>
      </c>
      <c r="H1244" s="19">
        <v>1738</v>
      </c>
      <c r="I1244" s="19" t="s">
        <v>7</v>
      </c>
      <c r="J1244" s="19" t="s">
        <v>1</v>
      </c>
      <c r="K1244" s="20">
        <v>1</v>
      </c>
      <c r="L1244" s="21">
        <v>370</v>
      </c>
      <c r="M1244" s="22">
        <v>7.0000000000000007E-2</v>
      </c>
      <c r="N1244" s="21">
        <f t="shared" si="99"/>
        <v>344.1</v>
      </c>
      <c r="O1244" s="21">
        <v>344.1</v>
      </c>
      <c r="P1244" s="19" t="s">
        <v>4</v>
      </c>
      <c r="Q1244" s="23">
        <v>7</v>
      </c>
      <c r="R1244" s="45">
        <v>1.8</v>
      </c>
    </row>
    <row r="1245" spans="2:18" x14ac:dyDescent="0.2">
      <c r="B1245" s="25">
        <v>1242</v>
      </c>
      <c r="C1245" s="18">
        <v>45072</v>
      </c>
      <c r="D1245" s="24">
        <f t="shared" si="95"/>
        <v>2023</v>
      </c>
      <c r="E1245" s="24" t="str">
        <f t="shared" si="96"/>
        <v>Q2</v>
      </c>
      <c r="F1245" s="24" t="str">
        <f t="shared" si="97"/>
        <v>May</v>
      </c>
      <c r="G1245" s="24">
        <f t="shared" si="98"/>
        <v>5</v>
      </c>
      <c r="H1245" s="19">
        <v>1882</v>
      </c>
      <c r="I1245" s="19" t="s">
        <v>10</v>
      </c>
      <c r="J1245" s="19" t="s">
        <v>5</v>
      </c>
      <c r="K1245" s="20">
        <v>3</v>
      </c>
      <c r="L1245" s="21">
        <v>518.53</v>
      </c>
      <c r="M1245" s="22">
        <v>0.05</v>
      </c>
      <c r="N1245" s="21">
        <f t="shared" si="99"/>
        <v>492.6035</v>
      </c>
      <c r="O1245" s="21">
        <v>1477.81</v>
      </c>
      <c r="P1245" s="19" t="s">
        <v>2</v>
      </c>
      <c r="Q1245" s="23">
        <v>2</v>
      </c>
      <c r="R1245" s="45">
        <v>3.5</v>
      </c>
    </row>
    <row r="1246" spans="2:18" x14ac:dyDescent="0.2">
      <c r="B1246" s="25">
        <v>1243</v>
      </c>
      <c r="C1246" s="18">
        <v>45073</v>
      </c>
      <c r="D1246" s="24">
        <f t="shared" si="95"/>
        <v>2023</v>
      </c>
      <c r="E1246" s="24" t="str">
        <f t="shared" si="96"/>
        <v>Q2</v>
      </c>
      <c r="F1246" s="24" t="str">
        <f t="shared" si="97"/>
        <v>May</v>
      </c>
      <c r="G1246" s="24">
        <f t="shared" si="98"/>
        <v>5</v>
      </c>
      <c r="H1246" s="19">
        <v>1014</v>
      </c>
      <c r="I1246" s="19" t="s">
        <v>3</v>
      </c>
      <c r="J1246" s="19" t="s">
        <v>8</v>
      </c>
      <c r="K1246" s="20">
        <v>3</v>
      </c>
      <c r="L1246" s="21">
        <v>24.02</v>
      </c>
      <c r="M1246" s="22">
        <v>0.08</v>
      </c>
      <c r="N1246" s="21">
        <f t="shared" si="99"/>
        <v>22.098399999999998</v>
      </c>
      <c r="O1246" s="21">
        <v>66.3</v>
      </c>
      <c r="P1246" s="19" t="s">
        <v>4</v>
      </c>
      <c r="Q1246" s="23">
        <v>11</v>
      </c>
      <c r="R1246" s="45">
        <v>2.2999999999999998</v>
      </c>
    </row>
    <row r="1247" spans="2:18" x14ac:dyDescent="0.2">
      <c r="B1247" s="25">
        <v>1244</v>
      </c>
      <c r="C1247" s="18">
        <v>45074</v>
      </c>
      <c r="D1247" s="24">
        <f t="shared" si="95"/>
        <v>2023</v>
      </c>
      <c r="E1247" s="24" t="str">
        <f t="shared" si="96"/>
        <v>Q2</v>
      </c>
      <c r="F1247" s="24" t="str">
        <f t="shared" si="97"/>
        <v>May</v>
      </c>
      <c r="G1247" s="24">
        <f t="shared" si="98"/>
        <v>5</v>
      </c>
      <c r="H1247" s="19">
        <v>1191</v>
      </c>
      <c r="I1247" s="19" t="s">
        <v>7</v>
      </c>
      <c r="J1247" s="19" t="s">
        <v>1</v>
      </c>
      <c r="K1247" s="20">
        <v>1</v>
      </c>
      <c r="L1247" s="21">
        <v>77.73</v>
      </c>
      <c r="M1247" s="22">
        <v>0.22</v>
      </c>
      <c r="N1247" s="21">
        <f t="shared" si="99"/>
        <v>60.629400000000004</v>
      </c>
      <c r="O1247" s="21">
        <v>60.63</v>
      </c>
      <c r="P1247" s="19" t="s">
        <v>2</v>
      </c>
      <c r="Q1247" s="23">
        <v>1</v>
      </c>
      <c r="R1247" s="45">
        <v>3.9</v>
      </c>
    </row>
    <row r="1248" spans="2:18" x14ac:dyDescent="0.2">
      <c r="B1248" s="25">
        <v>1245</v>
      </c>
      <c r="C1248" s="18">
        <v>45075</v>
      </c>
      <c r="D1248" s="24">
        <f t="shared" si="95"/>
        <v>2023</v>
      </c>
      <c r="E1248" s="24" t="str">
        <f t="shared" si="96"/>
        <v>Q2</v>
      </c>
      <c r="F1248" s="24" t="str">
        <f t="shared" si="97"/>
        <v>May</v>
      </c>
      <c r="G1248" s="24">
        <f t="shared" si="98"/>
        <v>5</v>
      </c>
      <c r="H1248" s="19">
        <v>1984</v>
      </c>
      <c r="I1248" s="19" t="s">
        <v>3</v>
      </c>
      <c r="J1248" s="19" t="s">
        <v>9</v>
      </c>
      <c r="K1248" s="20">
        <v>6</v>
      </c>
      <c r="L1248" s="21">
        <v>69.16</v>
      </c>
      <c r="M1248" s="22">
        <v>0.16</v>
      </c>
      <c r="N1248" s="21">
        <f t="shared" si="99"/>
        <v>58.094399999999993</v>
      </c>
      <c r="O1248" s="21">
        <v>348.57</v>
      </c>
      <c r="P1248" s="19" t="s">
        <v>2</v>
      </c>
      <c r="Q1248" s="23">
        <v>5</v>
      </c>
      <c r="R1248" s="45">
        <v>3.2</v>
      </c>
    </row>
    <row r="1249" spans="2:18" x14ac:dyDescent="0.2">
      <c r="B1249" s="25">
        <v>1246</v>
      </c>
      <c r="C1249" s="18">
        <v>45076</v>
      </c>
      <c r="D1249" s="24">
        <f t="shared" si="95"/>
        <v>2023</v>
      </c>
      <c r="E1249" s="24" t="str">
        <f t="shared" si="96"/>
        <v>Q2</v>
      </c>
      <c r="F1249" s="24" t="str">
        <f t="shared" si="97"/>
        <v>May</v>
      </c>
      <c r="G1249" s="24">
        <f t="shared" si="98"/>
        <v>5</v>
      </c>
      <c r="H1249" s="19">
        <v>1630</v>
      </c>
      <c r="I1249" s="19" t="s">
        <v>7</v>
      </c>
      <c r="J1249" s="19" t="s">
        <v>1</v>
      </c>
      <c r="K1249" s="20">
        <v>2</v>
      </c>
      <c r="L1249" s="21">
        <v>431.87</v>
      </c>
      <c r="M1249" s="22">
        <v>0.19</v>
      </c>
      <c r="N1249" s="21">
        <f t="shared" si="99"/>
        <v>349.81470000000002</v>
      </c>
      <c r="O1249" s="21">
        <v>699.63</v>
      </c>
      <c r="P1249" s="19" t="s">
        <v>6</v>
      </c>
      <c r="Q1249" s="23">
        <v>7</v>
      </c>
      <c r="R1249" s="45">
        <v>3.2</v>
      </c>
    </row>
    <row r="1250" spans="2:18" x14ac:dyDescent="0.2">
      <c r="B1250" s="25">
        <v>1247</v>
      </c>
      <c r="C1250" s="18">
        <v>45077</v>
      </c>
      <c r="D1250" s="24">
        <f t="shared" si="95"/>
        <v>2023</v>
      </c>
      <c r="E1250" s="24" t="str">
        <f t="shared" si="96"/>
        <v>Q2</v>
      </c>
      <c r="F1250" s="24" t="str">
        <f t="shared" si="97"/>
        <v>May</v>
      </c>
      <c r="G1250" s="24">
        <f t="shared" si="98"/>
        <v>5</v>
      </c>
      <c r="H1250" s="19">
        <v>1484</v>
      </c>
      <c r="I1250" s="19" t="s">
        <v>3</v>
      </c>
      <c r="J1250" s="19" t="s">
        <v>9</v>
      </c>
      <c r="K1250" s="20">
        <v>2</v>
      </c>
      <c r="L1250" s="21">
        <v>55.71</v>
      </c>
      <c r="M1250" s="22">
        <v>0.04</v>
      </c>
      <c r="N1250" s="21">
        <f t="shared" si="99"/>
        <v>53.4816</v>
      </c>
      <c r="O1250" s="21">
        <v>106.96</v>
      </c>
      <c r="P1250" s="19" t="s">
        <v>4</v>
      </c>
      <c r="Q1250" s="23">
        <v>1</v>
      </c>
      <c r="R1250" s="45">
        <v>3.7</v>
      </c>
    </row>
    <row r="1251" spans="2:18" x14ac:dyDescent="0.2">
      <c r="B1251" s="25">
        <v>1248</v>
      </c>
      <c r="C1251" s="18">
        <v>45078</v>
      </c>
      <c r="D1251" s="24">
        <f t="shared" si="95"/>
        <v>2023</v>
      </c>
      <c r="E1251" s="24" t="str">
        <f t="shared" si="96"/>
        <v>Q2</v>
      </c>
      <c r="F1251" s="24" t="str">
        <f t="shared" si="97"/>
        <v>Jun</v>
      </c>
      <c r="G1251" s="24">
        <f t="shared" si="98"/>
        <v>6</v>
      </c>
      <c r="H1251" s="19">
        <v>1027</v>
      </c>
      <c r="I1251" s="19" t="s">
        <v>3</v>
      </c>
      <c r="J1251" s="19" t="s">
        <v>1</v>
      </c>
      <c r="K1251" s="20">
        <v>6</v>
      </c>
      <c r="L1251" s="21">
        <v>305.37</v>
      </c>
      <c r="M1251" s="22">
        <v>0.28000000000000003</v>
      </c>
      <c r="N1251" s="21">
        <f t="shared" si="99"/>
        <v>219.8664</v>
      </c>
      <c r="O1251" s="21">
        <v>1319.2</v>
      </c>
      <c r="P1251" s="19" t="s">
        <v>6</v>
      </c>
      <c r="Q1251" s="23">
        <v>11</v>
      </c>
      <c r="R1251" s="45">
        <v>2.2999999999999998</v>
      </c>
    </row>
    <row r="1252" spans="2:18" x14ac:dyDescent="0.2">
      <c r="B1252" s="25">
        <v>1249</v>
      </c>
      <c r="C1252" s="18">
        <v>45079</v>
      </c>
      <c r="D1252" s="24">
        <f t="shared" si="95"/>
        <v>2023</v>
      </c>
      <c r="E1252" s="24" t="str">
        <f t="shared" si="96"/>
        <v>Q2</v>
      </c>
      <c r="F1252" s="24" t="str">
        <f t="shared" si="97"/>
        <v>Jun</v>
      </c>
      <c r="G1252" s="24">
        <f t="shared" si="98"/>
        <v>6</v>
      </c>
      <c r="H1252" s="19">
        <v>1713</v>
      </c>
      <c r="I1252" s="19" t="s">
        <v>10</v>
      </c>
      <c r="J1252" s="19" t="s">
        <v>1</v>
      </c>
      <c r="K1252" s="20">
        <v>1</v>
      </c>
      <c r="L1252" s="21">
        <v>291.52999999999997</v>
      </c>
      <c r="M1252" s="22">
        <v>0.27</v>
      </c>
      <c r="N1252" s="21">
        <f t="shared" si="99"/>
        <v>212.81689999999998</v>
      </c>
      <c r="O1252" s="21">
        <v>212.82</v>
      </c>
      <c r="P1252" s="19" t="s">
        <v>4</v>
      </c>
      <c r="Q1252" s="23">
        <v>8</v>
      </c>
      <c r="R1252" s="45">
        <v>2.7</v>
      </c>
    </row>
    <row r="1253" spans="2:18" x14ac:dyDescent="0.2">
      <c r="B1253" s="25">
        <v>1250</v>
      </c>
      <c r="C1253" s="18">
        <v>45080</v>
      </c>
      <c r="D1253" s="24">
        <f t="shared" si="95"/>
        <v>2023</v>
      </c>
      <c r="E1253" s="24" t="str">
        <f t="shared" si="96"/>
        <v>Q2</v>
      </c>
      <c r="F1253" s="24" t="str">
        <f t="shared" si="97"/>
        <v>Jun</v>
      </c>
      <c r="G1253" s="24">
        <f t="shared" si="98"/>
        <v>6</v>
      </c>
      <c r="H1253" s="19">
        <v>1038</v>
      </c>
      <c r="I1253" s="19" t="s">
        <v>10</v>
      </c>
      <c r="J1253" s="19" t="s">
        <v>1</v>
      </c>
      <c r="K1253" s="20">
        <v>4</v>
      </c>
      <c r="L1253" s="21">
        <v>196.76</v>
      </c>
      <c r="M1253" s="22">
        <v>0.01</v>
      </c>
      <c r="N1253" s="21">
        <f t="shared" si="99"/>
        <v>194.79239999999999</v>
      </c>
      <c r="O1253" s="21">
        <v>779.17</v>
      </c>
      <c r="P1253" s="19" t="s">
        <v>2</v>
      </c>
      <c r="Q1253" s="23">
        <v>3</v>
      </c>
      <c r="R1253" s="45">
        <v>3.3</v>
      </c>
    </row>
    <row r="1254" spans="2:18" x14ac:dyDescent="0.2">
      <c r="B1254" s="25">
        <v>1251</v>
      </c>
      <c r="C1254" s="18">
        <v>45081</v>
      </c>
      <c r="D1254" s="24">
        <f t="shared" si="95"/>
        <v>2023</v>
      </c>
      <c r="E1254" s="24" t="str">
        <f t="shared" si="96"/>
        <v>Q2</v>
      </c>
      <c r="F1254" s="24" t="str">
        <f t="shared" si="97"/>
        <v>Jun</v>
      </c>
      <c r="G1254" s="24">
        <f t="shared" si="98"/>
        <v>6</v>
      </c>
      <c r="H1254" s="19">
        <v>1952</v>
      </c>
      <c r="I1254" s="19" t="s">
        <v>3</v>
      </c>
      <c r="J1254" s="19" t="s">
        <v>9</v>
      </c>
      <c r="K1254" s="20">
        <v>3</v>
      </c>
      <c r="L1254" s="21">
        <v>524.19000000000005</v>
      </c>
      <c r="M1254" s="22">
        <v>0.13</v>
      </c>
      <c r="N1254" s="21">
        <f t="shared" si="99"/>
        <v>456.04530000000005</v>
      </c>
      <c r="O1254" s="21">
        <v>1368.14</v>
      </c>
      <c r="P1254" s="19" t="s">
        <v>6</v>
      </c>
      <c r="Q1254" s="23">
        <v>7</v>
      </c>
      <c r="R1254" s="45">
        <v>2.7</v>
      </c>
    </row>
    <row r="1255" spans="2:18" x14ac:dyDescent="0.2">
      <c r="B1255" s="25">
        <v>1252</v>
      </c>
      <c r="C1255" s="18">
        <v>45082</v>
      </c>
      <c r="D1255" s="24">
        <f t="shared" si="95"/>
        <v>2023</v>
      </c>
      <c r="E1255" s="24" t="str">
        <f t="shared" si="96"/>
        <v>Q2</v>
      </c>
      <c r="F1255" s="24" t="str">
        <f t="shared" si="97"/>
        <v>Jun</v>
      </c>
      <c r="G1255" s="24">
        <f t="shared" si="98"/>
        <v>6</v>
      </c>
      <c r="H1255" s="19">
        <v>1272</v>
      </c>
      <c r="I1255" s="19" t="s">
        <v>3</v>
      </c>
      <c r="J1255" s="19" t="s">
        <v>1</v>
      </c>
      <c r="K1255" s="20">
        <v>5</v>
      </c>
      <c r="L1255" s="21">
        <v>114.7</v>
      </c>
      <c r="M1255" s="22">
        <v>0.02</v>
      </c>
      <c r="N1255" s="21">
        <f t="shared" si="99"/>
        <v>112.40600000000001</v>
      </c>
      <c r="O1255" s="21">
        <v>562.03</v>
      </c>
      <c r="P1255" s="19" t="s">
        <v>2</v>
      </c>
      <c r="Q1255" s="23">
        <v>3</v>
      </c>
      <c r="R1255" s="45">
        <v>2.8</v>
      </c>
    </row>
    <row r="1256" spans="2:18" x14ac:dyDescent="0.2">
      <c r="B1256" s="25">
        <v>1253</v>
      </c>
      <c r="C1256" s="18">
        <v>45083</v>
      </c>
      <c r="D1256" s="24">
        <f t="shared" si="95"/>
        <v>2023</v>
      </c>
      <c r="E1256" s="24" t="str">
        <f t="shared" si="96"/>
        <v>Q2</v>
      </c>
      <c r="F1256" s="24" t="str">
        <f t="shared" si="97"/>
        <v>Jun</v>
      </c>
      <c r="G1256" s="24">
        <f t="shared" si="98"/>
        <v>6</v>
      </c>
      <c r="H1256" s="19">
        <v>1230</v>
      </c>
      <c r="I1256" s="19" t="s">
        <v>3</v>
      </c>
      <c r="J1256" s="19" t="s">
        <v>8</v>
      </c>
      <c r="K1256" s="20">
        <v>2</v>
      </c>
      <c r="L1256" s="21">
        <v>221.19</v>
      </c>
      <c r="M1256" s="22">
        <v>0.28000000000000003</v>
      </c>
      <c r="N1256" s="21">
        <f t="shared" si="99"/>
        <v>159.2568</v>
      </c>
      <c r="O1256" s="21">
        <v>318.51</v>
      </c>
      <c r="P1256" s="19" t="s">
        <v>6</v>
      </c>
      <c r="Q1256" s="23">
        <v>4</v>
      </c>
      <c r="R1256" s="45">
        <v>2.1</v>
      </c>
    </row>
    <row r="1257" spans="2:18" x14ac:dyDescent="0.2">
      <c r="B1257" s="25">
        <v>1254</v>
      </c>
      <c r="C1257" s="18">
        <v>45084</v>
      </c>
      <c r="D1257" s="24">
        <f t="shared" si="95"/>
        <v>2023</v>
      </c>
      <c r="E1257" s="24" t="str">
        <f t="shared" si="96"/>
        <v>Q2</v>
      </c>
      <c r="F1257" s="24" t="str">
        <f t="shared" si="97"/>
        <v>Jun</v>
      </c>
      <c r="G1257" s="24">
        <f t="shared" si="98"/>
        <v>6</v>
      </c>
      <c r="H1257" s="19">
        <v>1085</v>
      </c>
      <c r="I1257" s="19" t="s">
        <v>10</v>
      </c>
      <c r="J1257" s="19" t="s">
        <v>8</v>
      </c>
      <c r="K1257" s="20">
        <v>6</v>
      </c>
      <c r="L1257" s="21">
        <v>467.89</v>
      </c>
      <c r="M1257" s="22">
        <v>0.26</v>
      </c>
      <c r="N1257" s="21">
        <f t="shared" si="99"/>
        <v>346.23860000000002</v>
      </c>
      <c r="O1257" s="21">
        <v>2077.4299999999998</v>
      </c>
      <c r="P1257" s="19" t="s">
        <v>6</v>
      </c>
      <c r="Q1257" s="23">
        <v>8</v>
      </c>
      <c r="R1257" s="45">
        <v>2.1</v>
      </c>
    </row>
    <row r="1258" spans="2:18" x14ac:dyDescent="0.2">
      <c r="B1258" s="25">
        <v>1255</v>
      </c>
      <c r="C1258" s="18">
        <v>45085</v>
      </c>
      <c r="D1258" s="24">
        <f t="shared" si="95"/>
        <v>2023</v>
      </c>
      <c r="E1258" s="24" t="str">
        <f t="shared" si="96"/>
        <v>Q2</v>
      </c>
      <c r="F1258" s="24" t="str">
        <f t="shared" si="97"/>
        <v>Jun</v>
      </c>
      <c r="G1258" s="24">
        <f t="shared" si="98"/>
        <v>6</v>
      </c>
      <c r="H1258" s="19">
        <v>1473</v>
      </c>
      <c r="I1258" s="19" t="s">
        <v>7</v>
      </c>
      <c r="J1258" s="19" t="s">
        <v>8</v>
      </c>
      <c r="K1258" s="20">
        <v>5</v>
      </c>
      <c r="L1258" s="21">
        <v>32.799999999999997</v>
      </c>
      <c r="M1258" s="22">
        <v>0.32</v>
      </c>
      <c r="N1258" s="21">
        <f t="shared" si="99"/>
        <v>22.303999999999998</v>
      </c>
      <c r="O1258" s="21">
        <v>111.52</v>
      </c>
      <c r="P1258" s="19" t="s">
        <v>6</v>
      </c>
      <c r="Q1258" s="23">
        <v>2</v>
      </c>
      <c r="R1258" s="45">
        <v>3.8</v>
      </c>
    </row>
    <row r="1259" spans="2:18" x14ac:dyDescent="0.2">
      <c r="B1259" s="25">
        <v>1256</v>
      </c>
      <c r="C1259" s="18">
        <v>45086</v>
      </c>
      <c r="D1259" s="24">
        <f t="shared" si="95"/>
        <v>2023</v>
      </c>
      <c r="E1259" s="24" t="str">
        <f t="shared" si="96"/>
        <v>Q2</v>
      </c>
      <c r="F1259" s="24" t="str">
        <f t="shared" si="97"/>
        <v>Jun</v>
      </c>
      <c r="G1259" s="24">
        <f t="shared" si="98"/>
        <v>6</v>
      </c>
      <c r="H1259" s="19">
        <v>1125</v>
      </c>
      <c r="I1259" s="19" t="s">
        <v>7</v>
      </c>
      <c r="J1259" s="19" t="s">
        <v>9</v>
      </c>
      <c r="K1259" s="20">
        <v>7</v>
      </c>
      <c r="L1259" s="21">
        <v>408.68</v>
      </c>
      <c r="M1259" s="22">
        <v>0.08</v>
      </c>
      <c r="N1259" s="21">
        <f t="shared" si="99"/>
        <v>375.98559999999998</v>
      </c>
      <c r="O1259" s="21">
        <v>2631.9</v>
      </c>
      <c r="P1259" s="19" t="s">
        <v>4</v>
      </c>
      <c r="Q1259" s="23">
        <v>6</v>
      </c>
      <c r="R1259" s="45">
        <v>1</v>
      </c>
    </row>
    <row r="1260" spans="2:18" x14ac:dyDescent="0.2">
      <c r="B1260" s="25">
        <v>1257</v>
      </c>
      <c r="C1260" s="18">
        <v>45087</v>
      </c>
      <c r="D1260" s="24">
        <f t="shared" si="95"/>
        <v>2023</v>
      </c>
      <c r="E1260" s="24" t="str">
        <f t="shared" si="96"/>
        <v>Q2</v>
      </c>
      <c r="F1260" s="24" t="str">
        <f t="shared" si="97"/>
        <v>Jun</v>
      </c>
      <c r="G1260" s="24">
        <f t="shared" si="98"/>
        <v>6</v>
      </c>
      <c r="H1260" s="19">
        <v>1811</v>
      </c>
      <c r="I1260" s="19" t="s">
        <v>7</v>
      </c>
      <c r="J1260" s="19" t="s">
        <v>9</v>
      </c>
      <c r="K1260" s="20">
        <v>1</v>
      </c>
      <c r="L1260" s="21">
        <v>492.59</v>
      </c>
      <c r="M1260" s="22">
        <v>0.16</v>
      </c>
      <c r="N1260" s="21">
        <f t="shared" si="99"/>
        <v>413.7756</v>
      </c>
      <c r="O1260" s="21">
        <v>413.78</v>
      </c>
      <c r="P1260" s="19" t="s">
        <v>6</v>
      </c>
      <c r="Q1260" s="23">
        <v>10</v>
      </c>
      <c r="R1260" s="45">
        <v>1.4</v>
      </c>
    </row>
    <row r="1261" spans="2:18" x14ac:dyDescent="0.2">
      <c r="B1261" s="25">
        <v>1258</v>
      </c>
      <c r="C1261" s="18">
        <v>45088</v>
      </c>
      <c r="D1261" s="24">
        <f t="shared" si="95"/>
        <v>2023</v>
      </c>
      <c r="E1261" s="24" t="str">
        <f t="shared" si="96"/>
        <v>Q2</v>
      </c>
      <c r="F1261" s="24" t="str">
        <f t="shared" si="97"/>
        <v>Jun</v>
      </c>
      <c r="G1261" s="24">
        <f t="shared" si="98"/>
        <v>6</v>
      </c>
      <c r="H1261" s="19">
        <v>1536</v>
      </c>
      <c r="I1261" s="19" t="s">
        <v>3</v>
      </c>
      <c r="J1261" s="19" t="s">
        <v>8</v>
      </c>
      <c r="K1261" s="20">
        <v>5</v>
      </c>
      <c r="L1261" s="21">
        <v>560.38</v>
      </c>
      <c r="M1261" s="22">
        <v>0.06</v>
      </c>
      <c r="N1261" s="21">
        <f t="shared" si="99"/>
        <v>526.75720000000001</v>
      </c>
      <c r="O1261" s="21">
        <v>2633.79</v>
      </c>
      <c r="P1261" s="19" t="s">
        <v>6</v>
      </c>
      <c r="Q1261" s="23">
        <v>9</v>
      </c>
      <c r="R1261" s="45">
        <v>4.8</v>
      </c>
    </row>
    <row r="1262" spans="2:18" x14ac:dyDescent="0.2">
      <c r="B1262" s="25">
        <v>1259</v>
      </c>
      <c r="C1262" s="18">
        <v>45089</v>
      </c>
      <c r="D1262" s="24">
        <f t="shared" si="95"/>
        <v>2023</v>
      </c>
      <c r="E1262" s="24" t="str">
        <f t="shared" si="96"/>
        <v>Q2</v>
      </c>
      <c r="F1262" s="24" t="str">
        <f t="shared" si="97"/>
        <v>Jun</v>
      </c>
      <c r="G1262" s="24">
        <f t="shared" si="98"/>
        <v>6</v>
      </c>
      <c r="H1262" s="19">
        <v>1144</v>
      </c>
      <c r="I1262" s="19" t="s">
        <v>3</v>
      </c>
      <c r="J1262" s="19" t="s">
        <v>8</v>
      </c>
      <c r="K1262" s="20">
        <v>5</v>
      </c>
      <c r="L1262" s="21">
        <v>527.63</v>
      </c>
      <c r="M1262" s="22">
        <v>0.13</v>
      </c>
      <c r="N1262" s="21">
        <f t="shared" si="99"/>
        <v>459.03809999999999</v>
      </c>
      <c r="O1262" s="21">
        <v>2295.19</v>
      </c>
      <c r="P1262" s="19" t="s">
        <v>2</v>
      </c>
      <c r="Q1262" s="23">
        <v>10</v>
      </c>
      <c r="R1262" s="45">
        <v>1.7</v>
      </c>
    </row>
    <row r="1263" spans="2:18" x14ac:dyDescent="0.2">
      <c r="B1263" s="25">
        <v>1260</v>
      </c>
      <c r="C1263" s="18">
        <v>45090</v>
      </c>
      <c r="D1263" s="24">
        <f t="shared" si="95"/>
        <v>2023</v>
      </c>
      <c r="E1263" s="24" t="str">
        <f t="shared" si="96"/>
        <v>Q2</v>
      </c>
      <c r="F1263" s="24" t="str">
        <f t="shared" si="97"/>
        <v>Jun</v>
      </c>
      <c r="G1263" s="24">
        <f t="shared" si="98"/>
        <v>6</v>
      </c>
      <c r="H1263" s="19">
        <v>1524</v>
      </c>
      <c r="I1263" s="19" t="s">
        <v>10</v>
      </c>
      <c r="J1263" s="19" t="s">
        <v>8</v>
      </c>
      <c r="K1263" s="20">
        <v>3</v>
      </c>
      <c r="L1263" s="21">
        <v>201.84</v>
      </c>
      <c r="M1263" s="22">
        <v>0.18</v>
      </c>
      <c r="N1263" s="21">
        <f t="shared" si="99"/>
        <v>165.50880000000001</v>
      </c>
      <c r="O1263" s="21">
        <v>496.53</v>
      </c>
      <c r="P1263" s="19" t="s">
        <v>6</v>
      </c>
      <c r="Q1263" s="23">
        <v>9</v>
      </c>
      <c r="R1263" s="45">
        <v>2.7</v>
      </c>
    </row>
    <row r="1264" spans="2:18" x14ac:dyDescent="0.2">
      <c r="B1264" s="25">
        <v>1261</v>
      </c>
      <c r="C1264" s="18">
        <v>45091</v>
      </c>
      <c r="D1264" s="24">
        <f t="shared" si="95"/>
        <v>2023</v>
      </c>
      <c r="E1264" s="24" t="str">
        <f t="shared" si="96"/>
        <v>Q2</v>
      </c>
      <c r="F1264" s="24" t="str">
        <f t="shared" si="97"/>
        <v>Jun</v>
      </c>
      <c r="G1264" s="24">
        <f t="shared" si="98"/>
        <v>6</v>
      </c>
      <c r="H1264" s="19">
        <v>1211</v>
      </c>
      <c r="I1264" s="19" t="s">
        <v>7</v>
      </c>
      <c r="J1264" s="19" t="s">
        <v>5</v>
      </c>
      <c r="K1264" s="20">
        <v>1</v>
      </c>
      <c r="L1264" s="21">
        <v>358.02</v>
      </c>
      <c r="M1264" s="22">
        <v>0.02</v>
      </c>
      <c r="N1264" s="21">
        <f t="shared" si="99"/>
        <v>350.8596</v>
      </c>
      <c r="O1264" s="21">
        <v>350.86</v>
      </c>
      <c r="P1264" s="19" t="s">
        <v>2</v>
      </c>
      <c r="Q1264" s="23">
        <v>5</v>
      </c>
      <c r="R1264" s="45">
        <v>4.4000000000000004</v>
      </c>
    </row>
    <row r="1265" spans="2:18" x14ac:dyDescent="0.2">
      <c r="B1265" s="25">
        <v>1262</v>
      </c>
      <c r="C1265" s="18">
        <v>45092</v>
      </c>
      <c r="D1265" s="24">
        <f t="shared" si="95"/>
        <v>2023</v>
      </c>
      <c r="E1265" s="24" t="str">
        <f t="shared" si="96"/>
        <v>Q2</v>
      </c>
      <c r="F1265" s="24" t="str">
        <f t="shared" si="97"/>
        <v>Jun</v>
      </c>
      <c r="G1265" s="24">
        <f t="shared" si="98"/>
        <v>6</v>
      </c>
      <c r="H1265" s="19">
        <v>1024</v>
      </c>
      <c r="I1265" s="19" t="s">
        <v>3</v>
      </c>
      <c r="J1265" s="19" t="s">
        <v>8</v>
      </c>
      <c r="K1265" s="20">
        <v>5</v>
      </c>
      <c r="L1265" s="21">
        <v>60.22</v>
      </c>
      <c r="M1265" s="22">
        <v>0.25</v>
      </c>
      <c r="N1265" s="21">
        <f t="shared" si="99"/>
        <v>45.164999999999999</v>
      </c>
      <c r="O1265" s="21">
        <v>225.82</v>
      </c>
      <c r="P1265" s="19" t="s">
        <v>2</v>
      </c>
      <c r="Q1265" s="23">
        <v>3</v>
      </c>
      <c r="R1265" s="45">
        <v>1</v>
      </c>
    </row>
    <row r="1266" spans="2:18" x14ac:dyDescent="0.2">
      <c r="B1266" s="25">
        <v>1263</v>
      </c>
      <c r="C1266" s="18">
        <v>45093</v>
      </c>
      <c r="D1266" s="24">
        <f t="shared" si="95"/>
        <v>2023</v>
      </c>
      <c r="E1266" s="24" t="str">
        <f t="shared" si="96"/>
        <v>Q2</v>
      </c>
      <c r="F1266" s="24" t="str">
        <f t="shared" si="97"/>
        <v>Jun</v>
      </c>
      <c r="G1266" s="24">
        <f t="shared" si="98"/>
        <v>6</v>
      </c>
      <c r="H1266" s="19">
        <v>1579</v>
      </c>
      <c r="I1266" s="19" t="s">
        <v>10</v>
      </c>
      <c r="J1266" s="19" t="s">
        <v>1</v>
      </c>
      <c r="K1266" s="20">
        <v>2</v>
      </c>
      <c r="L1266" s="21">
        <v>165.85</v>
      </c>
      <c r="M1266" s="22">
        <v>0.19</v>
      </c>
      <c r="N1266" s="21">
        <f t="shared" si="99"/>
        <v>134.33850000000001</v>
      </c>
      <c r="O1266" s="21">
        <v>268.68</v>
      </c>
      <c r="P1266" s="19" t="s">
        <v>6</v>
      </c>
      <c r="Q1266" s="23">
        <v>6</v>
      </c>
      <c r="R1266" s="45">
        <v>4.7</v>
      </c>
    </row>
    <row r="1267" spans="2:18" x14ac:dyDescent="0.2">
      <c r="B1267" s="25">
        <v>1264</v>
      </c>
      <c r="C1267" s="18">
        <v>45094</v>
      </c>
      <c r="D1267" s="24">
        <f t="shared" si="95"/>
        <v>2023</v>
      </c>
      <c r="E1267" s="24" t="str">
        <f t="shared" si="96"/>
        <v>Q2</v>
      </c>
      <c r="F1267" s="24" t="str">
        <f t="shared" si="97"/>
        <v>Jun</v>
      </c>
      <c r="G1267" s="24">
        <f t="shared" si="98"/>
        <v>6</v>
      </c>
      <c r="H1267" s="19">
        <v>1393</v>
      </c>
      <c r="I1267" s="19" t="s">
        <v>10</v>
      </c>
      <c r="J1267" s="19" t="s">
        <v>5</v>
      </c>
      <c r="K1267" s="20">
        <v>1</v>
      </c>
      <c r="L1267" s="21">
        <v>70.12</v>
      </c>
      <c r="M1267" s="22">
        <v>0.28999999999999998</v>
      </c>
      <c r="N1267" s="21">
        <f t="shared" si="99"/>
        <v>49.785200000000003</v>
      </c>
      <c r="O1267" s="21">
        <v>49.79</v>
      </c>
      <c r="P1267" s="19" t="s">
        <v>4</v>
      </c>
      <c r="Q1267" s="23">
        <v>9</v>
      </c>
      <c r="R1267" s="45">
        <v>1.2</v>
      </c>
    </row>
    <row r="1268" spans="2:18" x14ac:dyDescent="0.2">
      <c r="B1268" s="25">
        <v>1265</v>
      </c>
      <c r="C1268" s="18">
        <v>45095</v>
      </c>
      <c r="D1268" s="24">
        <f t="shared" si="95"/>
        <v>2023</v>
      </c>
      <c r="E1268" s="24" t="str">
        <f t="shared" si="96"/>
        <v>Q2</v>
      </c>
      <c r="F1268" s="24" t="str">
        <f t="shared" si="97"/>
        <v>Jun</v>
      </c>
      <c r="G1268" s="24">
        <f t="shared" si="98"/>
        <v>6</v>
      </c>
      <c r="H1268" s="19">
        <v>1066</v>
      </c>
      <c r="I1268" s="19" t="s">
        <v>3</v>
      </c>
      <c r="J1268" s="19" t="s">
        <v>5</v>
      </c>
      <c r="K1268" s="20">
        <v>2</v>
      </c>
      <c r="L1268" s="21">
        <v>199.38</v>
      </c>
      <c r="M1268" s="22">
        <v>0.1</v>
      </c>
      <c r="N1268" s="21">
        <f t="shared" si="99"/>
        <v>179.44200000000001</v>
      </c>
      <c r="O1268" s="21">
        <v>358.88</v>
      </c>
      <c r="P1268" s="19" t="s">
        <v>6</v>
      </c>
      <c r="Q1268" s="23">
        <v>6</v>
      </c>
      <c r="R1268" s="45">
        <v>1.7</v>
      </c>
    </row>
    <row r="1269" spans="2:18" x14ac:dyDescent="0.2">
      <c r="B1269" s="25">
        <v>1266</v>
      </c>
      <c r="C1269" s="18">
        <v>45096</v>
      </c>
      <c r="D1269" s="24">
        <f t="shared" si="95"/>
        <v>2023</v>
      </c>
      <c r="E1269" s="24" t="str">
        <f t="shared" si="96"/>
        <v>Q2</v>
      </c>
      <c r="F1269" s="24" t="str">
        <f t="shared" si="97"/>
        <v>Jun</v>
      </c>
      <c r="G1269" s="24">
        <f t="shared" si="98"/>
        <v>6</v>
      </c>
      <c r="H1269" s="19">
        <v>1232</v>
      </c>
      <c r="I1269" s="19" t="s">
        <v>3</v>
      </c>
      <c r="J1269" s="19" t="s">
        <v>9</v>
      </c>
      <c r="K1269" s="20">
        <v>6</v>
      </c>
      <c r="L1269" s="21">
        <v>526.98</v>
      </c>
      <c r="M1269" s="22">
        <v>0.32</v>
      </c>
      <c r="N1269" s="21">
        <f t="shared" si="99"/>
        <v>358.34640000000002</v>
      </c>
      <c r="O1269" s="21">
        <v>2150.08</v>
      </c>
      <c r="P1269" s="19" t="s">
        <v>4</v>
      </c>
      <c r="Q1269" s="23">
        <v>4</v>
      </c>
      <c r="R1269" s="45">
        <v>1.1000000000000001</v>
      </c>
    </row>
    <row r="1270" spans="2:18" x14ac:dyDescent="0.2">
      <c r="B1270" s="25">
        <v>1267</v>
      </c>
      <c r="C1270" s="18">
        <v>45097</v>
      </c>
      <c r="D1270" s="24">
        <f t="shared" si="95"/>
        <v>2023</v>
      </c>
      <c r="E1270" s="24" t="str">
        <f t="shared" si="96"/>
        <v>Q2</v>
      </c>
      <c r="F1270" s="24" t="str">
        <f t="shared" si="97"/>
        <v>Jun</v>
      </c>
      <c r="G1270" s="24">
        <f t="shared" si="98"/>
        <v>6</v>
      </c>
      <c r="H1270" s="19">
        <v>1108</v>
      </c>
      <c r="I1270" s="19" t="s">
        <v>7</v>
      </c>
      <c r="J1270" s="19" t="s">
        <v>1</v>
      </c>
      <c r="K1270" s="20">
        <v>6</v>
      </c>
      <c r="L1270" s="21">
        <v>218.09</v>
      </c>
      <c r="M1270" s="22">
        <v>0.35</v>
      </c>
      <c r="N1270" s="21">
        <f t="shared" si="99"/>
        <v>141.75850000000003</v>
      </c>
      <c r="O1270" s="21">
        <v>850.55</v>
      </c>
      <c r="P1270" s="19" t="s">
        <v>4</v>
      </c>
      <c r="Q1270" s="23">
        <v>11</v>
      </c>
      <c r="R1270" s="45">
        <v>3.1</v>
      </c>
    </row>
    <row r="1271" spans="2:18" x14ac:dyDescent="0.2">
      <c r="B1271" s="25">
        <v>1268</v>
      </c>
      <c r="C1271" s="18">
        <v>45098</v>
      </c>
      <c r="D1271" s="24">
        <f t="shared" si="95"/>
        <v>2023</v>
      </c>
      <c r="E1271" s="24" t="str">
        <f t="shared" si="96"/>
        <v>Q2</v>
      </c>
      <c r="F1271" s="24" t="str">
        <f t="shared" si="97"/>
        <v>Jun</v>
      </c>
      <c r="G1271" s="24">
        <f t="shared" si="98"/>
        <v>6</v>
      </c>
      <c r="H1271" s="19">
        <v>1145</v>
      </c>
      <c r="I1271" s="19" t="s">
        <v>0</v>
      </c>
      <c r="J1271" s="19" t="s">
        <v>9</v>
      </c>
      <c r="K1271" s="20">
        <v>7</v>
      </c>
      <c r="L1271" s="21">
        <v>343.71</v>
      </c>
      <c r="M1271" s="22">
        <v>0.32</v>
      </c>
      <c r="N1271" s="21">
        <f t="shared" si="99"/>
        <v>233.72279999999998</v>
      </c>
      <c r="O1271" s="21">
        <v>1636.06</v>
      </c>
      <c r="P1271" s="19" t="s">
        <v>4</v>
      </c>
      <c r="Q1271" s="23">
        <v>5</v>
      </c>
      <c r="R1271" s="45">
        <v>4.8</v>
      </c>
    </row>
    <row r="1272" spans="2:18" x14ac:dyDescent="0.2">
      <c r="B1272" s="25">
        <v>1269</v>
      </c>
      <c r="C1272" s="18">
        <v>45099</v>
      </c>
      <c r="D1272" s="24">
        <f t="shared" si="95"/>
        <v>2023</v>
      </c>
      <c r="E1272" s="24" t="str">
        <f t="shared" si="96"/>
        <v>Q2</v>
      </c>
      <c r="F1272" s="24" t="str">
        <f t="shared" si="97"/>
        <v>Jun</v>
      </c>
      <c r="G1272" s="24">
        <f t="shared" si="98"/>
        <v>6</v>
      </c>
      <c r="H1272" s="19">
        <v>1110</v>
      </c>
      <c r="I1272" s="19" t="s">
        <v>7</v>
      </c>
      <c r="J1272" s="19" t="s">
        <v>9</v>
      </c>
      <c r="K1272" s="20">
        <v>4</v>
      </c>
      <c r="L1272" s="21">
        <v>268.52999999999997</v>
      </c>
      <c r="M1272" s="22">
        <v>0.27</v>
      </c>
      <c r="N1272" s="21">
        <f t="shared" si="99"/>
        <v>196.02689999999996</v>
      </c>
      <c r="O1272" s="21">
        <v>784.11</v>
      </c>
      <c r="P1272" s="19" t="s">
        <v>2</v>
      </c>
      <c r="Q1272" s="23">
        <v>7</v>
      </c>
      <c r="R1272" s="45">
        <v>4.4000000000000004</v>
      </c>
    </row>
    <row r="1273" spans="2:18" x14ac:dyDescent="0.2">
      <c r="B1273" s="25">
        <v>1270</v>
      </c>
      <c r="C1273" s="18">
        <v>45100</v>
      </c>
      <c r="D1273" s="24">
        <f t="shared" si="95"/>
        <v>2023</v>
      </c>
      <c r="E1273" s="24" t="str">
        <f t="shared" si="96"/>
        <v>Q2</v>
      </c>
      <c r="F1273" s="24" t="str">
        <f t="shared" si="97"/>
        <v>Jun</v>
      </c>
      <c r="G1273" s="24">
        <f t="shared" si="98"/>
        <v>6</v>
      </c>
      <c r="H1273" s="19">
        <v>1227</v>
      </c>
      <c r="I1273" s="19" t="s">
        <v>0</v>
      </c>
      <c r="J1273" s="19" t="s">
        <v>1</v>
      </c>
      <c r="K1273" s="20">
        <v>6</v>
      </c>
      <c r="L1273" s="21">
        <v>283.47000000000003</v>
      </c>
      <c r="M1273" s="22">
        <v>0.28000000000000003</v>
      </c>
      <c r="N1273" s="21">
        <f t="shared" si="99"/>
        <v>204.09840000000003</v>
      </c>
      <c r="O1273" s="21">
        <v>1224.5899999999999</v>
      </c>
      <c r="P1273" s="19" t="s">
        <v>4</v>
      </c>
      <c r="Q1273" s="23">
        <v>10</v>
      </c>
      <c r="R1273" s="45">
        <v>3.6</v>
      </c>
    </row>
    <row r="1274" spans="2:18" x14ac:dyDescent="0.2">
      <c r="B1274" s="25">
        <v>1271</v>
      </c>
      <c r="C1274" s="18">
        <v>45101</v>
      </c>
      <c r="D1274" s="24">
        <f t="shared" si="95"/>
        <v>2023</v>
      </c>
      <c r="E1274" s="24" t="str">
        <f t="shared" si="96"/>
        <v>Q2</v>
      </c>
      <c r="F1274" s="24" t="str">
        <f t="shared" si="97"/>
        <v>Jun</v>
      </c>
      <c r="G1274" s="24">
        <f t="shared" si="98"/>
        <v>6</v>
      </c>
      <c r="H1274" s="19">
        <v>1110</v>
      </c>
      <c r="I1274" s="19" t="s">
        <v>10</v>
      </c>
      <c r="J1274" s="19" t="s">
        <v>9</v>
      </c>
      <c r="K1274" s="20">
        <v>5</v>
      </c>
      <c r="L1274" s="21">
        <v>582.20000000000005</v>
      </c>
      <c r="M1274" s="22">
        <v>0.2</v>
      </c>
      <c r="N1274" s="21">
        <f t="shared" si="99"/>
        <v>465.76000000000005</v>
      </c>
      <c r="O1274" s="21">
        <v>2328.8000000000002</v>
      </c>
      <c r="P1274" s="19" t="s">
        <v>6</v>
      </c>
      <c r="Q1274" s="23">
        <v>3</v>
      </c>
      <c r="R1274" s="45">
        <v>1.7</v>
      </c>
    </row>
    <row r="1275" spans="2:18" x14ac:dyDescent="0.2">
      <c r="B1275" s="25">
        <v>1272</v>
      </c>
      <c r="C1275" s="18">
        <v>45102</v>
      </c>
      <c r="D1275" s="24">
        <f t="shared" si="95"/>
        <v>2023</v>
      </c>
      <c r="E1275" s="24" t="str">
        <f t="shared" si="96"/>
        <v>Q2</v>
      </c>
      <c r="F1275" s="24" t="str">
        <f t="shared" si="97"/>
        <v>Jun</v>
      </c>
      <c r="G1275" s="24">
        <f t="shared" si="98"/>
        <v>6</v>
      </c>
      <c r="H1275" s="19">
        <v>1469</v>
      </c>
      <c r="I1275" s="19" t="s">
        <v>3</v>
      </c>
      <c r="J1275" s="19" t="s">
        <v>1</v>
      </c>
      <c r="K1275" s="20">
        <v>1</v>
      </c>
      <c r="L1275" s="21">
        <v>188.25</v>
      </c>
      <c r="M1275" s="22">
        <v>7.0000000000000007E-2</v>
      </c>
      <c r="N1275" s="21">
        <f t="shared" si="99"/>
        <v>175.07249999999999</v>
      </c>
      <c r="O1275" s="21">
        <v>175.07</v>
      </c>
      <c r="P1275" s="19" t="s">
        <v>2</v>
      </c>
      <c r="Q1275" s="23">
        <v>9</v>
      </c>
      <c r="R1275" s="45">
        <v>4.5</v>
      </c>
    </row>
    <row r="1276" spans="2:18" x14ac:dyDescent="0.2">
      <c r="B1276" s="25">
        <v>1273</v>
      </c>
      <c r="C1276" s="18">
        <v>45103</v>
      </c>
      <c r="D1276" s="24">
        <f t="shared" si="95"/>
        <v>2023</v>
      </c>
      <c r="E1276" s="24" t="str">
        <f t="shared" si="96"/>
        <v>Q2</v>
      </c>
      <c r="F1276" s="24" t="str">
        <f t="shared" si="97"/>
        <v>Jun</v>
      </c>
      <c r="G1276" s="24">
        <f t="shared" si="98"/>
        <v>6</v>
      </c>
      <c r="H1276" s="19">
        <v>1033</v>
      </c>
      <c r="I1276" s="19" t="s">
        <v>7</v>
      </c>
      <c r="J1276" s="19" t="s">
        <v>1</v>
      </c>
      <c r="K1276" s="20">
        <v>6</v>
      </c>
      <c r="L1276" s="21">
        <v>381.98</v>
      </c>
      <c r="M1276" s="22">
        <v>0.24</v>
      </c>
      <c r="N1276" s="21">
        <f t="shared" si="99"/>
        <v>290.3048</v>
      </c>
      <c r="O1276" s="21">
        <v>1741.83</v>
      </c>
      <c r="P1276" s="19" t="s">
        <v>6</v>
      </c>
      <c r="Q1276" s="23">
        <v>1</v>
      </c>
      <c r="R1276" s="45">
        <v>4</v>
      </c>
    </row>
    <row r="1277" spans="2:18" x14ac:dyDescent="0.2">
      <c r="B1277" s="25">
        <v>1274</v>
      </c>
      <c r="C1277" s="18">
        <v>45104</v>
      </c>
      <c r="D1277" s="24">
        <f t="shared" si="95"/>
        <v>2023</v>
      </c>
      <c r="E1277" s="24" t="str">
        <f t="shared" si="96"/>
        <v>Q2</v>
      </c>
      <c r="F1277" s="24" t="str">
        <f t="shared" si="97"/>
        <v>Jun</v>
      </c>
      <c r="G1277" s="24">
        <f t="shared" si="98"/>
        <v>6</v>
      </c>
      <c r="H1277" s="19">
        <v>1622</v>
      </c>
      <c r="I1277" s="19" t="s">
        <v>3</v>
      </c>
      <c r="J1277" s="19" t="s">
        <v>9</v>
      </c>
      <c r="K1277" s="20">
        <v>2</v>
      </c>
      <c r="L1277" s="21">
        <v>260.74</v>
      </c>
      <c r="M1277" s="22">
        <v>0.25</v>
      </c>
      <c r="N1277" s="21">
        <f t="shared" si="99"/>
        <v>195.55500000000001</v>
      </c>
      <c r="O1277" s="21">
        <v>391.11</v>
      </c>
      <c r="P1277" s="19" t="s">
        <v>6</v>
      </c>
      <c r="Q1277" s="23">
        <v>8</v>
      </c>
      <c r="R1277" s="45">
        <v>2.1</v>
      </c>
    </row>
    <row r="1278" spans="2:18" x14ac:dyDescent="0.2">
      <c r="B1278" s="25">
        <v>1275</v>
      </c>
      <c r="C1278" s="18">
        <v>45105</v>
      </c>
      <c r="D1278" s="24">
        <f t="shared" si="95"/>
        <v>2023</v>
      </c>
      <c r="E1278" s="24" t="str">
        <f t="shared" si="96"/>
        <v>Q2</v>
      </c>
      <c r="F1278" s="24" t="str">
        <f t="shared" si="97"/>
        <v>Jun</v>
      </c>
      <c r="G1278" s="24">
        <f t="shared" si="98"/>
        <v>6</v>
      </c>
      <c r="H1278" s="19">
        <v>1775</v>
      </c>
      <c r="I1278" s="19" t="s">
        <v>3</v>
      </c>
      <c r="J1278" s="19" t="s">
        <v>8</v>
      </c>
      <c r="K1278" s="20">
        <v>5</v>
      </c>
      <c r="L1278" s="21">
        <v>50.77</v>
      </c>
      <c r="M1278" s="22">
        <v>0.34</v>
      </c>
      <c r="N1278" s="21">
        <f t="shared" si="99"/>
        <v>33.508200000000002</v>
      </c>
      <c r="O1278" s="21">
        <v>167.54</v>
      </c>
      <c r="P1278" s="19" t="s">
        <v>6</v>
      </c>
      <c r="Q1278" s="23">
        <v>5</v>
      </c>
      <c r="R1278" s="45">
        <v>4.2</v>
      </c>
    </row>
    <row r="1279" spans="2:18" x14ac:dyDescent="0.2">
      <c r="B1279" s="25">
        <v>1276</v>
      </c>
      <c r="C1279" s="18">
        <v>45106</v>
      </c>
      <c r="D1279" s="24">
        <f t="shared" si="95"/>
        <v>2023</v>
      </c>
      <c r="E1279" s="24" t="str">
        <f t="shared" si="96"/>
        <v>Q2</v>
      </c>
      <c r="F1279" s="24" t="str">
        <f t="shared" si="97"/>
        <v>Jun</v>
      </c>
      <c r="G1279" s="24">
        <f t="shared" si="98"/>
        <v>6</v>
      </c>
      <c r="H1279" s="19">
        <v>1935</v>
      </c>
      <c r="I1279" s="19" t="s">
        <v>7</v>
      </c>
      <c r="J1279" s="19" t="s">
        <v>9</v>
      </c>
      <c r="K1279" s="20">
        <v>6</v>
      </c>
      <c r="L1279" s="21">
        <v>301.26</v>
      </c>
      <c r="M1279" s="22">
        <v>0.19</v>
      </c>
      <c r="N1279" s="21">
        <f t="shared" si="99"/>
        <v>244.0206</v>
      </c>
      <c r="O1279" s="21">
        <v>1464.12</v>
      </c>
      <c r="P1279" s="19" t="s">
        <v>4</v>
      </c>
      <c r="Q1279" s="23">
        <v>10</v>
      </c>
      <c r="R1279" s="45">
        <v>4.5</v>
      </c>
    </row>
    <row r="1280" spans="2:18" x14ac:dyDescent="0.2">
      <c r="B1280" s="25">
        <v>1277</v>
      </c>
      <c r="C1280" s="18">
        <v>45107</v>
      </c>
      <c r="D1280" s="24">
        <f t="shared" si="95"/>
        <v>2023</v>
      </c>
      <c r="E1280" s="24" t="str">
        <f t="shared" si="96"/>
        <v>Q2</v>
      </c>
      <c r="F1280" s="24" t="str">
        <f t="shared" si="97"/>
        <v>Jun</v>
      </c>
      <c r="G1280" s="24">
        <f t="shared" si="98"/>
        <v>6</v>
      </c>
      <c r="H1280" s="19">
        <v>1368</v>
      </c>
      <c r="I1280" s="19" t="s">
        <v>10</v>
      </c>
      <c r="J1280" s="19" t="s">
        <v>5</v>
      </c>
      <c r="K1280" s="20">
        <v>3</v>
      </c>
      <c r="L1280" s="21">
        <v>490.81</v>
      </c>
      <c r="M1280" s="22">
        <v>0.09</v>
      </c>
      <c r="N1280" s="21">
        <f t="shared" si="99"/>
        <v>446.63710000000003</v>
      </c>
      <c r="O1280" s="21">
        <v>1339.91</v>
      </c>
      <c r="P1280" s="19" t="s">
        <v>4</v>
      </c>
      <c r="Q1280" s="23">
        <v>9</v>
      </c>
      <c r="R1280" s="45">
        <v>3.8</v>
      </c>
    </row>
    <row r="1281" spans="2:18" x14ac:dyDescent="0.2">
      <c r="B1281" s="25">
        <v>1278</v>
      </c>
      <c r="C1281" s="18">
        <v>45108</v>
      </c>
      <c r="D1281" s="24">
        <f t="shared" si="95"/>
        <v>2023</v>
      </c>
      <c r="E1281" s="24" t="str">
        <f t="shared" si="96"/>
        <v>Q3</v>
      </c>
      <c r="F1281" s="24" t="str">
        <f t="shared" si="97"/>
        <v>Jul</v>
      </c>
      <c r="G1281" s="24">
        <f t="shared" si="98"/>
        <v>7</v>
      </c>
      <c r="H1281" s="19">
        <v>1747</v>
      </c>
      <c r="I1281" s="19" t="s">
        <v>0</v>
      </c>
      <c r="J1281" s="19" t="s">
        <v>9</v>
      </c>
      <c r="K1281" s="20">
        <v>2</v>
      </c>
      <c r="L1281" s="21">
        <v>72.77</v>
      </c>
      <c r="M1281" s="22">
        <v>0.24</v>
      </c>
      <c r="N1281" s="21">
        <f t="shared" si="99"/>
        <v>55.305199999999999</v>
      </c>
      <c r="O1281" s="21">
        <v>110.61</v>
      </c>
      <c r="P1281" s="19" t="s">
        <v>2</v>
      </c>
      <c r="Q1281" s="23">
        <v>2</v>
      </c>
      <c r="R1281" s="45">
        <v>1.4</v>
      </c>
    </row>
    <row r="1282" spans="2:18" x14ac:dyDescent="0.2">
      <c r="B1282" s="25">
        <v>1279</v>
      </c>
      <c r="C1282" s="18">
        <v>45109</v>
      </c>
      <c r="D1282" s="24">
        <f t="shared" si="95"/>
        <v>2023</v>
      </c>
      <c r="E1282" s="24" t="str">
        <f t="shared" si="96"/>
        <v>Q3</v>
      </c>
      <c r="F1282" s="24" t="str">
        <f t="shared" si="97"/>
        <v>Jul</v>
      </c>
      <c r="G1282" s="24">
        <f t="shared" si="98"/>
        <v>7</v>
      </c>
      <c r="H1282" s="19">
        <v>1594</v>
      </c>
      <c r="I1282" s="19" t="s">
        <v>3</v>
      </c>
      <c r="J1282" s="19" t="s">
        <v>1</v>
      </c>
      <c r="K1282" s="20">
        <v>7</v>
      </c>
      <c r="L1282" s="21">
        <v>55.71</v>
      </c>
      <c r="M1282" s="22">
        <v>0.34</v>
      </c>
      <c r="N1282" s="21">
        <f t="shared" si="99"/>
        <v>36.768599999999999</v>
      </c>
      <c r="O1282" s="21">
        <v>257.38</v>
      </c>
      <c r="P1282" s="19" t="s">
        <v>4</v>
      </c>
      <c r="Q1282" s="23">
        <v>1</v>
      </c>
      <c r="R1282" s="45">
        <v>4.9000000000000004</v>
      </c>
    </row>
    <row r="1283" spans="2:18" x14ac:dyDescent="0.2">
      <c r="B1283" s="25">
        <v>1280</v>
      </c>
      <c r="C1283" s="18">
        <v>45110</v>
      </c>
      <c r="D1283" s="24">
        <f t="shared" si="95"/>
        <v>2023</v>
      </c>
      <c r="E1283" s="24" t="str">
        <f t="shared" si="96"/>
        <v>Q3</v>
      </c>
      <c r="F1283" s="24" t="str">
        <f t="shared" si="97"/>
        <v>Jul</v>
      </c>
      <c r="G1283" s="24">
        <f t="shared" si="98"/>
        <v>7</v>
      </c>
      <c r="H1283" s="19">
        <v>1553</v>
      </c>
      <c r="I1283" s="19" t="s">
        <v>10</v>
      </c>
      <c r="J1283" s="19" t="s">
        <v>5</v>
      </c>
      <c r="K1283" s="20">
        <v>7</v>
      </c>
      <c r="L1283" s="21">
        <v>104.87</v>
      </c>
      <c r="M1283" s="22">
        <v>0.06</v>
      </c>
      <c r="N1283" s="21">
        <f t="shared" si="99"/>
        <v>98.577800000000011</v>
      </c>
      <c r="O1283" s="21">
        <v>690.04</v>
      </c>
      <c r="P1283" s="19" t="s">
        <v>6</v>
      </c>
      <c r="Q1283" s="23">
        <v>10</v>
      </c>
      <c r="R1283" s="45">
        <v>1.3</v>
      </c>
    </row>
    <row r="1284" spans="2:18" x14ac:dyDescent="0.2">
      <c r="B1284" s="25">
        <v>1281</v>
      </c>
      <c r="C1284" s="18">
        <v>45111</v>
      </c>
      <c r="D1284" s="24">
        <f t="shared" ref="D1284:D1347" si="100">YEAR(C1284)</f>
        <v>2023</v>
      </c>
      <c r="E1284" s="24" t="str">
        <f t="shared" ref="E1284:E1347" si="101">"Q"&amp;ROUNDUP(MONTH(C1284)/3,0)</f>
        <v>Q3</v>
      </c>
      <c r="F1284" s="24" t="str">
        <f t="shared" ref="F1284:F1347" si="102">TEXT(C1284,"mmm")</f>
        <v>Jul</v>
      </c>
      <c r="G1284" s="24">
        <f t="shared" ref="G1284:G1347" si="103">MONTH(C1284)</f>
        <v>7</v>
      </c>
      <c r="H1284" s="19">
        <v>1424</v>
      </c>
      <c r="I1284" s="19" t="s">
        <v>7</v>
      </c>
      <c r="J1284" s="19" t="s">
        <v>1</v>
      </c>
      <c r="K1284" s="20">
        <v>7</v>
      </c>
      <c r="L1284" s="21">
        <v>462.17</v>
      </c>
      <c r="M1284" s="22">
        <v>0.11</v>
      </c>
      <c r="N1284" s="21">
        <f t="shared" si="99"/>
        <v>411.3313</v>
      </c>
      <c r="O1284" s="21">
        <v>2879.32</v>
      </c>
      <c r="P1284" s="19" t="s">
        <v>6</v>
      </c>
      <c r="Q1284" s="23">
        <v>7</v>
      </c>
      <c r="R1284" s="45">
        <v>3.6</v>
      </c>
    </row>
    <row r="1285" spans="2:18" x14ac:dyDescent="0.2">
      <c r="B1285" s="25">
        <v>1282</v>
      </c>
      <c r="C1285" s="18">
        <v>45112</v>
      </c>
      <c r="D1285" s="24">
        <f t="shared" si="100"/>
        <v>2023</v>
      </c>
      <c r="E1285" s="24" t="str">
        <f t="shared" si="101"/>
        <v>Q3</v>
      </c>
      <c r="F1285" s="24" t="str">
        <f t="shared" si="102"/>
        <v>Jul</v>
      </c>
      <c r="G1285" s="24">
        <f t="shared" si="103"/>
        <v>7</v>
      </c>
      <c r="H1285" s="19">
        <v>1612</v>
      </c>
      <c r="I1285" s="19" t="s">
        <v>3</v>
      </c>
      <c r="J1285" s="19" t="s">
        <v>8</v>
      </c>
      <c r="K1285" s="20">
        <v>2</v>
      </c>
      <c r="L1285" s="21">
        <v>438.54</v>
      </c>
      <c r="M1285" s="22">
        <v>0.19</v>
      </c>
      <c r="N1285" s="21">
        <f t="shared" ref="N1285:N1348" si="104">L1285-(L1285*M1285)</f>
        <v>355.2174</v>
      </c>
      <c r="O1285" s="21">
        <v>710.43</v>
      </c>
      <c r="P1285" s="19" t="s">
        <v>4</v>
      </c>
      <c r="Q1285" s="23">
        <v>10</v>
      </c>
      <c r="R1285" s="45">
        <v>1.4</v>
      </c>
    </row>
    <row r="1286" spans="2:18" x14ac:dyDescent="0.2">
      <c r="B1286" s="25">
        <v>1283</v>
      </c>
      <c r="C1286" s="18">
        <v>45113</v>
      </c>
      <c r="D1286" s="24">
        <f t="shared" si="100"/>
        <v>2023</v>
      </c>
      <c r="E1286" s="24" t="str">
        <f t="shared" si="101"/>
        <v>Q3</v>
      </c>
      <c r="F1286" s="24" t="str">
        <f t="shared" si="102"/>
        <v>Jul</v>
      </c>
      <c r="G1286" s="24">
        <f t="shared" si="103"/>
        <v>7</v>
      </c>
      <c r="H1286" s="19">
        <v>1517</v>
      </c>
      <c r="I1286" s="19" t="s">
        <v>7</v>
      </c>
      <c r="J1286" s="19" t="s">
        <v>8</v>
      </c>
      <c r="K1286" s="20">
        <v>7</v>
      </c>
      <c r="L1286" s="21">
        <v>345.54</v>
      </c>
      <c r="M1286" s="22">
        <v>0.06</v>
      </c>
      <c r="N1286" s="21">
        <f t="shared" si="104"/>
        <v>324.80760000000004</v>
      </c>
      <c r="O1286" s="21">
        <v>2273.65</v>
      </c>
      <c r="P1286" s="19" t="s">
        <v>2</v>
      </c>
      <c r="Q1286" s="23">
        <v>11</v>
      </c>
      <c r="R1286" s="45">
        <v>4.5999999999999996</v>
      </c>
    </row>
    <row r="1287" spans="2:18" x14ac:dyDescent="0.2">
      <c r="B1287" s="25">
        <v>1284</v>
      </c>
      <c r="C1287" s="18">
        <v>45114</v>
      </c>
      <c r="D1287" s="24">
        <f t="shared" si="100"/>
        <v>2023</v>
      </c>
      <c r="E1287" s="24" t="str">
        <f t="shared" si="101"/>
        <v>Q3</v>
      </c>
      <c r="F1287" s="24" t="str">
        <f t="shared" si="102"/>
        <v>Jul</v>
      </c>
      <c r="G1287" s="24">
        <f t="shared" si="103"/>
        <v>7</v>
      </c>
      <c r="H1287" s="19">
        <v>1691</v>
      </c>
      <c r="I1287" s="19" t="s">
        <v>3</v>
      </c>
      <c r="J1287" s="19" t="s">
        <v>5</v>
      </c>
      <c r="K1287" s="20">
        <v>4</v>
      </c>
      <c r="L1287" s="21">
        <v>288.91000000000003</v>
      </c>
      <c r="M1287" s="22">
        <v>0.01</v>
      </c>
      <c r="N1287" s="21">
        <f t="shared" si="104"/>
        <v>286.02090000000004</v>
      </c>
      <c r="O1287" s="21">
        <v>1144.08</v>
      </c>
      <c r="P1287" s="19" t="s">
        <v>6</v>
      </c>
      <c r="Q1287" s="23">
        <v>9</v>
      </c>
      <c r="R1287" s="45">
        <v>2.4</v>
      </c>
    </row>
    <row r="1288" spans="2:18" x14ac:dyDescent="0.2">
      <c r="B1288" s="25">
        <v>1285</v>
      </c>
      <c r="C1288" s="18">
        <v>45115</v>
      </c>
      <c r="D1288" s="24">
        <f t="shared" si="100"/>
        <v>2023</v>
      </c>
      <c r="E1288" s="24" t="str">
        <f t="shared" si="101"/>
        <v>Q3</v>
      </c>
      <c r="F1288" s="24" t="str">
        <f t="shared" si="102"/>
        <v>Jul</v>
      </c>
      <c r="G1288" s="24">
        <f t="shared" si="103"/>
        <v>7</v>
      </c>
      <c r="H1288" s="19">
        <v>1281</v>
      </c>
      <c r="I1288" s="19" t="s">
        <v>0</v>
      </c>
      <c r="J1288" s="19" t="s">
        <v>8</v>
      </c>
      <c r="K1288" s="20">
        <v>3</v>
      </c>
      <c r="L1288" s="21">
        <v>534.66999999999996</v>
      </c>
      <c r="M1288" s="22">
        <v>0.12</v>
      </c>
      <c r="N1288" s="21">
        <f t="shared" si="104"/>
        <v>470.50959999999998</v>
      </c>
      <c r="O1288" s="21">
        <v>1411.53</v>
      </c>
      <c r="P1288" s="19" t="s">
        <v>4</v>
      </c>
      <c r="Q1288" s="23">
        <v>5</v>
      </c>
      <c r="R1288" s="45">
        <v>3</v>
      </c>
    </row>
    <row r="1289" spans="2:18" x14ac:dyDescent="0.2">
      <c r="B1289" s="25">
        <v>1286</v>
      </c>
      <c r="C1289" s="18">
        <v>45116</v>
      </c>
      <c r="D1289" s="24">
        <f t="shared" si="100"/>
        <v>2023</v>
      </c>
      <c r="E1289" s="24" t="str">
        <f t="shared" si="101"/>
        <v>Q3</v>
      </c>
      <c r="F1289" s="24" t="str">
        <f t="shared" si="102"/>
        <v>Jul</v>
      </c>
      <c r="G1289" s="24">
        <f t="shared" si="103"/>
        <v>7</v>
      </c>
      <c r="H1289" s="19">
        <v>1319</v>
      </c>
      <c r="I1289" s="19" t="s">
        <v>10</v>
      </c>
      <c r="J1289" s="19" t="s">
        <v>8</v>
      </c>
      <c r="K1289" s="20">
        <v>4</v>
      </c>
      <c r="L1289" s="21">
        <v>463.52</v>
      </c>
      <c r="M1289" s="22">
        <v>0.3</v>
      </c>
      <c r="N1289" s="21">
        <f t="shared" si="104"/>
        <v>324.464</v>
      </c>
      <c r="O1289" s="21">
        <v>1297.8599999999999</v>
      </c>
      <c r="P1289" s="19" t="s">
        <v>2</v>
      </c>
      <c r="Q1289" s="23">
        <v>11</v>
      </c>
      <c r="R1289" s="45">
        <v>1.7</v>
      </c>
    </row>
    <row r="1290" spans="2:18" x14ac:dyDescent="0.2">
      <c r="B1290" s="25">
        <v>1287</v>
      </c>
      <c r="C1290" s="18">
        <v>45117</v>
      </c>
      <c r="D1290" s="24">
        <f t="shared" si="100"/>
        <v>2023</v>
      </c>
      <c r="E1290" s="24" t="str">
        <f t="shared" si="101"/>
        <v>Q3</v>
      </c>
      <c r="F1290" s="24" t="str">
        <f t="shared" si="102"/>
        <v>Jul</v>
      </c>
      <c r="G1290" s="24">
        <f t="shared" si="103"/>
        <v>7</v>
      </c>
      <c r="H1290" s="19">
        <v>1737</v>
      </c>
      <c r="I1290" s="19" t="s">
        <v>7</v>
      </c>
      <c r="J1290" s="19" t="s">
        <v>9</v>
      </c>
      <c r="K1290" s="20">
        <v>6</v>
      </c>
      <c r="L1290" s="21">
        <v>489.99</v>
      </c>
      <c r="M1290" s="22">
        <v>0.02</v>
      </c>
      <c r="N1290" s="21">
        <f t="shared" si="104"/>
        <v>480.1902</v>
      </c>
      <c r="O1290" s="21">
        <v>2881.14</v>
      </c>
      <c r="P1290" s="19" t="s">
        <v>6</v>
      </c>
      <c r="Q1290" s="23">
        <v>4</v>
      </c>
      <c r="R1290" s="45">
        <v>3.2</v>
      </c>
    </row>
    <row r="1291" spans="2:18" x14ac:dyDescent="0.2">
      <c r="B1291" s="25">
        <v>1288</v>
      </c>
      <c r="C1291" s="18">
        <v>45118</v>
      </c>
      <c r="D1291" s="24">
        <f t="shared" si="100"/>
        <v>2023</v>
      </c>
      <c r="E1291" s="24" t="str">
        <f t="shared" si="101"/>
        <v>Q3</v>
      </c>
      <c r="F1291" s="24" t="str">
        <f t="shared" si="102"/>
        <v>Jul</v>
      </c>
      <c r="G1291" s="24">
        <f t="shared" si="103"/>
        <v>7</v>
      </c>
      <c r="H1291" s="19">
        <v>1442</v>
      </c>
      <c r="I1291" s="19" t="s">
        <v>3</v>
      </c>
      <c r="J1291" s="19" t="s">
        <v>9</v>
      </c>
      <c r="K1291" s="20">
        <v>3</v>
      </c>
      <c r="L1291" s="21">
        <v>490.76</v>
      </c>
      <c r="M1291" s="22">
        <v>0.15</v>
      </c>
      <c r="N1291" s="21">
        <f t="shared" si="104"/>
        <v>417.14600000000002</v>
      </c>
      <c r="O1291" s="21">
        <v>1251.44</v>
      </c>
      <c r="P1291" s="19" t="s">
        <v>6</v>
      </c>
      <c r="Q1291" s="23">
        <v>4</v>
      </c>
      <c r="R1291" s="45">
        <v>4.8</v>
      </c>
    </row>
    <row r="1292" spans="2:18" x14ac:dyDescent="0.2">
      <c r="B1292" s="25">
        <v>1289</v>
      </c>
      <c r="C1292" s="18">
        <v>45119</v>
      </c>
      <c r="D1292" s="24">
        <f t="shared" si="100"/>
        <v>2023</v>
      </c>
      <c r="E1292" s="24" t="str">
        <f t="shared" si="101"/>
        <v>Q3</v>
      </c>
      <c r="F1292" s="24" t="str">
        <f t="shared" si="102"/>
        <v>Jul</v>
      </c>
      <c r="G1292" s="24">
        <f t="shared" si="103"/>
        <v>7</v>
      </c>
      <c r="H1292" s="19">
        <v>1951</v>
      </c>
      <c r="I1292" s="19" t="s">
        <v>3</v>
      </c>
      <c r="J1292" s="19" t="s">
        <v>8</v>
      </c>
      <c r="K1292" s="20">
        <v>2</v>
      </c>
      <c r="L1292" s="21">
        <v>390.99</v>
      </c>
      <c r="M1292" s="22">
        <v>0.27</v>
      </c>
      <c r="N1292" s="21">
        <f t="shared" si="104"/>
        <v>285.42270000000002</v>
      </c>
      <c r="O1292" s="21">
        <v>570.85</v>
      </c>
      <c r="P1292" s="19" t="s">
        <v>6</v>
      </c>
      <c r="Q1292" s="23">
        <v>8</v>
      </c>
      <c r="R1292" s="45">
        <v>4.5999999999999996</v>
      </c>
    </row>
    <row r="1293" spans="2:18" x14ac:dyDescent="0.2">
      <c r="B1293" s="25">
        <v>1290</v>
      </c>
      <c r="C1293" s="18">
        <v>45120</v>
      </c>
      <c r="D1293" s="24">
        <f t="shared" si="100"/>
        <v>2023</v>
      </c>
      <c r="E1293" s="24" t="str">
        <f t="shared" si="101"/>
        <v>Q3</v>
      </c>
      <c r="F1293" s="24" t="str">
        <f t="shared" si="102"/>
        <v>Jul</v>
      </c>
      <c r="G1293" s="24">
        <f t="shared" si="103"/>
        <v>7</v>
      </c>
      <c r="H1293" s="19">
        <v>1314</v>
      </c>
      <c r="I1293" s="19" t="s">
        <v>3</v>
      </c>
      <c r="J1293" s="19" t="s">
        <v>8</v>
      </c>
      <c r="K1293" s="20">
        <v>4</v>
      </c>
      <c r="L1293" s="21">
        <v>282.94</v>
      </c>
      <c r="M1293" s="22">
        <v>0.33</v>
      </c>
      <c r="N1293" s="21">
        <f t="shared" si="104"/>
        <v>189.56979999999999</v>
      </c>
      <c r="O1293" s="21">
        <v>758.28</v>
      </c>
      <c r="P1293" s="19" t="s">
        <v>4</v>
      </c>
      <c r="Q1293" s="23">
        <v>1</v>
      </c>
      <c r="R1293" s="45">
        <v>1.3</v>
      </c>
    </row>
    <row r="1294" spans="2:18" x14ac:dyDescent="0.2">
      <c r="B1294" s="25">
        <v>1291</v>
      </c>
      <c r="C1294" s="18">
        <v>45121</v>
      </c>
      <c r="D1294" s="24">
        <f t="shared" si="100"/>
        <v>2023</v>
      </c>
      <c r="E1294" s="24" t="str">
        <f t="shared" si="101"/>
        <v>Q3</v>
      </c>
      <c r="F1294" s="24" t="str">
        <f t="shared" si="102"/>
        <v>Jul</v>
      </c>
      <c r="G1294" s="24">
        <f t="shared" si="103"/>
        <v>7</v>
      </c>
      <c r="H1294" s="19">
        <v>1876</v>
      </c>
      <c r="I1294" s="19" t="s">
        <v>10</v>
      </c>
      <c r="J1294" s="19" t="s">
        <v>9</v>
      </c>
      <c r="K1294" s="20">
        <v>5</v>
      </c>
      <c r="L1294" s="21">
        <v>520.84</v>
      </c>
      <c r="M1294" s="22">
        <v>0.34</v>
      </c>
      <c r="N1294" s="21">
        <f t="shared" si="104"/>
        <v>343.75440000000003</v>
      </c>
      <c r="O1294" s="21">
        <v>1718.77</v>
      </c>
      <c r="P1294" s="19" t="s">
        <v>6</v>
      </c>
      <c r="Q1294" s="23">
        <v>1</v>
      </c>
      <c r="R1294" s="45">
        <v>2.5</v>
      </c>
    </row>
    <row r="1295" spans="2:18" x14ac:dyDescent="0.2">
      <c r="B1295" s="25">
        <v>1292</v>
      </c>
      <c r="C1295" s="18">
        <v>45122</v>
      </c>
      <c r="D1295" s="24">
        <f t="shared" si="100"/>
        <v>2023</v>
      </c>
      <c r="E1295" s="24" t="str">
        <f t="shared" si="101"/>
        <v>Q3</v>
      </c>
      <c r="F1295" s="24" t="str">
        <f t="shared" si="102"/>
        <v>Jul</v>
      </c>
      <c r="G1295" s="24">
        <f t="shared" si="103"/>
        <v>7</v>
      </c>
      <c r="H1295" s="19">
        <v>1965</v>
      </c>
      <c r="I1295" s="19" t="s">
        <v>10</v>
      </c>
      <c r="J1295" s="19" t="s">
        <v>8</v>
      </c>
      <c r="K1295" s="20">
        <v>3</v>
      </c>
      <c r="L1295" s="21">
        <v>556.71</v>
      </c>
      <c r="M1295" s="22">
        <v>0.15</v>
      </c>
      <c r="N1295" s="21">
        <f t="shared" si="104"/>
        <v>473.20350000000002</v>
      </c>
      <c r="O1295" s="21">
        <v>1419.61</v>
      </c>
      <c r="P1295" s="19" t="s">
        <v>4</v>
      </c>
      <c r="Q1295" s="23">
        <v>8</v>
      </c>
      <c r="R1295" s="45">
        <v>2.1</v>
      </c>
    </row>
    <row r="1296" spans="2:18" x14ac:dyDescent="0.2">
      <c r="B1296" s="25">
        <v>1293</v>
      </c>
      <c r="C1296" s="18">
        <v>45123</v>
      </c>
      <c r="D1296" s="24">
        <f t="shared" si="100"/>
        <v>2023</v>
      </c>
      <c r="E1296" s="24" t="str">
        <f t="shared" si="101"/>
        <v>Q3</v>
      </c>
      <c r="F1296" s="24" t="str">
        <f t="shared" si="102"/>
        <v>Jul</v>
      </c>
      <c r="G1296" s="24">
        <f t="shared" si="103"/>
        <v>7</v>
      </c>
      <c r="H1296" s="19">
        <v>1740</v>
      </c>
      <c r="I1296" s="19" t="s">
        <v>3</v>
      </c>
      <c r="J1296" s="19" t="s">
        <v>8</v>
      </c>
      <c r="K1296" s="20">
        <v>2</v>
      </c>
      <c r="L1296" s="21">
        <v>28.93</v>
      </c>
      <c r="M1296" s="22">
        <v>0.33</v>
      </c>
      <c r="N1296" s="21">
        <f t="shared" si="104"/>
        <v>19.383099999999999</v>
      </c>
      <c r="O1296" s="21">
        <v>38.770000000000003</v>
      </c>
      <c r="P1296" s="19" t="s">
        <v>6</v>
      </c>
      <c r="Q1296" s="23">
        <v>2</v>
      </c>
      <c r="R1296" s="45">
        <v>2.9</v>
      </c>
    </row>
    <row r="1297" spans="2:18" x14ac:dyDescent="0.2">
      <c r="B1297" s="25">
        <v>1294</v>
      </c>
      <c r="C1297" s="18">
        <v>45124</v>
      </c>
      <c r="D1297" s="24">
        <f t="shared" si="100"/>
        <v>2023</v>
      </c>
      <c r="E1297" s="24" t="str">
        <f t="shared" si="101"/>
        <v>Q3</v>
      </c>
      <c r="F1297" s="24" t="str">
        <f t="shared" si="102"/>
        <v>Jul</v>
      </c>
      <c r="G1297" s="24">
        <f t="shared" si="103"/>
        <v>7</v>
      </c>
      <c r="H1297" s="19">
        <v>1376</v>
      </c>
      <c r="I1297" s="19" t="s">
        <v>3</v>
      </c>
      <c r="J1297" s="19" t="s">
        <v>1</v>
      </c>
      <c r="K1297" s="20">
        <v>1</v>
      </c>
      <c r="L1297" s="21">
        <v>45.16</v>
      </c>
      <c r="M1297" s="22">
        <v>0.01</v>
      </c>
      <c r="N1297" s="21">
        <f t="shared" si="104"/>
        <v>44.708399999999997</v>
      </c>
      <c r="O1297" s="21">
        <v>44.71</v>
      </c>
      <c r="P1297" s="19" t="s">
        <v>6</v>
      </c>
      <c r="Q1297" s="23">
        <v>10</v>
      </c>
      <c r="R1297" s="45">
        <v>4.3</v>
      </c>
    </row>
    <row r="1298" spans="2:18" x14ac:dyDescent="0.2">
      <c r="B1298" s="25">
        <v>1295</v>
      </c>
      <c r="C1298" s="18">
        <v>45125</v>
      </c>
      <c r="D1298" s="24">
        <f t="shared" si="100"/>
        <v>2023</v>
      </c>
      <c r="E1298" s="24" t="str">
        <f t="shared" si="101"/>
        <v>Q3</v>
      </c>
      <c r="F1298" s="24" t="str">
        <f t="shared" si="102"/>
        <v>Jul</v>
      </c>
      <c r="G1298" s="24">
        <f t="shared" si="103"/>
        <v>7</v>
      </c>
      <c r="H1298" s="19">
        <v>1288</v>
      </c>
      <c r="I1298" s="19" t="s">
        <v>7</v>
      </c>
      <c r="J1298" s="19" t="s">
        <v>8</v>
      </c>
      <c r="K1298" s="20">
        <v>3</v>
      </c>
      <c r="L1298" s="21">
        <v>575.86</v>
      </c>
      <c r="M1298" s="22">
        <v>0.26</v>
      </c>
      <c r="N1298" s="21">
        <f t="shared" si="104"/>
        <v>426.13639999999998</v>
      </c>
      <c r="O1298" s="21">
        <v>1278.4100000000001</v>
      </c>
      <c r="P1298" s="19" t="s">
        <v>2</v>
      </c>
      <c r="Q1298" s="23">
        <v>6</v>
      </c>
      <c r="R1298" s="45">
        <v>4</v>
      </c>
    </row>
    <row r="1299" spans="2:18" x14ac:dyDescent="0.2">
      <c r="B1299" s="25">
        <v>1296</v>
      </c>
      <c r="C1299" s="18">
        <v>45126</v>
      </c>
      <c r="D1299" s="24">
        <f t="shared" si="100"/>
        <v>2023</v>
      </c>
      <c r="E1299" s="24" t="str">
        <f t="shared" si="101"/>
        <v>Q3</v>
      </c>
      <c r="F1299" s="24" t="str">
        <f t="shared" si="102"/>
        <v>Jul</v>
      </c>
      <c r="G1299" s="24">
        <f t="shared" si="103"/>
        <v>7</v>
      </c>
      <c r="H1299" s="19">
        <v>1436</v>
      </c>
      <c r="I1299" s="19" t="s">
        <v>7</v>
      </c>
      <c r="J1299" s="19" t="s">
        <v>5</v>
      </c>
      <c r="K1299" s="20">
        <v>3</v>
      </c>
      <c r="L1299" s="21">
        <v>177.14</v>
      </c>
      <c r="M1299" s="22">
        <v>0.22</v>
      </c>
      <c r="N1299" s="21">
        <f t="shared" si="104"/>
        <v>138.16919999999999</v>
      </c>
      <c r="O1299" s="21">
        <v>414.51</v>
      </c>
      <c r="P1299" s="19" t="s">
        <v>6</v>
      </c>
      <c r="Q1299" s="23">
        <v>2</v>
      </c>
      <c r="R1299" s="45">
        <v>2.4</v>
      </c>
    </row>
    <row r="1300" spans="2:18" x14ac:dyDescent="0.2">
      <c r="B1300" s="25">
        <v>1297</v>
      </c>
      <c r="C1300" s="18">
        <v>45127</v>
      </c>
      <c r="D1300" s="24">
        <f t="shared" si="100"/>
        <v>2023</v>
      </c>
      <c r="E1300" s="24" t="str">
        <f t="shared" si="101"/>
        <v>Q3</v>
      </c>
      <c r="F1300" s="24" t="str">
        <f t="shared" si="102"/>
        <v>Jul</v>
      </c>
      <c r="G1300" s="24">
        <f t="shared" si="103"/>
        <v>7</v>
      </c>
      <c r="H1300" s="19">
        <v>1661</v>
      </c>
      <c r="I1300" s="19" t="s">
        <v>3</v>
      </c>
      <c r="J1300" s="19" t="s">
        <v>1</v>
      </c>
      <c r="K1300" s="20">
        <v>6</v>
      </c>
      <c r="L1300" s="21">
        <v>525.91999999999996</v>
      </c>
      <c r="M1300" s="22">
        <v>0.09</v>
      </c>
      <c r="N1300" s="21">
        <f t="shared" si="104"/>
        <v>478.58719999999994</v>
      </c>
      <c r="O1300" s="21">
        <v>2871.52</v>
      </c>
      <c r="P1300" s="19" t="s">
        <v>4</v>
      </c>
      <c r="Q1300" s="23">
        <v>5</v>
      </c>
      <c r="R1300" s="45">
        <v>2.5</v>
      </c>
    </row>
    <row r="1301" spans="2:18" x14ac:dyDescent="0.2">
      <c r="B1301" s="25">
        <v>1298</v>
      </c>
      <c r="C1301" s="18">
        <v>45128</v>
      </c>
      <c r="D1301" s="24">
        <f t="shared" si="100"/>
        <v>2023</v>
      </c>
      <c r="E1301" s="24" t="str">
        <f t="shared" si="101"/>
        <v>Q3</v>
      </c>
      <c r="F1301" s="24" t="str">
        <f t="shared" si="102"/>
        <v>Jul</v>
      </c>
      <c r="G1301" s="24">
        <f t="shared" si="103"/>
        <v>7</v>
      </c>
      <c r="H1301" s="19">
        <v>1276</v>
      </c>
      <c r="I1301" s="19" t="s">
        <v>3</v>
      </c>
      <c r="J1301" s="19" t="s">
        <v>5</v>
      </c>
      <c r="K1301" s="20">
        <v>5</v>
      </c>
      <c r="L1301" s="21">
        <v>242.45</v>
      </c>
      <c r="M1301" s="22">
        <v>0.18</v>
      </c>
      <c r="N1301" s="21">
        <f t="shared" si="104"/>
        <v>198.809</v>
      </c>
      <c r="O1301" s="21">
        <v>994.04</v>
      </c>
      <c r="P1301" s="19" t="s">
        <v>2</v>
      </c>
      <c r="Q1301" s="23">
        <v>3</v>
      </c>
      <c r="R1301" s="45">
        <v>3.6</v>
      </c>
    </row>
    <row r="1302" spans="2:18" x14ac:dyDescent="0.2">
      <c r="B1302" s="25">
        <v>1299</v>
      </c>
      <c r="C1302" s="18">
        <v>45129</v>
      </c>
      <c r="D1302" s="24">
        <f t="shared" si="100"/>
        <v>2023</v>
      </c>
      <c r="E1302" s="24" t="str">
        <f t="shared" si="101"/>
        <v>Q3</v>
      </c>
      <c r="F1302" s="24" t="str">
        <f t="shared" si="102"/>
        <v>Jul</v>
      </c>
      <c r="G1302" s="24">
        <f t="shared" si="103"/>
        <v>7</v>
      </c>
      <c r="H1302" s="19">
        <v>1709</v>
      </c>
      <c r="I1302" s="19" t="s">
        <v>10</v>
      </c>
      <c r="J1302" s="19" t="s">
        <v>8</v>
      </c>
      <c r="K1302" s="20">
        <v>6</v>
      </c>
      <c r="L1302" s="21">
        <v>84.67</v>
      </c>
      <c r="M1302" s="22">
        <v>0.05</v>
      </c>
      <c r="N1302" s="21">
        <f t="shared" si="104"/>
        <v>80.436499999999995</v>
      </c>
      <c r="O1302" s="21">
        <v>482.62</v>
      </c>
      <c r="P1302" s="19" t="s">
        <v>6</v>
      </c>
      <c r="Q1302" s="23">
        <v>7</v>
      </c>
      <c r="R1302" s="45">
        <v>1.8</v>
      </c>
    </row>
    <row r="1303" spans="2:18" x14ac:dyDescent="0.2">
      <c r="B1303" s="25">
        <v>1300</v>
      </c>
      <c r="C1303" s="18">
        <v>45130</v>
      </c>
      <c r="D1303" s="24">
        <f t="shared" si="100"/>
        <v>2023</v>
      </c>
      <c r="E1303" s="24" t="str">
        <f t="shared" si="101"/>
        <v>Q3</v>
      </c>
      <c r="F1303" s="24" t="str">
        <f t="shared" si="102"/>
        <v>Jul</v>
      </c>
      <c r="G1303" s="24">
        <f t="shared" si="103"/>
        <v>7</v>
      </c>
      <c r="H1303" s="19">
        <v>1581</v>
      </c>
      <c r="I1303" s="19" t="s">
        <v>10</v>
      </c>
      <c r="J1303" s="19" t="s">
        <v>9</v>
      </c>
      <c r="K1303" s="20">
        <v>7</v>
      </c>
      <c r="L1303" s="21">
        <v>62.06</v>
      </c>
      <c r="M1303" s="22">
        <v>0.31</v>
      </c>
      <c r="N1303" s="21">
        <f t="shared" si="104"/>
        <v>42.821399999999997</v>
      </c>
      <c r="O1303" s="21">
        <v>299.75</v>
      </c>
      <c r="P1303" s="19" t="s">
        <v>6</v>
      </c>
      <c r="Q1303" s="23">
        <v>9</v>
      </c>
      <c r="R1303" s="45">
        <v>1.4</v>
      </c>
    </row>
    <row r="1304" spans="2:18" x14ac:dyDescent="0.2">
      <c r="B1304" s="25">
        <v>1301</v>
      </c>
      <c r="C1304" s="18">
        <v>45131</v>
      </c>
      <c r="D1304" s="24">
        <f t="shared" si="100"/>
        <v>2023</v>
      </c>
      <c r="E1304" s="24" t="str">
        <f t="shared" si="101"/>
        <v>Q3</v>
      </c>
      <c r="F1304" s="24" t="str">
        <f t="shared" si="102"/>
        <v>Jul</v>
      </c>
      <c r="G1304" s="24">
        <f t="shared" si="103"/>
        <v>7</v>
      </c>
      <c r="H1304" s="19">
        <v>1502</v>
      </c>
      <c r="I1304" s="19" t="s">
        <v>7</v>
      </c>
      <c r="J1304" s="19" t="s">
        <v>1</v>
      </c>
      <c r="K1304" s="20">
        <v>3</v>
      </c>
      <c r="L1304" s="21">
        <v>106.56</v>
      </c>
      <c r="M1304" s="22">
        <v>0.13</v>
      </c>
      <c r="N1304" s="21">
        <f t="shared" si="104"/>
        <v>92.7072</v>
      </c>
      <c r="O1304" s="21">
        <v>278.12</v>
      </c>
      <c r="P1304" s="19" t="s">
        <v>4</v>
      </c>
      <c r="Q1304" s="23">
        <v>2</v>
      </c>
      <c r="R1304" s="45">
        <v>2</v>
      </c>
    </row>
    <row r="1305" spans="2:18" x14ac:dyDescent="0.2">
      <c r="B1305" s="25">
        <v>1302</v>
      </c>
      <c r="C1305" s="18">
        <v>45132</v>
      </c>
      <c r="D1305" s="24">
        <f t="shared" si="100"/>
        <v>2023</v>
      </c>
      <c r="E1305" s="24" t="str">
        <f t="shared" si="101"/>
        <v>Q3</v>
      </c>
      <c r="F1305" s="24" t="str">
        <f t="shared" si="102"/>
        <v>Jul</v>
      </c>
      <c r="G1305" s="24">
        <f t="shared" si="103"/>
        <v>7</v>
      </c>
      <c r="H1305" s="19">
        <v>1623</v>
      </c>
      <c r="I1305" s="19" t="s">
        <v>3</v>
      </c>
      <c r="J1305" s="19" t="s">
        <v>9</v>
      </c>
      <c r="K1305" s="20">
        <v>3</v>
      </c>
      <c r="L1305" s="21">
        <v>161.19</v>
      </c>
      <c r="M1305" s="22">
        <v>0.22</v>
      </c>
      <c r="N1305" s="21">
        <f t="shared" si="104"/>
        <v>125.7282</v>
      </c>
      <c r="O1305" s="21">
        <v>377.18</v>
      </c>
      <c r="P1305" s="19" t="s">
        <v>2</v>
      </c>
      <c r="Q1305" s="23">
        <v>7</v>
      </c>
      <c r="R1305" s="45">
        <v>1.5</v>
      </c>
    </row>
    <row r="1306" spans="2:18" x14ac:dyDescent="0.2">
      <c r="B1306" s="25">
        <v>1303</v>
      </c>
      <c r="C1306" s="18">
        <v>45133</v>
      </c>
      <c r="D1306" s="24">
        <f t="shared" si="100"/>
        <v>2023</v>
      </c>
      <c r="E1306" s="24" t="str">
        <f t="shared" si="101"/>
        <v>Q3</v>
      </c>
      <c r="F1306" s="24" t="str">
        <f t="shared" si="102"/>
        <v>Jul</v>
      </c>
      <c r="G1306" s="24">
        <f t="shared" si="103"/>
        <v>7</v>
      </c>
      <c r="H1306" s="19">
        <v>1515</v>
      </c>
      <c r="I1306" s="19" t="s">
        <v>7</v>
      </c>
      <c r="J1306" s="19" t="s">
        <v>1</v>
      </c>
      <c r="K1306" s="20">
        <v>7</v>
      </c>
      <c r="L1306" s="21">
        <v>300.77999999999997</v>
      </c>
      <c r="M1306" s="22">
        <v>0.06</v>
      </c>
      <c r="N1306" s="21">
        <f t="shared" si="104"/>
        <v>282.73319999999995</v>
      </c>
      <c r="O1306" s="21">
        <v>1979.13</v>
      </c>
      <c r="P1306" s="19" t="s">
        <v>2</v>
      </c>
      <c r="Q1306" s="23">
        <v>8</v>
      </c>
      <c r="R1306" s="45">
        <v>2.4</v>
      </c>
    </row>
    <row r="1307" spans="2:18" x14ac:dyDescent="0.2">
      <c r="B1307" s="25">
        <v>1304</v>
      </c>
      <c r="C1307" s="18">
        <v>45134</v>
      </c>
      <c r="D1307" s="24">
        <f t="shared" si="100"/>
        <v>2023</v>
      </c>
      <c r="E1307" s="24" t="str">
        <f t="shared" si="101"/>
        <v>Q3</v>
      </c>
      <c r="F1307" s="24" t="str">
        <f t="shared" si="102"/>
        <v>Jul</v>
      </c>
      <c r="G1307" s="24">
        <f t="shared" si="103"/>
        <v>7</v>
      </c>
      <c r="H1307" s="19">
        <v>1349</v>
      </c>
      <c r="I1307" s="19" t="s">
        <v>7</v>
      </c>
      <c r="J1307" s="19" t="s">
        <v>9</v>
      </c>
      <c r="K1307" s="20">
        <v>5</v>
      </c>
      <c r="L1307" s="21">
        <v>425.38</v>
      </c>
      <c r="M1307" s="22">
        <v>7.0000000000000007E-2</v>
      </c>
      <c r="N1307" s="21">
        <f t="shared" si="104"/>
        <v>395.60339999999997</v>
      </c>
      <c r="O1307" s="21">
        <v>1978.02</v>
      </c>
      <c r="P1307" s="19" t="s">
        <v>6</v>
      </c>
      <c r="Q1307" s="23">
        <v>10</v>
      </c>
      <c r="R1307" s="45">
        <v>4.8</v>
      </c>
    </row>
    <row r="1308" spans="2:18" x14ac:dyDescent="0.2">
      <c r="B1308" s="25">
        <v>1305</v>
      </c>
      <c r="C1308" s="18">
        <v>45135</v>
      </c>
      <c r="D1308" s="24">
        <f t="shared" si="100"/>
        <v>2023</v>
      </c>
      <c r="E1308" s="24" t="str">
        <f t="shared" si="101"/>
        <v>Q3</v>
      </c>
      <c r="F1308" s="24" t="str">
        <f t="shared" si="102"/>
        <v>Jul</v>
      </c>
      <c r="G1308" s="24">
        <f t="shared" si="103"/>
        <v>7</v>
      </c>
      <c r="H1308" s="19">
        <v>1842</v>
      </c>
      <c r="I1308" s="19" t="s">
        <v>10</v>
      </c>
      <c r="J1308" s="19" t="s">
        <v>1</v>
      </c>
      <c r="K1308" s="20">
        <v>5</v>
      </c>
      <c r="L1308" s="21">
        <v>592.04</v>
      </c>
      <c r="M1308" s="22">
        <v>0.35</v>
      </c>
      <c r="N1308" s="21">
        <f t="shared" si="104"/>
        <v>384.82600000000002</v>
      </c>
      <c r="O1308" s="21">
        <v>1924.13</v>
      </c>
      <c r="P1308" s="19" t="s">
        <v>2</v>
      </c>
      <c r="Q1308" s="23">
        <v>8</v>
      </c>
      <c r="R1308" s="45">
        <v>1.5</v>
      </c>
    </row>
    <row r="1309" spans="2:18" x14ac:dyDescent="0.2">
      <c r="B1309" s="25">
        <v>1306</v>
      </c>
      <c r="C1309" s="18">
        <v>45136</v>
      </c>
      <c r="D1309" s="24">
        <f t="shared" si="100"/>
        <v>2023</v>
      </c>
      <c r="E1309" s="24" t="str">
        <f t="shared" si="101"/>
        <v>Q3</v>
      </c>
      <c r="F1309" s="24" t="str">
        <f t="shared" si="102"/>
        <v>Jul</v>
      </c>
      <c r="G1309" s="24">
        <f t="shared" si="103"/>
        <v>7</v>
      </c>
      <c r="H1309" s="19">
        <v>1445</v>
      </c>
      <c r="I1309" s="19" t="s">
        <v>7</v>
      </c>
      <c r="J1309" s="19" t="s">
        <v>1</v>
      </c>
      <c r="K1309" s="20">
        <v>4</v>
      </c>
      <c r="L1309" s="21">
        <v>273.27999999999997</v>
      </c>
      <c r="M1309" s="22">
        <v>0.26</v>
      </c>
      <c r="N1309" s="21">
        <f t="shared" si="104"/>
        <v>202.22719999999998</v>
      </c>
      <c r="O1309" s="21">
        <v>808.91</v>
      </c>
      <c r="P1309" s="19" t="s">
        <v>4</v>
      </c>
      <c r="Q1309" s="23">
        <v>7</v>
      </c>
      <c r="R1309" s="45">
        <v>4.3</v>
      </c>
    </row>
    <row r="1310" spans="2:18" x14ac:dyDescent="0.2">
      <c r="B1310" s="25">
        <v>1307</v>
      </c>
      <c r="C1310" s="18">
        <v>45137</v>
      </c>
      <c r="D1310" s="24">
        <f t="shared" si="100"/>
        <v>2023</v>
      </c>
      <c r="E1310" s="24" t="str">
        <f t="shared" si="101"/>
        <v>Q3</v>
      </c>
      <c r="F1310" s="24" t="str">
        <f t="shared" si="102"/>
        <v>Jul</v>
      </c>
      <c r="G1310" s="24">
        <f t="shared" si="103"/>
        <v>7</v>
      </c>
      <c r="H1310" s="19">
        <v>1829</v>
      </c>
      <c r="I1310" s="19" t="s">
        <v>3</v>
      </c>
      <c r="J1310" s="19" t="s">
        <v>5</v>
      </c>
      <c r="K1310" s="20">
        <v>2</v>
      </c>
      <c r="L1310" s="21">
        <v>318.14</v>
      </c>
      <c r="M1310" s="22">
        <v>0.34</v>
      </c>
      <c r="N1310" s="21">
        <f t="shared" si="104"/>
        <v>209.97239999999999</v>
      </c>
      <c r="O1310" s="21">
        <v>419.94</v>
      </c>
      <c r="P1310" s="19" t="s">
        <v>2</v>
      </c>
      <c r="Q1310" s="23">
        <v>4</v>
      </c>
      <c r="R1310" s="45">
        <v>3.1</v>
      </c>
    </row>
    <row r="1311" spans="2:18" x14ac:dyDescent="0.2">
      <c r="B1311" s="25">
        <v>1308</v>
      </c>
      <c r="C1311" s="18">
        <v>45138</v>
      </c>
      <c r="D1311" s="24">
        <f t="shared" si="100"/>
        <v>2023</v>
      </c>
      <c r="E1311" s="24" t="str">
        <f t="shared" si="101"/>
        <v>Q3</v>
      </c>
      <c r="F1311" s="24" t="str">
        <f t="shared" si="102"/>
        <v>Jul</v>
      </c>
      <c r="G1311" s="24">
        <f t="shared" si="103"/>
        <v>7</v>
      </c>
      <c r="H1311" s="19">
        <v>1349</v>
      </c>
      <c r="I1311" s="19" t="s">
        <v>7</v>
      </c>
      <c r="J1311" s="19" t="s">
        <v>9</v>
      </c>
      <c r="K1311" s="20">
        <v>2</v>
      </c>
      <c r="L1311" s="21">
        <v>320.26</v>
      </c>
      <c r="M1311" s="22">
        <v>0.1</v>
      </c>
      <c r="N1311" s="21">
        <f t="shared" si="104"/>
        <v>288.23399999999998</v>
      </c>
      <c r="O1311" s="21">
        <v>576.47</v>
      </c>
      <c r="P1311" s="19" t="s">
        <v>6</v>
      </c>
      <c r="Q1311" s="23">
        <v>4</v>
      </c>
      <c r="R1311" s="45">
        <v>3.5</v>
      </c>
    </row>
    <row r="1312" spans="2:18" x14ac:dyDescent="0.2">
      <c r="B1312" s="25">
        <v>1309</v>
      </c>
      <c r="C1312" s="18">
        <v>45139</v>
      </c>
      <c r="D1312" s="24">
        <f t="shared" si="100"/>
        <v>2023</v>
      </c>
      <c r="E1312" s="24" t="str">
        <f t="shared" si="101"/>
        <v>Q3</v>
      </c>
      <c r="F1312" s="24" t="str">
        <f t="shared" si="102"/>
        <v>Aug</v>
      </c>
      <c r="G1312" s="24">
        <f t="shared" si="103"/>
        <v>8</v>
      </c>
      <c r="H1312" s="19">
        <v>1606</v>
      </c>
      <c r="I1312" s="19" t="s">
        <v>0</v>
      </c>
      <c r="J1312" s="19" t="s">
        <v>5</v>
      </c>
      <c r="K1312" s="20">
        <v>4</v>
      </c>
      <c r="L1312" s="21">
        <v>330.57</v>
      </c>
      <c r="M1312" s="22">
        <v>0.06</v>
      </c>
      <c r="N1312" s="21">
        <f t="shared" si="104"/>
        <v>310.73579999999998</v>
      </c>
      <c r="O1312" s="21">
        <v>1242.94</v>
      </c>
      <c r="P1312" s="19" t="s">
        <v>4</v>
      </c>
      <c r="Q1312" s="23">
        <v>10</v>
      </c>
      <c r="R1312" s="45">
        <v>1.7</v>
      </c>
    </row>
    <row r="1313" spans="2:18" x14ac:dyDescent="0.2">
      <c r="B1313" s="25">
        <v>1310</v>
      </c>
      <c r="C1313" s="18">
        <v>45140</v>
      </c>
      <c r="D1313" s="24">
        <f t="shared" si="100"/>
        <v>2023</v>
      </c>
      <c r="E1313" s="24" t="str">
        <f t="shared" si="101"/>
        <v>Q3</v>
      </c>
      <c r="F1313" s="24" t="str">
        <f t="shared" si="102"/>
        <v>Aug</v>
      </c>
      <c r="G1313" s="24">
        <f t="shared" si="103"/>
        <v>8</v>
      </c>
      <c r="H1313" s="19">
        <v>1663</v>
      </c>
      <c r="I1313" s="19" t="s">
        <v>3</v>
      </c>
      <c r="J1313" s="19" t="s">
        <v>5</v>
      </c>
      <c r="K1313" s="20">
        <v>2</v>
      </c>
      <c r="L1313" s="21">
        <v>317.88</v>
      </c>
      <c r="M1313" s="22">
        <v>0.18</v>
      </c>
      <c r="N1313" s="21">
        <f t="shared" si="104"/>
        <v>260.66160000000002</v>
      </c>
      <c r="O1313" s="21">
        <v>521.32000000000005</v>
      </c>
      <c r="P1313" s="19" t="s">
        <v>6</v>
      </c>
      <c r="Q1313" s="23">
        <v>9</v>
      </c>
      <c r="R1313" s="45">
        <v>1.6</v>
      </c>
    </row>
    <row r="1314" spans="2:18" x14ac:dyDescent="0.2">
      <c r="B1314" s="25">
        <v>1311</v>
      </c>
      <c r="C1314" s="18">
        <v>45141</v>
      </c>
      <c r="D1314" s="24">
        <f t="shared" si="100"/>
        <v>2023</v>
      </c>
      <c r="E1314" s="24" t="str">
        <f t="shared" si="101"/>
        <v>Q3</v>
      </c>
      <c r="F1314" s="24" t="str">
        <f t="shared" si="102"/>
        <v>Aug</v>
      </c>
      <c r="G1314" s="24">
        <f t="shared" si="103"/>
        <v>8</v>
      </c>
      <c r="H1314" s="19">
        <v>1822</v>
      </c>
      <c r="I1314" s="19" t="s">
        <v>7</v>
      </c>
      <c r="J1314" s="19" t="s">
        <v>9</v>
      </c>
      <c r="K1314" s="20">
        <v>3</v>
      </c>
      <c r="L1314" s="21">
        <v>20.13</v>
      </c>
      <c r="M1314" s="22">
        <v>0.17</v>
      </c>
      <c r="N1314" s="21">
        <f t="shared" si="104"/>
        <v>16.707899999999999</v>
      </c>
      <c r="O1314" s="21">
        <v>50.12</v>
      </c>
      <c r="P1314" s="19" t="s">
        <v>6</v>
      </c>
      <c r="Q1314" s="23">
        <v>10</v>
      </c>
      <c r="R1314" s="45">
        <v>1.7</v>
      </c>
    </row>
    <row r="1315" spans="2:18" x14ac:dyDescent="0.2">
      <c r="B1315" s="25">
        <v>1312</v>
      </c>
      <c r="C1315" s="18">
        <v>45142</v>
      </c>
      <c r="D1315" s="24">
        <f t="shared" si="100"/>
        <v>2023</v>
      </c>
      <c r="E1315" s="24" t="str">
        <f t="shared" si="101"/>
        <v>Q3</v>
      </c>
      <c r="F1315" s="24" t="str">
        <f t="shared" si="102"/>
        <v>Aug</v>
      </c>
      <c r="G1315" s="24">
        <f t="shared" si="103"/>
        <v>8</v>
      </c>
      <c r="H1315" s="19">
        <v>1136</v>
      </c>
      <c r="I1315" s="19" t="s">
        <v>3</v>
      </c>
      <c r="J1315" s="19" t="s">
        <v>1</v>
      </c>
      <c r="K1315" s="20">
        <v>4</v>
      </c>
      <c r="L1315" s="21">
        <v>16.010000000000002</v>
      </c>
      <c r="M1315" s="22">
        <v>0.06</v>
      </c>
      <c r="N1315" s="21">
        <f t="shared" si="104"/>
        <v>15.049400000000002</v>
      </c>
      <c r="O1315" s="21">
        <v>60.2</v>
      </c>
      <c r="P1315" s="19" t="s">
        <v>4</v>
      </c>
      <c r="Q1315" s="23">
        <v>9</v>
      </c>
      <c r="R1315" s="45">
        <v>3.7</v>
      </c>
    </row>
    <row r="1316" spans="2:18" x14ac:dyDescent="0.2">
      <c r="B1316" s="25">
        <v>1313</v>
      </c>
      <c r="C1316" s="18">
        <v>45143</v>
      </c>
      <c r="D1316" s="24">
        <f t="shared" si="100"/>
        <v>2023</v>
      </c>
      <c r="E1316" s="24" t="str">
        <f t="shared" si="101"/>
        <v>Q3</v>
      </c>
      <c r="F1316" s="24" t="str">
        <f t="shared" si="102"/>
        <v>Aug</v>
      </c>
      <c r="G1316" s="24">
        <f t="shared" si="103"/>
        <v>8</v>
      </c>
      <c r="H1316" s="19">
        <v>1758</v>
      </c>
      <c r="I1316" s="19" t="s">
        <v>10</v>
      </c>
      <c r="J1316" s="19" t="s">
        <v>5</v>
      </c>
      <c r="K1316" s="20">
        <v>4</v>
      </c>
      <c r="L1316" s="21">
        <v>72.13</v>
      </c>
      <c r="M1316" s="22">
        <v>0.26</v>
      </c>
      <c r="N1316" s="21">
        <f t="shared" si="104"/>
        <v>53.376199999999997</v>
      </c>
      <c r="O1316" s="21">
        <v>213.5</v>
      </c>
      <c r="P1316" s="19" t="s">
        <v>4</v>
      </c>
      <c r="Q1316" s="23">
        <v>5</v>
      </c>
      <c r="R1316" s="45">
        <v>4</v>
      </c>
    </row>
    <row r="1317" spans="2:18" x14ac:dyDescent="0.2">
      <c r="B1317" s="25">
        <v>1314</v>
      </c>
      <c r="C1317" s="18">
        <v>45144</v>
      </c>
      <c r="D1317" s="24">
        <f t="shared" si="100"/>
        <v>2023</v>
      </c>
      <c r="E1317" s="24" t="str">
        <f t="shared" si="101"/>
        <v>Q3</v>
      </c>
      <c r="F1317" s="24" t="str">
        <f t="shared" si="102"/>
        <v>Aug</v>
      </c>
      <c r="G1317" s="24">
        <f t="shared" si="103"/>
        <v>8</v>
      </c>
      <c r="H1317" s="19">
        <v>1898</v>
      </c>
      <c r="I1317" s="19" t="s">
        <v>0</v>
      </c>
      <c r="J1317" s="19" t="s">
        <v>9</v>
      </c>
      <c r="K1317" s="20">
        <v>2</v>
      </c>
      <c r="L1317" s="21">
        <v>74.41</v>
      </c>
      <c r="M1317" s="22">
        <v>0.13</v>
      </c>
      <c r="N1317" s="21">
        <f t="shared" si="104"/>
        <v>64.736699999999999</v>
      </c>
      <c r="O1317" s="21">
        <v>129.47</v>
      </c>
      <c r="P1317" s="19" t="s">
        <v>4</v>
      </c>
      <c r="Q1317" s="23">
        <v>7</v>
      </c>
      <c r="R1317" s="45">
        <v>4.7</v>
      </c>
    </row>
    <row r="1318" spans="2:18" x14ac:dyDescent="0.2">
      <c r="B1318" s="25">
        <v>1315</v>
      </c>
      <c r="C1318" s="18">
        <v>45145</v>
      </c>
      <c r="D1318" s="24">
        <f t="shared" si="100"/>
        <v>2023</v>
      </c>
      <c r="E1318" s="24" t="str">
        <f t="shared" si="101"/>
        <v>Q3</v>
      </c>
      <c r="F1318" s="24" t="str">
        <f t="shared" si="102"/>
        <v>Aug</v>
      </c>
      <c r="G1318" s="24">
        <f t="shared" si="103"/>
        <v>8</v>
      </c>
      <c r="H1318" s="19">
        <v>1242</v>
      </c>
      <c r="I1318" s="19" t="s">
        <v>7</v>
      </c>
      <c r="J1318" s="19" t="s">
        <v>1</v>
      </c>
      <c r="K1318" s="20">
        <v>1</v>
      </c>
      <c r="L1318" s="21">
        <v>427.36</v>
      </c>
      <c r="M1318" s="22">
        <v>7.0000000000000007E-2</v>
      </c>
      <c r="N1318" s="21">
        <f t="shared" si="104"/>
        <v>397.44479999999999</v>
      </c>
      <c r="O1318" s="21">
        <v>397.44</v>
      </c>
      <c r="P1318" s="19" t="s">
        <v>4</v>
      </c>
      <c r="Q1318" s="23">
        <v>7</v>
      </c>
      <c r="R1318" s="45">
        <v>2.6</v>
      </c>
    </row>
    <row r="1319" spans="2:18" x14ac:dyDescent="0.2">
      <c r="B1319" s="25">
        <v>1316</v>
      </c>
      <c r="C1319" s="18">
        <v>45146</v>
      </c>
      <c r="D1319" s="24">
        <f t="shared" si="100"/>
        <v>2023</v>
      </c>
      <c r="E1319" s="24" t="str">
        <f t="shared" si="101"/>
        <v>Q3</v>
      </c>
      <c r="F1319" s="24" t="str">
        <f t="shared" si="102"/>
        <v>Aug</v>
      </c>
      <c r="G1319" s="24">
        <f t="shared" si="103"/>
        <v>8</v>
      </c>
      <c r="H1319" s="19">
        <v>1542</v>
      </c>
      <c r="I1319" s="19" t="s">
        <v>0</v>
      </c>
      <c r="J1319" s="19" t="s">
        <v>5</v>
      </c>
      <c r="K1319" s="20">
        <v>2</v>
      </c>
      <c r="L1319" s="21">
        <v>134.88</v>
      </c>
      <c r="M1319" s="22">
        <v>0.12</v>
      </c>
      <c r="N1319" s="21">
        <f t="shared" si="104"/>
        <v>118.6944</v>
      </c>
      <c r="O1319" s="21">
        <v>237.39</v>
      </c>
      <c r="P1319" s="19" t="s">
        <v>4</v>
      </c>
      <c r="Q1319" s="23">
        <v>9</v>
      </c>
      <c r="R1319" s="45">
        <v>2.8</v>
      </c>
    </row>
    <row r="1320" spans="2:18" x14ac:dyDescent="0.2">
      <c r="B1320" s="25">
        <v>1317</v>
      </c>
      <c r="C1320" s="18">
        <v>45147</v>
      </c>
      <c r="D1320" s="24">
        <f t="shared" si="100"/>
        <v>2023</v>
      </c>
      <c r="E1320" s="24" t="str">
        <f t="shared" si="101"/>
        <v>Q3</v>
      </c>
      <c r="F1320" s="24" t="str">
        <f t="shared" si="102"/>
        <v>Aug</v>
      </c>
      <c r="G1320" s="24">
        <f t="shared" si="103"/>
        <v>8</v>
      </c>
      <c r="H1320" s="19">
        <v>1039</v>
      </c>
      <c r="I1320" s="19" t="s">
        <v>0</v>
      </c>
      <c r="J1320" s="19" t="s">
        <v>5</v>
      </c>
      <c r="K1320" s="20">
        <v>6</v>
      </c>
      <c r="L1320" s="21">
        <v>538.41</v>
      </c>
      <c r="M1320" s="22">
        <v>0.2</v>
      </c>
      <c r="N1320" s="21">
        <f t="shared" si="104"/>
        <v>430.72799999999995</v>
      </c>
      <c r="O1320" s="21">
        <v>2584.37</v>
      </c>
      <c r="P1320" s="19" t="s">
        <v>4</v>
      </c>
      <c r="Q1320" s="23">
        <v>7</v>
      </c>
      <c r="R1320" s="45">
        <v>2.9</v>
      </c>
    </row>
    <row r="1321" spans="2:18" x14ac:dyDescent="0.2">
      <c r="B1321" s="25">
        <v>1318</v>
      </c>
      <c r="C1321" s="18">
        <v>45148</v>
      </c>
      <c r="D1321" s="24">
        <f t="shared" si="100"/>
        <v>2023</v>
      </c>
      <c r="E1321" s="24" t="str">
        <f t="shared" si="101"/>
        <v>Q3</v>
      </c>
      <c r="F1321" s="24" t="str">
        <f t="shared" si="102"/>
        <v>Aug</v>
      </c>
      <c r="G1321" s="24">
        <f t="shared" si="103"/>
        <v>8</v>
      </c>
      <c r="H1321" s="19">
        <v>1228</v>
      </c>
      <c r="I1321" s="19" t="s">
        <v>0</v>
      </c>
      <c r="J1321" s="19" t="s">
        <v>5</v>
      </c>
      <c r="K1321" s="20">
        <v>1</v>
      </c>
      <c r="L1321" s="21">
        <v>558.23</v>
      </c>
      <c r="M1321" s="22">
        <v>0.25</v>
      </c>
      <c r="N1321" s="21">
        <f t="shared" si="104"/>
        <v>418.67250000000001</v>
      </c>
      <c r="O1321" s="21">
        <v>418.67</v>
      </c>
      <c r="P1321" s="19" t="s">
        <v>4</v>
      </c>
      <c r="Q1321" s="23">
        <v>8</v>
      </c>
      <c r="R1321" s="45">
        <v>2.1</v>
      </c>
    </row>
    <row r="1322" spans="2:18" x14ac:dyDescent="0.2">
      <c r="B1322" s="25">
        <v>1319</v>
      </c>
      <c r="C1322" s="18">
        <v>45149</v>
      </c>
      <c r="D1322" s="24">
        <f t="shared" si="100"/>
        <v>2023</v>
      </c>
      <c r="E1322" s="24" t="str">
        <f t="shared" si="101"/>
        <v>Q3</v>
      </c>
      <c r="F1322" s="24" t="str">
        <f t="shared" si="102"/>
        <v>Aug</v>
      </c>
      <c r="G1322" s="24">
        <f t="shared" si="103"/>
        <v>8</v>
      </c>
      <c r="H1322" s="19">
        <v>1547</v>
      </c>
      <c r="I1322" s="19" t="s">
        <v>3</v>
      </c>
      <c r="J1322" s="19" t="s">
        <v>1</v>
      </c>
      <c r="K1322" s="20">
        <v>4</v>
      </c>
      <c r="L1322" s="21">
        <v>585.9</v>
      </c>
      <c r="M1322" s="22">
        <v>0.17</v>
      </c>
      <c r="N1322" s="21">
        <f t="shared" si="104"/>
        <v>486.29699999999997</v>
      </c>
      <c r="O1322" s="21">
        <v>1945.19</v>
      </c>
      <c r="P1322" s="19" t="s">
        <v>2</v>
      </c>
      <c r="Q1322" s="23">
        <v>7</v>
      </c>
      <c r="R1322" s="45">
        <v>2.2999999999999998</v>
      </c>
    </row>
    <row r="1323" spans="2:18" x14ac:dyDescent="0.2">
      <c r="B1323" s="25">
        <v>1320</v>
      </c>
      <c r="C1323" s="18">
        <v>45150</v>
      </c>
      <c r="D1323" s="24">
        <f t="shared" si="100"/>
        <v>2023</v>
      </c>
      <c r="E1323" s="24" t="str">
        <f t="shared" si="101"/>
        <v>Q3</v>
      </c>
      <c r="F1323" s="24" t="str">
        <f t="shared" si="102"/>
        <v>Aug</v>
      </c>
      <c r="G1323" s="24">
        <f t="shared" si="103"/>
        <v>8</v>
      </c>
      <c r="H1323" s="19">
        <v>1919</v>
      </c>
      <c r="I1323" s="19" t="s">
        <v>3</v>
      </c>
      <c r="J1323" s="19" t="s">
        <v>5</v>
      </c>
      <c r="K1323" s="20">
        <v>1</v>
      </c>
      <c r="L1323" s="21">
        <v>564.36</v>
      </c>
      <c r="M1323" s="22">
        <v>0.18</v>
      </c>
      <c r="N1323" s="21">
        <f t="shared" si="104"/>
        <v>462.77520000000004</v>
      </c>
      <c r="O1323" s="21">
        <v>462.78</v>
      </c>
      <c r="P1323" s="19" t="s">
        <v>6</v>
      </c>
      <c r="Q1323" s="23">
        <v>11</v>
      </c>
      <c r="R1323" s="45">
        <v>4.4000000000000004</v>
      </c>
    </row>
    <row r="1324" spans="2:18" x14ac:dyDescent="0.2">
      <c r="B1324" s="25">
        <v>1321</v>
      </c>
      <c r="C1324" s="18">
        <v>45151</v>
      </c>
      <c r="D1324" s="24">
        <f t="shared" si="100"/>
        <v>2023</v>
      </c>
      <c r="E1324" s="24" t="str">
        <f t="shared" si="101"/>
        <v>Q3</v>
      </c>
      <c r="F1324" s="24" t="str">
        <f t="shared" si="102"/>
        <v>Aug</v>
      </c>
      <c r="G1324" s="24">
        <f t="shared" si="103"/>
        <v>8</v>
      </c>
      <c r="H1324" s="19">
        <v>1222</v>
      </c>
      <c r="I1324" s="19" t="s">
        <v>3</v>
      </c>
      <c r="J1324" s="19" t="s">
        <v>1</v>
      </c>
      <c r="K1324" s="20">
        <v>3</v>
      </c>
      <c r="L1324" s="21">
        <v>174.05</v>
      </c>
      <c r="M1324" s="22">
        <v>0.05</v>
      </c>
      <c r="N1324" s="21">
        <f t="shared" si="104"/>
        <v>165.34750000000003</v>
      </c>
      <c r="O1324" s="21">
        <v>496.04</v>
      </c>
      <c r="P1324" s="19" t="s">
        <v>4</v>
      </c>
      <c r="Q1324" s="23">
        <v>4</v>
      </c>
      <c r="R1324" s="45">
        <v>2.4</v>
      </c>
    </row>
    <row r="1325" spans="2:18" x14ac:dyDescent="0.2">
      <c r="B1325" s="25">
        <v>1322</v>
      </c>
      <c r="C1325" s="18">
        <v>45152</v>
      </c>
      <c r="D1325" s="24">
        <f t="shared" si="100"/>
        <v>2023</v>
      </c>
      <c r="E1325" s="24" t="str">
        <f t="shared" si="101"/>
        <v>Q3</v>
      </c>
      <c r="F1325" s="24" t="str">
        <f t="shared" si="102"/>
        <v>Aug</v>
      </c>
      <c r="G1325" s="24">
        <f t="shared" si="103"/>
        <v>8</v>
      </c>
      <c r="H1325" s="19">
        <v>1005</v>
      </c>
      <c r="I1325" s="19" t="s">
        <v>10</v>
      </c>
      <c r="J1325" s="19" t="s">
        <v>8</v>
      </c>
      <c r="K1325" s="20">
        <v>5</v>
      </c>
      <c r="L1325" s="21">
        <v>313.22000000000003</v>
      </c>
      <c r="M1325" s="22">
        <v>0.32</v>
      </c>
      <c r="N1325" s="21">
        <f t="shared" si="104"/>
        <v>212.9896</v>
      </c>
      <c r="O1325" s="21">
        <v>1064.95</v>
      </c>
      <c r="P1325" s="19" t="s">
        <v>2</v>
      </c>
      <c r="Q1325" s="23">
        <v>2</v>
      </c>
      <c r="R1325" s="45">
        <v>4.5</v>
      </c>
    </row>
    <row r="1326" spans="2:18" x14ac:dyDescent="0.2">
      <c r="B1326" s="25">
        <v>1323</v>
      </c>
      <c r="C1326" s="18">
        <v>45153</v>
      </c>
      <c r="D1326" s="24">
        <f t="shared" si="100"/>
        <v>2023</v>
      </c>
      <c r="E1326" s="24" t="str">
        <f t="shared" si="101"/>
        <v>Q3</v>
      </c>
      <c r="F1326" s="24" t="str">
        <f t="shared" si="102"/>
        <v>Aug</v>
      </c>
      <c r="G1326" s="24">
        <f t="shared" si="103"/>
        <v>8</v>
      </c>
      <c r="H1326" s="19">
        <v>1321</v>
      </c>
      <c r="I1326" s="19" t="s">
        <v>3</v>
      </c>
      <c r="J1326" s="19" t="s">
        <v>5</v>
      </c>
      <c r="K1326" s="20">
        <v>1</v>
      </c>
      <c r="L1326" s="21">
        <v>117.64</v>
      </c>
      <c r="M1326" s="22">
        <v>0.33</v>
      </c>
      <c r="N1326" s="21">
        <f t="shared" si="104"/>
        <v>78.818799999999996</v>
      </c>
      <c r="O1326" s="21">
        <v>78.819999999999993</v>
      </c>
      <c r="P1326" s="19" t="s">
        <v>6</v>
      </c>
      <c r="Q1326" s="23">
        <v>3</v>
      </c>
      <c r="R1326" s="45">
        <v>2.2000000000000002</v>
      </c>
    </row>
    <row r="1327" spans="2:18" x14ac:dyDescent="0.2">
      <c r="B1327" s="25">
        <v>1324</v>
      </c>
      <c r="C1327" s="18">
        <v>45154</v>
      </c>
      <c r="D1327" s="24">
        <f t="shared" si="100"/>
        <v>2023</v>
      </c>
      <c r="E1327" s="24" t="str">
        <f t="shared" si="101"/>
        <v>Q3</v>
      </c>
      <c r="F1327" s="24" t="str">
        <f t="shared" si="102"/>
        <v>Aug</v>
      </c>
      <c r="G1327" s="24">
        <f t="shared" si="103"/>
        <v>8</v>
      </c>
      <c r="H1327" s="19">
        <v>1467</v>
      </c>
      <c r="I1327" s="19" t="s">
        <v>10</v>
      </c>
      <c r="J1327" s="19" t="s">
        <v>8</v>
      </c>
      <c r="K1327" s="20">
        <v>6</v>
      </c>
      <c r="L1327" s="21">
        <v>486.63</v>
      </c>
      <c r="M1327" s="22">
        <v>0.24</v>
      </c>
      <c r="N1327" s="21">
        <f t="shared" si="104"/>
        <v>369.83879999999999</v>
      </c>
      <c r="O1327" s="21">
        <v>2219.0300000000002</v>
      </c>
      <c r="P1327" s="19" t="s">
        <v>6</v>
      </c>
      <c r="Q1327" s="23">
        <v>7</v>
      </c>
      <c r="R1327" s="45">
        <v>2.4</v>
      </c>
    </row>
    <row r="1328" spans="2:18" x14ac:dyDescent="0.2">
      <c r="B1328" s="25">
        <v>1325</v>
      </c>
      <c r="C1328" s="18">
        <v>45155</v>
      </c>
      <c r="D1328" s="24">
        <f t="shared" si="100"/>
        <v>2023</v>
      </c>
      <c r="E1328" s="24" t="str">
        <f t="shared" si="101"/>
        <v>Q3</v>
      </c>
      <c r="F1328" s="24" t="str">
        <f t="shared" si="102"/>
        <v>Aug</v>
      </c>
      <c r="G1328" s="24">
        <f t="shared" si="103"/>
        <v>8</v>
      </c>
      <c r="H1328" s="19">
        <v>1731</v>
      </c>
      <c r="I1328" s="19" t="s">
        <v>3</v>
      </c>
      <c r="J1328" s="19" t="s">
        <v>9</v>
      </c>
      <c r="K1328" s="20">
        <v>5</v>
      </c>
      <c r="L1328" s="21">
        <v>534.73</v>
      </c>
      <c r="M1328" s="22">
        <v>0.01</v>
      </c>
      <c r="N1328" s="21">
        <f t="shared" si="104"/>
        <v>529.3827</v>
      </c>
      <c r="O1328" s="21">
        <v>2646.91</v>
      </c>
      <c r="P1328" s="19" t="s">
        <v>6</v>
      </c>
      <c r="Q1328" s="23">
        <v>11</v>
      </c>
      <c r="R1328" s="45">
        <v>3.2</v>
      </c>
    </row>
    <row r="1329" spans="2:18" x14ac:dyDescent="0.2">
      <c r="B1329" s="25">
        <v>1326</v>
      </c>
      <c r="C1329" s="18">
        <v>45156</v>
      </c>
      <c r="D1329" s="24">
        <f t="shared" si="100"/>
        <v>2023</v>
      </c>
      <c r="E1329" s="24" t="str">
        <f t="shared" si="101"/>
        <v>Q3</v>
      </c>
      <c r="F1329" s="24" t="str">
        <f t="shared" si="102"/>
        <v>Aug</v>
      </c>
      <c r="G1329" s="24">
        <f t="shared" si="103"/>
        <v>8</v>
      </c>
      <c r="H1329" s="19">
        <v>1074</v>
      </c>
      <c r="I1329" s="19" t="s">
        <v>10</v>
      </c>
      <c r="J1329" s="19" t="s">
        <v>5</v>
      </c>
      <c r="K1329" s="20">
        <v>3</v>
      </c>
      <c r="L1329" s="21">
        <v>513</v>
      </c>
      <c r="M1329" s="22">
        <v>0.19</v>
      </c>
      <c r="N1329" s="21">
        <f t="shared" si="104"/>
        <v>415.53</v>
      </c>
      <c r="O1329" s="21">
        <v>1246.5899999999999</v>
      </c>
      <c r="P1329" s="19" t="s">
        <v>4</v>
      </c>
      <c r="Q1329" s="23">
        <v>11</v>
      </c>
      <c r="R1329" s="45">
        <v>1.4</v>
      </c>
    </row>
    <row r="1330" spans="2:18" x14ac:dyDescent="0.2">
      <c r="B1330" s="25">
        <v>1327</v>
      </c>
      <c r="C1330" s="18">
        <v>45157</v>
      </c>
      <c r="D1330" s="24">
        <f t="shared" si="100"/>
        <v>2023</v>
      </c>
      <c r="E1330" s="24" t="str">
        <f t="shared" si="101"/>
        <v>Q3</v>
      </c>
      <c r="F1330" s="24" t="str">
        <f t="shared" si="102"/>
        <v>Aug</v>
      </c>
      <c r="G1330" s="24">
        <f t="shared" si="103"/>
        <v>8</v>
      </c>
      <c r="H1330" s="19">
        <v>1003</v>
      </c>
      <c r="I1330" s="19" t="s">
        <v>10</v>
      </c>
      <c r="J1330" s="19" t="s">
        <v>9</v>
      </c>
      <c r="K1330" s="20">
        <v>6</v>
      </c>
      <c r="L1330" s="21">
        <v>268.52</v>
      </c>
      <c r="M1330" s="22">
        <v>0.22</v>
      </c>
      <c r="N1330" s="21">
        <f t="shared" si="104"/>
        <v>209.44559999999998</v>
      </c>
      <c r="O1330" s="21">
        <v>1256.67</v>
      </c>
      <c r="P1330" s="19" t="s">
        <v>4</v>
      </c>
      <c r="Q1330" s="23">
        <v>9</v>
      </c>
      <c r="R1330" s="45">
        <v>4.7</v>
      </c>
    </row>
    <row r="1331" spans="2:18" x14ac:dyDescent="0.2">
      <c r="B1331" s="25">
        <v>1328</v>
      </c>
      <c r="C1331" s="18">
        <v>45158</v>
      </c>
      <c r="D1331" s="24">
        <f t="shared" si="100"/>
        <v>2023</v>
      </c>
      <c r="E1331" s="24" t="str">
        <f t="shared" si="101"/>
        <v>Q3</v>
      </c>
      <c r="F1331" s="24" t="str">
        <f t="shared" si="102"/>
        <v>Aug</v>
      </c>
      <c r="G1331" s="24">
        <f t="shared" si="103"/>
        <v>8</v>
      </c>
      <c r="H1331" s="19">
        <v>1846</v>
      </c>
      <c r="I1331" s="19" t="s">
        <v>7</v>
      </c>
      <c r="J1331" s="19" t="s">
        <v>9</v>
      </c>
      <c r="K1331" s="20">
        <v>7</v>
      </c>
      <c r="L1331" s="21">
        <v>458.82</v>
      </c>
      <c r="M1331" s="22">
        <v>0.35</v>
      </c>
      <c r="N1331" s="21">
        <f t="shared" si="104"/>
        <v>298.233</v>
      </c>
      <c r="O1331" s="21">
        <v>2087.63</v>
      </c>
      <c r="P1331" s="19" t="s">
        <v>4</v>
      </c>
      <c r="Q1331" s="23">
        <v>11</v>
      </c>
      <c r="R1331" s="45">
        <v>4.3</v>
      </c>
    </row>
    <row r="1332" spans="2:18" x14ac:dyDescent="0.2">
      <c r="B1332" s="25">
        <v>1329</v>
      </c>
      <c r="C1332" s="18">
        <v>45159</v>
      </c>
      <c r="D1332" s="24">
        <f t="shared" si="100"/>
        <v>2023</v>
      </c>
      <c r="E1332" s="24" t="str">
        <f t="shared" si="101"/>
        <v>Q3</v>
      </c>
      <c r="F1332" s="24" t="str">
        <f t="shared" si="102"/>
        <v>Aug</v>
      </c>
      <c r="G1332" s="24">
        <f t="shared" si="103"/>
        <v>8</v>
      </c>
      <c r="H1332" s="19">
        <v>1645</v>
      </c>
      <c r="I1332" s="19" t="s">
        <v>10</v>
      </c>
      <c r="J1332" s="19" t="s">
        <v>9</v>
      </c>
      <c r="K1332" s="20">
        <v>5</v>
      </c>
      <c r="L1332" s="21">
        <v>72.08</v>
      </c>
      <c r="M1332" s="22">
        <v>0.35</v>
      </c>
      <c r="N1332" s="21">
        <f t="shared" si="104"/>
        <v>46.852000000000004</v>
      </c>
      <c r="O1332" s="21">
        <v>234.26</v>
      </c>
      <c r="P1332" s="19" t="s">
        <v>6</v>
      </c>
      <c r="Q1332" s="23">
        <v>2</v>
      </c>
      <c r="R1332" s="45">
        <v>3.7</v>
      </c>
    </row>
    <row r="1333" spans="2:18" x14ac:dyDescent="0.2">
      <c r="B1333" s="25">
        <v>1330</v>
      </c>
      <c r="C1333" s="18">
        <v>45160</v>
      </c>
      <c r="D1333" s="24">
        <f t="shared" si="100"/>
        <v>2023</v>
      </c>
      <c r="E1333" s="24" t="str">
        <f t="shared" si="101"/>
        <v>Q3</v>
      </c>
      <c r="F1333" s="24" t="str">
        <f t="shared" si="102"/>
        <v>Aug</v>
      </c>
      <c r="G1333" s="24">
        <f t="shared" si="103"/>
        <v>8</v>
      </c>
      <c r="H1333" s="19">
        <v>1117</v>
      </c>
      <c r="I1333" s="19" t="s">
        <v>3</v>
      </c>
      <c r="J1333" s="19" t="s">
        <v>8</v>
      </c>
      <c r="K1333" s="20">
        <v>7</v>
      </c>
      <c r="L1333" s="21">
        <v>38.54</v>
      </c>
      <c r="M1333" s="22">
        <v>0.3</v>
      </c>
      <c r="N1333" s="21">
        <f t="shared" si="104"/>
        <v>26.978000000000002</v>
      </c>
      <c r="O1333" s="21">
        <v>188.85</v>
      </c>
      <c r="P1333" s="19" t="s">
        <v>6</v>
      </c>
      <c r="Q1333" s="23">
        <v>7</v>
      </c>
      <c r="R1333" s="45">
        <v>5</v>
      </c>
    </row>
    <row r="1334" spans="2:18" x14ac:dyDescent="0.2">
      <c r="B1334" s="25">
        <v>1331</v>
      </c>
      <c r="C1334" s="18">
        <v>45161</v>
      </c>
      <c r="D1334" s="24">
        <f t="shared" si="100"/>
        <v>2023</v>
      </c>
      <c r="E1334" s="24" t="str">
        <f t="shared" si="101"/>
        <v>Q3</v>
      </c>
      <c r="F1334" s="24" t="str">
        <f t="shared" si="102"/>
        <v>Aug</v>
      </c>
      <c r="G1334" s="24">
        <f t="shared" si="103"/>
        <v>8</v>
      </c>
      <c r="H1334" s="19">
        <v>1880</v>
      </c>
      <c r="I1334" s="19" t="s">
        <v>10</v>
      </c>
      <c r="J1334" s="19" t="s">
        <v>1</v>
      </c>
      <c r="K1334" s="20">
        <v>3</v>
      </c>
      <c r="L1334" s="21">
        <v>455.64</v>
      </c>
      <c r="M1334" s="22">
        <v>0.02</v>
      </c>
      <c r="N1334" s="21">
        <f t="shared" si="104"/>
        <v>446.52719999999999</v>
      </c>
      <c r="O1334" s="21">
        <v>1339.58</v>
      </c>
      <c r="P1334" s="19" t="s">
        <v>6</v>
      </c>
      <c r="Q1334" s="23">
        <v>4</v>
      </c>
      <c r="R1334" s="45">
        <v>1.1000000000000001</v>
      </c>
    </row>
    <row r="1335" spans="2:18" x14ac:dyDescent="0.2">
      <c r="B1335" s="25">
        <v>1332</v>
      </c>
      <c r="C1335" s="18">
        <v>45162</v>
      </c>
      <c r="D1335" s="24">
        <f t="shared" si="100"/>
        <v>2023</v>
      </c>
      <c r="E1335" s="24" t="str">
        <f t="shared" si="101"/>
        <v>Q3</v>
      </c>
      <c r="F1335" s="24" t="str">
        <f t="shared" si="102"/>
        <v>Aug</v>
      </c>
      <c r="G1335" s="24">
        <f t="shared" si="103"/>
        <v>8</v>
      </c>
      <c r="H1335" s="19">
        <v>1605</v>
      </c>
      <c r="I1335" s="19" t="s">
        <v>3</v>
      </c>
      <c r="J1335" s="19" t="s">
        <v>8</v>
      </c>
      <c r="K1335" s="20">
        <v>5</v>
      </c>
      <c r="L1335" s="21">
        <v>263.83</v>
      </c>
      <c r="M1335" s="22">
        <v>0.33</v>
      </c>
      <c r="N1335" s="21">
        <f t="shared" si="104"/>
        <v>176.76609999999999</v>
      </c>
      <c r="O1335" s="21">
        <v>883.83</v>
      </c>
      <c r="P1335" s="19" t="s">
        <v>4</v>
      </c>
      <c r="Q1335" s="23">
        <v>7</v>
      </c>
      <c r="R1335" s="45">
        <v>2.6</v>
      </c>
    </row>
    <row r="1336" spans="2:18" x14ac:dyDescent="0.2">
      <c r="B1336" s="25">
        <v>1333</v>
      </c>
      <c r="C1336" s="18">
        <v>45163</v>
      </c>
      <c r="D1336" s="24">
        <f t="shared" si="100"/>
        <v>2023</v>
      </c>
      <c r="E1336" s="24" t="str">
        <f t="shared" si="101"/>
        <v>Q3</v>
      </c>
      <c r="F1336" s="24" t="str">
        <f t="shared" si="102"/>
        <v>Aug</v>
      </c>
      <c r="G1336" s="24">
        <f t="shared" si="103"/>
        <v>8</v>
      </c>
      <c r="H1336" s="19">
        <v>1503</v>
      </c>
      <c r="I1336" s="19" t="s">
        <v>3</v>
      </c>
      <c r="J1336" s="19" t="s">
        <v>8</v>
      </c>
      <c r="K1336" s="20">
        <v>5</v>
      </c>
      <c r="L1336" s="21">
        <v>597.4</v>
      </c>
      <c r="M1336" s="22">
        <v>0.21</v>
      </c>
      <c r="N1336" s="21">
        <f t="shared" si="104"/>
        <v>471.94599999999997</v>
      </c>
      <c r="O1336" s="21">
        <v>2359.73</v>
      </c>
      <c r="P1336" s="19" t="s">
        <v>6</v>
      </c>
      <c r="Q1336" s="23">
        <v>5</v>
      </c>
      <c r="R1336" s="45">
        <v>4.4000000000000004</v>
      </c>
    </row>
    <row r="1337" spans="2:18" x14ac:dyDescent="0.2">
      <c r="B1337" s="25">
        <v>1334</v>
      </c>
      <c r="C1337" s="18">
        <v>45164</v>
      </c>
      <c r="D1337" s="24">
        <f t="shared" si="100"/>
        <v>2023</v>
      </c>
      <c r="E1337" s="24" t="str">
        <f t="shared" si="101"/>
        <v>Q3</v>
      </c>
      <c r="F1337" s="24" t="str">
        <f t="shared" si="102"/>
        <v>Aug</v>
      </c>
      <c r="G1337" s="24">
        <f t="shared" si="103"/>
        <v>8</v>
      </c>
      <c r="H1337" s="19">
        <v>1997</v>
      </c>
      <c r="I1337" s="19" t="s">
        <v>0</v>
      </c>
      <c r="J1337" s="19" t="s">
        <v>9</v>
      </c>
      <c r="K1337" s="20">
        <v>2</v>
      </c>
      <c r="L1337" s="21">
        <v>71.89</v>
      </c>
      <c r="M1337" s="22">
        <v>0.28000000000000003</v>
      </c>
      <c r="N1337" s="21">
        <f t="shared" si="104"/>
        <v>51.760800000000003</v>
      </c>
      <c r="O1337" s="21">
        <v>103.52</v>
      </c>
      <c r="P1337" s="19" t="s">
        <v>6</v>
      </c>
      <c r="Q1337" s="23">
        <v>7</v>
      </c>
      <c r="R1337" s="45">
        <v>2.7</v>
      </c>
    </row>
    <row r="1338" spans="2:18" x14ac:dyDescent="0.2">
      <c r="B1338" s="25">
        <v>1335</v>
      </c>
      <c r="C1338" s="18">
        <v>45165</v>
      </c>
      <c r="D1338" s="24">
        <f t="shared" si="100"/>
        <v>2023</v>
      </c>
      <c r="E1338" s="24" t="str">
        <f t="shared" si="101"/>
        <v>Q3</v>
      </c>
      <c r="F1338" s="24" t="str">
        <f t="shared" si="102"/>
        <v>Aug</v>
      </c>
      <c r="G1338" s="24">
        <f t="shared" si="103"/>
        <v>8</v>
      </c>
      <c r="H1338" s="19">
        <v>1946</v>
      </c>
      <c r="I1338" s="19" t="s">
        <v>7</v>
      </c>
      <c r="J1338" s="19" t="s">
        <v>5</v>
      </c>
      <c r="K1338" s="20">
        <v>6</v>
      </c>
      <c r="L1338" s="21">
        <v>515.54</v>
      </c>
      <c r="M1338" s="22">
        <v>0.14000000000000001</v>
      </c>
      <c r="N1338" s="21">
        <f t="shared" si="104"/>
        <v>443.36439999999993</v>
      </c>
      <c r="O1338" s="21">
        <v>2660.19</v>
      </c>
      <c r="P1338" s="19" t="s">
        <v>2</v>
      </c>
      <c r="Q1338" s="23">
        <v>6</v>
      </c>
      <c r="R1338" s="45">
        <v>1</v>
      </c>
    </row>
    <row r="1339" spans="2:18" x14ac:dyDescent="0.2">
      <c r="B1339" s="25">
        <v>1336</v>
      </c>
      <c r="C1339" s="18">
        <v>45166</v>
      </c>
      <c r="D1339" s="24">
        <f t="shared" si="100"/>
        <v>2023</v>
      </c>
      <c r="E1339" s="24" t="str">
        <f t="shared" si="101"/>
        <v>Q3</v>
      </c>
      <c r="F1339" s="24" t="str">
        <f t="shared" si="102"/>
        <v>Aug</v>
      </c>
      <c r="G1339" s="24">
        <f t="shared" si="103"/>
        <v>8</v>
      </c>
      <c r="H1339" s="19">
        <v>1573</v>
      </c>
      <c r="I1339" s="19" t="s">
        <v>10</v>
      </c>
      <c r="J1339" s="19" t="s">
        <v>1</v>
      </c>
      <c r="K1339" s="20">
        <v>6</v>
      </c>
      <c r="L1339" s="21">
        <v>295.79000000000002</v>
      </c>
      <c r="M1339" s="22">
        <v>0.11</v>
      </c>
      <c r="N1339" s="21">
        <f t="shared" si="104"/>
        <v>263.25310000000002</v>
      </c>
      <c r="O1339" s="21">
        <v>1579.52</v>
      </c>
      <c r="P1339" s="19" t="s">
        <v>4</v>
      </c>
      <c r="Q1339" s="23">
        <v>2</v>
      </c>
      <c r="R1339" s="45">
        <v>1.6</v>
      </c>
    </row>
    <row r="1340" spans="2:18" x14ac:dyDescent="0.2">
      <c r="B1340" s="25">
        <v>1337</v>
      </c>
      <c r="C1340" s="18">
        <v>45167</v>
      </c>
      <c r="D1340" s="24">
        <f t="shared" si="100"/>
        <v>2023</v>
      </c>
      <c r="E1340" s="24" t="str">
        <f t="shared" si="101"/>
        <v>Q3</v>
      </c>
      <c r="F1340" s="24" t="str">
        <f t="shared" si="102"/>
        <v>Aug</v>
      </c>
      <c r="G1340" s="24">
        <f t="shared" si="103"/>
        <v>8</v>
      </c>
      <c r="H1340" s="19">
        <v>1440</v>
      </c>
      <c r="I1340" s="19" t="s">
        <v>3</v>
      </c>
      <c r="J1340" s="19" t="s">
        <v>9</v>
      </c>
      <c r="K1340" s="20">
        <v>1</v>
      </c>
      <c r="L1340" s="21">
        <v>498.88</v>
      </c>
      <c r="M1340" s="22">
        <v>0.16</v>
      </c>
      <c r="N1340" s="21">
        <f t="shared" si="104"/>
        <v>419.05919999999998</v>
      </c>
      <c r="O1340" s="21">
        <v>419.06</v>
      </c>
      <c r="P1340" s="19" t="s">
        <v>2</v>
      </c>
      <c r="Q1340" s="23">
        <v>7</v>
      </c>
      <c r="R1340" s="45">
        <v>2.7</v>
      </c>
    </row>
    <row r="1341" spans="2:18" x14ac:dyDescent="0.2">
      <c r="B1341" s="25">
        <v>1338</v>
      </c>
      <c r="C1341" s="18">
        <v>45168</v>
      </c>
      <c r="D1341" s="24">
        <f t="shared" si="100"/>
        <v>2023</v>
      </c>
      <c r="E1341" s="24" t="str">
        <f t="shared" si="101"/>
        <v>Q3</v>
      </c>
      <c r="F1341" s="24" t="str">
        <f t="shared" si="102"/>
        <v>Aug</v>
      </c>
      <c r="G1341" s="24">
        <f t="shared" si="103"/>
        <v>8</v>
      </c>
      <c r="H1341" s="19">
        <v>1193</v>
      </c>
      <c r="I1341" s="19" t="s">
        <v>3</v>
      </c>
      <c r="J1341" s="19" t="s">
        <v>1</v>
      </c>
      <c r="K1341" s="20">
        <v>7</v>
      </c>
      <c r="L1341" s="21">
        <v>493.02</v>
      </c>
      <c r="M1341" s="22">
        <v>0.05</v>
      </c>
      <c r="N1341" s="21">
        <f t="shared" si="104"/>
        <v>468.36899999999997</v>
      </c>
      <c r="O1341" s="21">
        <v>3278.58</v>
      </c>
      <c r="P1341" s="19" t="s">
        <v>2</v>
      </c>
      <c r="Q1341" s="23">
        <v>5</v>
      </c>
      <c r="R1341" s="45">
        <v>3.7</v>
      </c>
    </row>
    <row r="1342" spans="2:18" x14ac:dyDescent="0.2">
      <c r="B1342" s="25">
        <v>1339</v>
      </c>
      <c r="C1342" s="18">
        <v>45169</v>
      </c>
      <c r="D1342" s="24">
        <f t="shared" si="100"/>
        <v>2023</v>
      </c>
      <c r="E1342" s="24" t="str">
        <f t="shared" si="101"/>
        <v>Q3</v>
      </c>
      <c r="F1342" s="24" t="str">
        <f t="shared" si="102"/>
        <v>Aug</v>
      </c>
      <c r="G1342" s="24">
        <f t="shared" si="103"/>
        <v>8</v>
      </c>
      <c r="H1342" s="19">
        <v>1846</v>
      </c>
      <c r="I1342" s="19" t="s">
        <v>7</v>
      </c>
      <c r="J1342" s="19" t="s">
        <v>8</v>
      </c>
      <c r="K1342" s="20">
        <v>7</v>
      </c>
      <c r="L1342" s="21">
        <v>550.86</v>
      </c>
      <c r="M1342" s="22">
        <v>0.12</v>
      </c>
      <c r="N1342" s="21">
        <f t="shared" si="104"/>
        <v>484.7568</v>
      </c>
      <c r="O1342" s="21">
        <v>3393.3</v>
      </c>
      <c r="P1342" s="19" t="s">
        <v>6</v>
      </c>
      <c r="Q1342" s="23">
        <v>9</v>
      </c>
      <c r="R1342" s="45">
        <v>1.7</v>
      </c>
    </row>
    <row r="1343" spans="2:18" x14ac:dyDescent="0.2">
      <c r="B1343" s="25">
        <v>1340</v>
      </c>
      <c r="C1343" s="18">
        <v>45170</v>
      </c>
      <c r="D1343" s="24">
        <f t="shared" si="100"/>
        <v>2023</v>
      </c>
      <c r="E1343" s="24" t="str">
        <f t="shared" si="101"/>
        <v>Q3</v>
      </c>
      <c r="F1343" s="24" t="str">
        <f t="shared" si="102"/>
        <v>Sep</v>
      </c>
      <c r="G1343" s="24">
        <f t="shared" si="103"/>
        <v>9</v>
      </c>
      <c r="H1343" s="19">
        <v>1714</v>
      </c>
      <c r="I1343" s="19" t="s">
        <v>3</v>
      </c>
      <c r="J1343" s="19" t="s">
        <v>1</v>
      </c>
      <c r="K1343" s="20">
        <v>6</v>
      </c>
      <c r="L1343" s="21">
        <v>189.24</v>
      </c>
      <c r="M1343" s="22">
        <v>0.3</v>
      </c>
      <c r="N1343" s="21">
        <f t="shared" si="104"/>
        <v>132.46800000000002</v>
      </c>
      <c r="O1343" s="21">
        <v>794.81</v>
      </c>
      <c r="P1343" s="19" t="s">
        <v>6</v>
      </c>
      <c r="Q1343" s="23">
        <v>11</v>
      </c>
      <c r="R1343" s="45">
        <v>2.8</v>
      </c>
    </row>
    <row r="1344" spans="2:18" x14ac:dyDescent="0.2">
      <c r="B1344" s="25">
        <v>1341</v>
      </c>
      <c r="C1344" s="18">
        <v>45171</v>
      </c>
      <c r="D1344" s="24">
        <f t="shared" si="100"/>
        <v>2023</v>
      </c>
      <c r="E1344" s="24" t="str">
        <f t="shared" si="101"/>
        <v>Q3</v>
      </c>
      <c r="F1344" s="24" t="str">
        <f t="shared" si="102"/>
        <v>Sep</v>
      </c>
      <c r="G1344" s="24">
        <f t="shared" si="103"/>
        <v>9</v>
      </c>
      <c r="H1344" s="19">
        <v>1391</v>
      </c>
      <c r="I1344" s="19" t="s">
        <v>7</v>
      </c>
      <c r="J1344" s="19" t="s">
        <v>1</v>
      </c>
      <c r="K1344" s="20">
        <v>6</v>
      </c>
      <c r="L1344" s="21">
        <v>570.63</v>
      </c>
      <c r="M1344" s="22">
        <v>0.01</v>
      </c>
      <c r="N1344" s="21">
        <f t="shared" si="104"/>
        <v>564.92369999999994</v>
      </c>
      <c r="O1344" s="21">
        <v>3389.54</v>
      </c>
      <c r="P1344" s="19" t="s">
        <v>4</v>
      </c>
      <c r="Q1344" s="23">
        <v>1</v>
      </c>
      <c r="R1344" s="45">
        <v>1.1000000000000001</v>
      </c>
    </row>
    <row r="1345" spans="2:18" x14ac:dyDescent="0.2">
      <c r="B1345" s="25">
        <v>1342</v>
      </c>
      <c r="C1345" s="18">
        <v>45172</v>
      </c>
      <c r="D1345" s="24">
        <f t="shared" si="100"/>
        <v>2023</v>
      </c>
      <c r="E1345" s="24" t="str">
        <f t="shared" si="101"/>
        <v>Q3</v>
      </c>
      <c r="F1345" s="24" t="str">
        <f t="shared" si="102"/>
        <v>Sep</v>
      </c>
      <c r="G1345" s="24">
        <f t="shared" si="103"/>
        <v>9</v>
      </c>
      <c r="H1345" s="19">
        <v>1025</v>
      </c>
      <c r="I1345" s="19" t="s">
        <v>7</v>
      </c>
      <c r="J1345" s="19" t="s">
        <v>5</v>
      </c>
      <c r="K1345" s="20">
        <v>5</v>
      </c>
      <c r="L1345" s="21">
        <v>103.73</v>
      </c>
      <c r="M1345" s="22">
        <v>0.05</v>
      </c>
      <c r="N1345" s="21">
        <f t="shared" si="104"/>
        <v>98.543500000000009</v>
      </c>
      <c r="O1345" s="21">
        <v>492.72</v>
      </c>
      <c r="P1345" s="19" t="s">
        <v>2</v>
      </c>
      <c r="Q1345" s="23">
        <v>1</v>
      </c>
      <c r="R1345" s="45">
        <v>2.9</v>
      </c>
    </row>
    <row r="1346" spans="2:18" x14ac:dyDescent="0.2">
      <c r="B1346" s="25">
        <v>1343</v>
      </c>
      <c r="C1346" s="18">
        <v>45173</v>
      </c>
      <c r="D1346" s="24">
        <f t="shared" si="100"/>
        <v>2023</v>
      </c>
      <c r="E1346" s="24" t="str">
        <f t="shared" si="101"/>
        <v>Q3</v>
      </c>
      <c r="F1346" s="24" t="str">
        <f t="shared" si="102"/>
        <v>Sep</v>
      </c>
      <c r="G1346" s="24">
        <f t="shared" si="103"/>
        <v>9</v>
      </c>
      <c r="H1346" s="19">
        <v>1434</v>
      </c>
      <c r="I1346" s="19" t="s">
        <v>7</v>
      </c>
      <c r="J1346" s="19" t="s">
        <v>9</v>
      </c>
      <c r="K1346" s="20">
        <v>7</v>
      </c>
      <c r="L1346" s="21">
        <v>62.95</v>
      </c>
      <c r="M1346" s="22">
        <v>0.04</v>
      </c>
      <c r="N1346" s="21">
        <f t="shared" si="104"/>
        <v>60.432000000000002</v>
      </c>
      <c r="O1346" s="21">
        <v>423.02</v>
      </c>
      <c r="P1346" s="19" t="s">
        <v>4</v>
      </c>
      <c r="Q1346" s="23">
        <v>2</v>
      </c>
      <c r="R1346" s="45">
        <v>4.5999999999999996</v>
      </c>
    </row>
    <row r="1347" spans="2:18" x14ac:dyDescent="0.2">
      <c r="B1347" s="25">
        <v>1344</v>
      </c>
      <c r="C1347" s="18">
        <v>45174</v>
      </c>
      <c r="D1347" s="24">
        <f t="shared" si="100"/>
        <v>2023</v>
      </c>
      <c r="E1347" s="24" t="str">
        <f t="shared" si="101"/>
        <v>Q3</v>
      </c>
      <c r="F1347" s="24" t="str">
        <f t="shared" si="102"/>
        <v>Sep</v>
      </c>
      <c r="G1347" s="24">
        <f t="shared" si="103"/>
        <v>9</v>
      </c>
      <c r="H1347" s="19">
        <v>1172</v>
      </c>
      <c r="I1347" s="19" t="s">
        <v>7</v>
      </c>
      <c r="J1347" s="19" t="s">
        <v>1</v>
      </c>
      <c r="K1347" s="20">
        <v>4</v>
      </c>
      <c r="L1347" s="21">
        <v>267.5</v>
      </c>
      <c r="M1347" s="22">
        <v>0.14000000000000001</v>
      </c>
      <c r="N1347" s="21">
        <f t="shared" si="104"/>
        <v>230.05</v>
      </c>
      <c r="O1347" s="21">
        <v>920.2</v>
      </c>
      <c r="P1347" s="19" t="s">
        <v>6</v>
      </c>
      <c r="Q1347" s="23">
        <v>8</v>
      </c>
      <c r="R1347" s="45">
        <v>3.4</v>
      </c>
    </row>
    <row r="1348" spans="2:18" x14ac:dyDescent="0.2">
      <c r="B1348" s="25">
        <v>1345</v>
      </c>
      <c r="C1348" s="18">
        <v>45175</v>
      </c>
      <c r="D1348" s="24">
        <f t="shared" ref="D1348:D1411" si="105">YEAR(C1348)</f>
        <v>2023</v>
      </c>
      <c r="E1348" s="24" t="str">
        <f t="shared" ref="E1348:E1411" si="106">"Q"&amp;ROUNDUP(MONTH(C1348)/3,0)</f>
        <v>Q3</v>
      </c>
      <c r="F1348" s="24" t="str">
        <f t="shared" ref="F1348:F1411" si="107">TEXT(C1348,"mmm")</f>
        <v>Sep</v>
      </c>
      <c r="G1348" s="24">
        <f t="shared" ref="G1348:G1411" si="108">MONTH(C1348)</f>
        <v>9</v>
      </c>
      <c r="H1348" s="19">
        <v>1299</v>
      </c>
      <c r="I1348" s="19" t="s">
        <v>0</v>
      </c>
      <c r="J1348" s="19" t="s">
        <v>1</v>
      </c>
      <c r="K1348" s="20">
        <v>2</v>
      </c>
      <c r="L1348" s="21">
        <v>499.57</v>
      </c>
      <c r="M1348" s="22">
        <v>0.35</v>
      </c>
      <c r="N1348" s="21">
        <f t="shared" si="104"/>
        <v>324.72050000000002</v>
      </c>
      <c r="O1348" s="21">
        <v>649.44000000000005</v>
      </c>
      <c r="P1348" s="19" t="s">
        <v>4</v>
      </c>
      <c r="Q1348" s="23">
        <v>11</v>
      </c>
      <c r="R1348" s="45">
        <v>2.8</v>
      </c>
    </row>
    <row r="1349" spans="2:18" x14ac:dyDescent="0.2">
      <c r="B1349" s="25">
        <v>1346</v>
      </c>
      <c r="C1349" s="18">
        <v>45176</v>
      </c>
      <c r="D1349" s="24">
        <f t="shared" si="105"/>
        <v>2023</v>
      </c>
      <c r="E1349" s="24" t="str">
        <f t="shared" si="106"/>
        <v>Q3</v>
      </c>
      <c r="F1349" s="24" t="str">
        <f t="shared" si="107"/>
        <v>Sep</v>
      </c>
      <c r="G1349" s="24">
        <f t="shared" si="108"/>
        <v>9</v>
      </c>
      <c r="H1349" s="19">
        <v>1644</v>
      </c>
      <c r="I1349" s="19" t="s">
        <v>0</v>
      </c>
      <c r="J1349" s="19" t="s">
        <v>8</v>
      </c>
      <c r="K1349" s="20">
        <v>1</v>
      </c>
      <c r="L1349" s="21">
        <v>291.95</v>
      </c>
      <c r="M1349" s="22">
        <v>0.06</v>
      </c>
      <c r="N1349" s="21">
        <f t="shared" ref="N1349:N1412" si="109">L1349-(L1349*M1349)</f>
        <v>274.43299999999999</v>
      </c>
      <c r="O1349" s="21">
        <v>274.43</v>
      </c>
      <c r="P1349" s="19" t="s">
        <v>4</v>
      </c>
      <c r="Q1349" s="23">
        <v>9</v>
      </c>
      <c r="R1349" s="45">
        <v>1.6</v>
      </c>
    </row>
    <row r="1350" spans="2:18" x14ac:dyDescent="0.2">
      <c r="B1350" s="25">
        <v>1347</v>
      </c>
      <c r="C1350" s="18">
        <v>45177</v>
      </c>
      <c r="D1350" s="24">
        <f t="shared" si="105"/>
        <v>2023</v>
      </c>
      <c r="E1350" s="24" t="str">
        <f t="shared" si="106"/>
        <v>Q3</v>
      </c>
      <c r="F1350" s="24" t="str">
        <f t="shared" si="107"/>
        <v>Sep</v>
      </c>
      <c r="G1350" s="24">
        <f t="shared" si="108"/>
        <v>9</v>
      </c>
      <c r="H1350" s="19">
        <v>1325</v>
      </c>
      <c r="I1350" s="19" t="s">
        <v>3</v>
      </c>
      <c r="J1350" s="19" t="s">
        <v>8</v>
      </c>
      <c r="K1350" s="20">
        <v>2</v>
      </c>
      <c r="L1350" s="21">
        <v>500.13</v>
      </c>
      <c r="M1350" s="22">
        <v>0.05</v>
      </c>
      <c r="N1350" s="21">
        <f t="shared" si="109"/>
        <v>475.12349999999998</v>
      </c>
      <c r="O1350" s="21">
        <v>950.25</v>
      </c>
      <c r="P1350" s="19" t="s">
        <v>6</v>
      </c>
      <c r="Q1350" s="23">
        <v>11</v>
      </c>
      <c r="R1350" s="45">
        <v>1.8</v>
      </c>
    </row>
    <row r="1351" spans="2:18" x14ac:dyDescent="0.2">
      <c r="B1351" s="25">
        <v>1348</v>
      </c>
      <c r="C1351" s="18">
        <v>45178</v>
      </c>
      <c r="D1351" s="24">
        <f t="shared" si="105"/>
        <v>2023</v>
      </c>
      <c r="E1351" s="24" t="str">
        <f t="shared" si="106"/>
        <v>Q3</v>
      </c>
      <c r="F1351" s="24" t="str">
        <f t="shared" si="107"/>
        <v>Sep</v>
      </c>
      <c r="G1351" s="24">
        <f t="shared" si="108"/>
        <v>9</v>
      </c>
      <c r="H1351" s="19">
        <v>1409</v>
      </c>
      <c r="I1351" s="19" t="s">
        <v>10</v>
      </c>
      <c r="J1351" s="19" t="s">
        <v>1</v>
      </c>
      <c r="K1351" s="20">
        <v>1</v>
      </c>
      <c r="L1351" s="21">
        <v>441.87</v>
      </c>
      <c r="M1351" s="22">
        <v>0.32</v>
      </c>
      <c r="N1351" s="21">
        <f t="shared" si="109"/>
        <v>300.47159999999997</v>
      </c>
      <c r="O1351" s="21">
        <v>300.47000000000003</v>
      </c>
      <c r="P1351" s="19" t="s">
        <v>2</v>
      </c>
      <c r="Q1351" s="23">
        <v>11</v>
      </c>
      <c r="R1351" s="45">
        <v>1.3</v>
      </c>
    </row>
    <row r="1352" spans="2:18" x14ac:dyDescent="0.2">
      <c r="B1352" s="25">
        <v>1349</v>
      </c>
      <c r="C1352" s="18">
        <v>45179</v>
      </c>
      <c r="D1352" s="24">
        <f t="shared" si="105"/>
        <v>2023</v>
      </c>
      <c r="E1352" s="24" t="str">
        <f t="shared" si="106"/>
        <v>Q3</v>
      </c>
      <c r="F1352" s="24" t="str">
        <f t="shared" si="107"/>
        <v>Sep</v>
      </c>
      <c r="G1352" s="24">
        <f t="shared" si="108"/>
        <v>9</v>
      </c>
      <c r="H1352" s="19">
        <v>1117</v>
      </c>
      <c r="I1352" s="19" t="s">
        <v>7</v>
      </c>
      <c r="J1352" s="19" t="s">
        <v>9</v>
      </c>
      <c r="K1352" s="20">
        <v>3</v>
      </c>
      <c r="L1352" s="21">
        <v>137.52000000000001</v>
      </c>
      <c r="M1352" s="22">
        <v>0.31</v>
      </c>
      <c r="N1352" s="21">
        <f t="shared" si="109"/>
        <v>94.888800000000003</v>
      </c>
      <c r="O1352" s="21">
        <v>284.67</v>
      </c>
      <c r="P1352" s="19" t="s">
        <v>6</v>
      </c>
      <c r="Q1352" s="23">
        <v>7</v>
      </c>
      <c r="R1352" s="45">
        <v>4</v>
      </c>
    </row>
    <row r="1353" spans="2:18" x14ac:dyDescent="0.2">
      <c r="B1353" s="25">
        <v>1350</v>
      </c>
      <c r="C1353" s="18">
        <v>45180</v>
      </c>
      <c r="D1353" s="24">
        <f t="shared" si="105"/>
        <v>2023</v>
      </c>
      <c r="E1353" s="24" t="str">
        <f t="shared" si="106"/>
        <v>Q3</v>
      </c>
      <c r="F1353" s="24" t="str">
        <f t="shared" si="107"/>
        <v>Sep</v>
      </c>
      <c r="G1353" s="24">
        <f t="shared" si="108"/>
        <v>9</v>
      </c>
      <c r="H1353" s="19">
        <v>1835</v>
      </c>
      <c r="I1353" s="19" t="s">
        <v>10</v>
      </c>
      <c r="J1353" s="19" t="s">
        <v>1</v>
      </c>
      <c r="K1353" s="20">
        <v>5</v>
      </c>
      <c r="L1353" s="21">
        <v>570.1</v>
      </c>
      <c r="M1353" s="22">
        <v>0.01</v>
      </c>
      <c r="N1353" s="21">
        <f t="shared" si="109"/>
        <v>564.399</v>
      </c>
      <c r="O1353" s="21">
        <v>2822</v>
      </c>
      <c r="P1353" s="19" t="s">
        <v>2</v>
      </c>
      <c r="Q1353" s="23">
        <v>1</v>
      </c>
      <c r="R1353" s="45">
        <v>1.3</v>
      </c>
    </row>
    <row r="1354" spans="2:18" x14ac:dyDescent="0.2">
      <c r="B1354" s="25">
        <v>1351</v>
      </c>
      <c r="C1354" s="18">
        <v>45181</v>
      </c>
      <c r="D1354" s="24">
        <f t="shared" si="105"/>
        <v>2023</v>
      </c>
      <c r="E1354" s="24" t="str">
        <f t="shared" si="106"/>
        <v>Q3</v>
      </c>
      <c r="F1354" s="24" t="str">
        <f t="shared" si="107"/>
        <v>Sep</v>
      </c>
      <c r="G1354" s="24">
        <f t="shared" si="108"/>
        <v>9</v>
      </c>
      <c r="H1354" s="19">
        <v>1786</v>
      </c>
      <c r="I1354" s="19" t="s">
        <v>10</v>
      </c>
      <c r="J1354" s="19" t="s">
        <v>1</v>
      </c>
      <c r="K1354" s="20">
        <v>6</v>
      </c>
      <c r="L1354" s="21">
        <v>50.56</v>
      </c>
      <c r="M1354" s="22">
        <v>0.26</v>
      </c>
      <c r="N1354" s="21">
        <f t="shared" si="109"/>
        <v>37.414400000000001</v>
      </c>
      <c r="O1354" s="21">
        <v>224.49</v>
      </c>
      <c r="P1354" s="19" t="s">
        <v>6</v>
      </c>
      <c r="Q1354" s="23">
        <v>7</v>
      </c>
      <c r="R1354" s="45">
        <v>2.5</v>
      </c>
    </row>
    <row r="1355" spans="2:18" x14ac:dyDescent="0.2">
      <c r="B1355" s="25">
        <v>1352</v>
      </c>
      <c r="C1355" s="18">
        <v>45182</v>
      </c>
      <c r="D1355" s="24">
        <f t="shared" si="105"/>
        <v>2023</v>
      </c>
      <c r="E1355" s="24" t="str">
        <f t="shared" si="106"/>
        <v>Q3</v>
      </c>
      <c r="F1355" s="24" t="str">
        <f t="shared" si="107"/>
        <v>Sep</v>
      </c>
      <c r="G1355" s="24">
        <f t="shared" si="108"/>
        <v>9</v>
      </c>
      <c r="H1355" s="19">
        <v>1723</v>
      </c>
      <c r="I1355" s="19" t="s">
        <v>0</v>
      </c>
      <c r="J1355" s="19" t="s">
        <v>5</v>
      </c>
      <c r="K1355" s="20">
        <v>6</v>
      </c>
      <c r="L1355" s="21">
        <v>540.49</v>
      </c>
      <c r="M1355" s="22">
        <v>0.23</v>
      </c>
      <c r="N1355" s="21">
        <f t="shared" si="109"/>
        <v>416.1773</v>
      </c>
      <c r="O1355" s="21">
        <v>2497.06</v>
      </c>
      <c r="P1355" s="19" t="s">
        <v>4</v>
      </c>
      <c r="Q1355" s="23">
        <v>8</v>
      </c>
      <c r="R1355" s="45">
        <v>4</v>
      </c>
    </row>
    <row r="1356" spans="2:18" x14ac:dyDescent="0.2">
      <c r="B1356" s="25">
        <v>1353</v>
      </c>
      <c r="C1356" s="18">
        <v>45183</v>
      </c>
      <c r="D1356" s="24">
        <f t="shared" si="105"/>
        <v>2023</v>
      </c>
      <c r="E1356" s="24" t="str">
        <f t="shared" si="106"/>
        <v>Q3</v>
      </c>
      <c r="F1356" s="24" t="str">
        <f t="shared" si="107"/>
        <v>Sep</v>
      </c>
      <c r="G1356" s="24">
        <f t="shared" si="108"/>
        <v>9</v>
      </c>
      <c r="H1356" s="19">
        <v>1224</v>
      </c>
      <c r="I1356" s="19" t="s">
        <v>3</v>
      </c>
      <c r="J1356" s="19" t="s">
        <v>9</v>
      </c>
      <c r="K1356" s="20">
        <v>4</v>
      </c>
      <c r="L1356" s="21">
        <v>193.1</v>
      </c>
      <c r="M1356" s="22">
        <v>0.27</v>
      </c>
      <c r="N1356" s="21">
        <f t="shared" si="109"/>
        <v>140.96299999999999</v>
      </c>
      <c r="O1356" s="21">
        <v>563.85</v>
      </c>
      <c r="P1356" s="19" t="s">
        <v>4</v>
      </c>
      <c r="Q1356" s="23">
        <v>7</v>
      </c>
      <c r="R1356" s="45">
        <v>3.9</v>
      </c>
    </row>
    <row r="1357" spans="2:18" x14ac:dyDescent="0.2">
      <c r="B1357" s="25">
        <v>1354</v>
      </c>
      <c r="C1357" s="18">
        <v>45184</v>
      </c>
      <c r="D1357" s="24">
        <f t="shared" si="105"/>
        <v>2023</v>
      </c>
      <c r="E1357" s="24" t="str">
        <f t="shared" si="106"/>
        <v>Q3</v>
      </c>
      <c r="F1357" s="24" t="str">
        <f t="shared" si="107"/>
        <v>Sep</v>
      </c>
      <c r="G1357" s="24">
        <f t="shared" si="108"/>
        <v>9</v>
      </c>
      <c r="H1357" s="19">
        <v>1531</v>
      </c>
      <c r="I1357" s="19" t="s">
        <v>10</v>
      </c>
      <c r="J1357" s="19" t="s">
        <v>5</v>
      </c>
      <c r="K1357" s="20">
        <v>7</v>
      </c>
      <c r="L1357" s="21">
        <v>307.58999999999997</v>
      </c>
      <c r="M1357" s="22">
        <v>0.17</v>
      </c>
      <c r="N1357" s="21">
        <f t="shared" si="109"/>
        <v>255.29969999999997</v>
      </c>
      <c r="O1357" s="21">
        <v>1787.1</v>
      </c>
      <c r="P1357" s="19" t="s">
        <v>6</v>
      </c>
      <c r="Q1357" s="23">
        <v>5</v>
      </c>
      <c r="R1357" s="45">
        <v>3.3</v>
      </c>
    </row>
    <row r="1358" spans="2:18" x14ac:dyDescent="0.2">
      <c r="B1358" s="25">
        <v>1355</v>
      </c>
      <c r="C1358" s="18">
        <v>45185</v>
      </c>
      <c r="D1358" s="24">
        <f t="shared" si="105"/>
        <v>2023</v>
      </c>
      <c r="E1358" s="24" t="str">
        <f t="shared" si="106"/>
        <v>Q3</v>
      </c>
      <c r="F1358" s="24" t="str">
        <f t="shared" si="107"/>
        <v>Sep</v>
      </c>
      <c r="G1358" s="24">
        <f t="shared" si="108"/>
        <v>9</v>
      </c>
      <c r="H1358" s="19">
        <v>1112</v>
      </c>
      <c r="I1358" s="19" t="s">
        <v>7</v>
      </c>
      <c r="J1358" s="19" t="s">
        <v>9</v>
      </c>
      <c r="K1358" s="20">
        <v>7</v>
      </c>
      <c r="L1358" s="21">
        <v>262.08</v>
      </c>
      <c r="M1358" s="22">
        <v>0.35</v>
      </c>
      <c r="N1358" s="21">
        <f t="shared" si="109"/>
        <v>170.35199999999998</v>
      </c>
      <c r="O1358" s="21">
        <v>1192.46</v>
      </c>
      <c r="P1358" s="19" t="s">
        <v>4</v>
      </c>
      <c r="Q1358" s="23">
        <v>7</v>
      </c>
      <c r="R1358" s="45">
        <v>3.3</v>
      </c>
    </row>
    <row r="1359" spans="2:18" x14ac:dyDescent="0.2">
      <c r="B1359" s="25">
        <v>1356</v>
      </c>
      <c r="C1359" s="18">
        <v>45186</v>
      </c>
      <c r="D1359" s="24">
        <f t="shared" si="105"/>
        <v>2023</v>
      </c>
      <c r="E1359" s="24" t="str">
        <f t="shared" si="106"/>
        <v>Q3</v>
      </c>
      <c r="F1359" s="24" t="str">
        <f t="shared" si="107"/>
        <v>Sep</v>
      </c>
      <c r="G1359" s="24">
        <f t="shared" si="108"/>
        <v>9</v>
      </c>
      <c r="H1359" s="19">
        <v>1139</v>
      </c>
      <c r="I1359" s="19" t="s">
        <v>0</v>
      </c>
      <c r="J1359" s="19" t="s">
        <v>9</v>
      </c>
      <c r="K1359" s="20">
        <v>2</v>
      </c>
      <c r="L1359" s="21">
        <v>115.52</v>
      </c>
      <c r="M1359" s="22">
        <v>0.02</v>
      </c>
      <c r="N1359" s="21">
        <f t="shared" si="109"/>
        <v>113.20959999999999</v>
      </c>
      <c r="O1359" s="21">
        <v>226.42</v>
      </c>
      <c r="P1359" s="19" t="s">
        <v>6</v>
      </c>
      <c r="Q1359" s="23">
        <v>10</v>
      </c>
      <c r="R1359" s="45">
        <v>1.4</v>
      </c>
    </row>
    <row r="1360" spans="2:18" x14ac:dyDescent="0.2">
      <c r="B1360" s="25">
        <v>1357</v>
      </c>
      <c r="C1360" s="18">
        <v>45187</v>
      </c>
      <c r="D1360" s="24">
        <f t="shared" si="105"/>
        <v>2023</v>
      </c>
      <c r="E1360" s="24" t="str">
        <f t="shared" si="106"/>
        <v>Q3</v>
      </c>
      <c r="F1360" s="24" t="str">
        <f t="shared" si="107"/>
        <v>Sep</v>
      </c>
      <c r="G1360" s="24">
        <f t="shared" si="108"/>
        <v>9</v>
      </c>
      <c r="H1360" s="19">
        <v>1558</v>
      </c>
      <c r="I1360" s="19" t="s">
        <v>7</v>
      </c>
      <c r="J1360" s="19" t="s">
        <v>9</v>
      </c>
      <c r="K1360" s="20">
        <v>2</v>
      </c>
      <c r="L1360" s="21">
        <v>224.52</v>
      </c>
      <c r="M1360" s="22">
        <v>0.08</v>
      </c>
      <c r="N1360" s="21">
        <f t="shared" si="109"/>
        <v>206.55840000000001</v>
      </c>
      <c r="O1360" s="21">
        <v>413.12</v>
      </c>
      <c r="P1360" s="19" t="s">
        <v>4</v>
      </c>
      <c r="Q1360" s="23">
        <v>11</v>
      </c>
      <c r="R1360" s="45">
        <v>1.7</v>
      </c>
    </row>
    <row r="1361" spans="2:18" x14ac:dyDescent="0.2">
      <c r="B1361" s="25">
        <v>1358</v>
      </c>
      <c r="C1361" s="18">
        <v>45188</v>
      </c>
      <c r="D1361" s="24">
        <f t="shared" si="105"/>
        <v>2023</v>
      </c>
      <c r="E1361" s="24" t="str">
        <f t="shared" si="106"/>
        <v>Q3</v>
      </c>
      <c r="F1361" s="24" t="str">
        <f t="shared" si="107"/>
        <v>Sep</v>
      </c>
      <c r="G1361" s="24">
        <f t="shared" si="108"/>
        <v>9</v>
      </c>
      <c r="H1361" s="19">
        <v>1000</v>
      </c>
      <c r="I1361" s="19" t="s">
        <v>3</v>
      </c>
      <c r="J1361" s="19" t="s">
        <v>5</v>
      </c>
      <c r="K1361" s="20">
        <v>2</v>
      </c>
      <c r="L1361" s="21">
        <v>127.87</v>
      </c>
      <c r="M1361" s="22">
        <v>0.14000000000000001</v>
      </c>
      <c r="N1361" s="21">
        <f t="shared" si="109"/>
        <v>109.9682</v>
      </c>
      <c r="O1361" s="21">
        <v>219.94</v>
      </c>
      <c r="P1361" s="19" t="s">
        <v>4</v>
      </c>
      <c r="Q1361" s="23">
        <v>2</v>
      </c>
      <c r="R1361" s="45">
        <v>3.1</v>
      </c>
    </row>
    <row r="1362" spans="2:18" x14ac:dyDescent="0.2">
      <c r="B1362" s="25">
        <v>1359</v>
      </c>
      <c r="C1362" s="18">
        <v>45189</v>
      </c>
      <c r="D1362" s="24">
        <f t="shared" si="105"/>
        <v>2023</v>
      </c>
      <c r="E1362" s="24" t="str">
        <f t="shared" si="106"/>
        <v>Q3</v>
      </c>
      <c r="F1362" s="24" t="str">
        <f t="shared" si="107"/>
        <v>Sep</v>
      </c>
      <c r="G1362" s="24">
        <f t="shared" si="108"/>
        <v>9</v>
      </c>
      <c r="H1362" s="19">
        <v>1089</v>
      </c>
      <c r="I1362" s="19" t="s">
        <v>10</v>
      </c>
      <c r="J1362" s="19" t="s">
        <v>5</v>
      </c>
      <c r="K1362" s="20">
        <v>7</v>
      </c>
      <c r="L1362" s="21">
        <v>134.27000000000001</v>
      </c>
      <c r="M1362" s="22">
        <v>0.16</v>
      </c>
      <c r="N1362" s="21">
        <f t="shared" si="109"/>
        <v>112.7868</v>
      </c>
      <c r="O1362" s="21">
        <v>789.51</v>
      </c>
      <c r="P1362" s="19" t="s">
        <v>6</v>
      </c>
      <c r="Q1362" s="23">
        <v>9</v>
      </c>
      <c r="R1362" s="45">
        <v>2.4</v>
      </c>
    </row>
    <row r="1363" spans="2:18" x14ac:dyDescent="0.2">
      <c r="B1363" s="25">
        <v>1360</v>
      </c>
      <c r="C1363" s="18">
        <v>45190</v>
      </c>
      <c r="D1363" s="24">
        <f t="shared" si="105"/>
        <v>2023</v>
      </c>
      <c r="E1363" s="24" t="str">
        <f t="shared" si="106"/>
        <v>Q3</v>
      </c>
      <c r="F1363" s="24" t="str">
        <f t="shared" si="107"/>
        <v>Sep</v>
      </c>
      <c r="G1363" s="24">
        <f t="shared" si="108"/>
        <v>9</v>
      </c>
      <c r="H1363" s="19">
        <v>1653</v>
      </c>
      <c r="I1363" s="19" t="s">
        <v>10</v>
      </c>
      <c r="J1363" s="19" t="s">
        <v>5</v>
      </c>
      <c r="K1363" s="20">
        <v>6</v>
      </c>
      <c r="L1363" s="21">
        <v>124.43</v>
      </c>
      <c r="M1363" s="22">
        <v>0.32</v>
      </c>
      <c r="N1363" s="21">
        <f t="shared" si="109"/>
        <v>84.612400000000008</v>
      </c>
      <c r="O1363" s="21">
        <v>507.67</v>
      </c>
      <c r="P1363" s="19" t="s">
        <v>6</v>
      </c>
      <c r="Q1363" s="23">
        <v>2</v>
      </c>
      <c r="R1363" s="45">
        <v>1.1000000000000001</v>
      </c>
    </row>
    <row r="1364" spans="2:18" x14ac:dyDescent="0.2">
      <c r="B1364" s="25">
        <v>1361</v>
      </c>
      <c r="C1364" s="18">
        <v>45191</v>
      </c>
      <c r="D1364" s="24">
        <f t="shared" si="105"/>
        <v>2023</v>
      </c>
      <c r="E1364" s="24" t="str">
        <f t="shared" si="106"/>
        <v>Q3</v>
      </c>
      <c r="F1364" s="24" t="str">
        <f t="shared" si="107"/>
        <v>Sep</v>
      </c>
      <c r="G1364" s="24">
        <f t="shared" si="108"/>
        <v>9</v>
      </c>
      <c r="H1364" s="19">
        <v>1319</v>
      </c>
      <c r="I1364" s="19" t="s">
        <v>7</v>
      </c>
      <c r="J1364" s="19" t="s">
        <v>8</v>
      </c>
      <c r="K1364" s="20">
        <v>7</v>
      </c>
      <c r="L1364" s="21">
        <v>301.08</v>
      </c>
      <c r="M1364" s="22">
        <v>0.2</v>
      </c>
      <c r="N1364" s="21">
        <f t="shared" si="109"/>
        <v>240.86399999999998</v>
      </c>
      <c r="O1364" s="21">
        <v>1686.05</v>
      </c>
      <c r="P1364" s="19" t="s">
        <v>4</v>
      </c>
      <c r="Q1364" s="23">
        <v>2</v>
      </c>
      <c r="R1364" s="45">
        <v>4.2</v>
      </c>
    </row>
    <row r="1365" spans="2:18" x14ac:dyDescent="0.2">
      <c r="B1365" s="25">
        <v>1362</v>
      </c>
      <c r="C1365" s="18">
        <v>45192</v>
      </c>
      <c r="D1365" s="24">
        <f t="shared" si="105"/>
        <v>2023</v>
      </c>
      <c r="E1365" s="24" t="str">
        <f t="shared" si="106"/>
        <v>Q3</v>
      </c>
      <c r="F1365" s="24" t="str">
        <f t="shared" si="107"/>
        <v>Sep</v>
      </c>
      <c r="G1365" s="24">
        <f t="shared" si="108"/>
        <v>9</v>
      </c>
      <c r="H1365" s="19">
        <v>1549</v>
      </c>
      <c r="I1365" s="19" t="s">
        <v>0</v>
      </c>
      <c r="J1365" s="19" t="s">
        <v>5</v>
      </c>
      <c r="K1365" s="20">
        <v>2</v>
      </c>
      <c r="L1365" s="21">
        <v>481.79</v>
      </c>
      <c r="M1365" s="22">
        <v>0.02</v>
      </c>
      <c r="N1365" s="21">
        <f t="shared" si="109"/>
        <v>472.1542</v>
      </c>
      <c r="O1365" s="21">
        <v>944.31</v>
      </c>
      <c r="P1365" s="19" t="s">
        <v>4</v>
      </c>
      <c r="Q1365" s="23">
        <v>5</v>
      </c>
      <c r="R1365" s="45">
        <v>3.6</v>
      </c>
    </row>
    <row r="1366" spans="2:18" x14ac:dyDescent="0.2">
      <c r="B1366" s="25">
        <v>1363</v>
      </c>
      <c r="C1366" s="18">
        <v>45193</v>
      </c>
      <c r="D1366" s="24">
        <f t="shared" si="105"/>
        <v>2023</v>
      </c>
      <c r="E1366" s="24" t="str">
        <f t="shared" si="106"/>
        <v>Q3</v>
      </c>
      <c r="F1366" s="24" t="str">
        <f t="shared" si="107"/>
        <v>Sep</v>
      </c>
      <c r="G1366" s="24">
        <f t="shared" si="108"/>
        <v>9</v>
      </c>
      <c r="H1366" s="19">
        <v>1804</v>
      </c>
      <c r="I1366" s="19" t="s">
        <v>7</v>
      </c>
      <c r="J1366" s="19" t="s">
        <v>8</v>
      </c>
      <c r="K1366" s="20">
        <v>5</v>
      </c>
      <c r="L1366" s="21">
        <v>347.85</v>
      </c>
      <c r="M1366" s="22">
        <v>0.14000000000000001</v>
      </c>
      <c r="N1366" s="21">
        <f t="shared" si="109"/>
        <v>299.15100000000001</v>
      </c>
      <c r="O1366" s="21">
        <v>1495.76</v>
      </c>
      <c r="P1366" s="19" t="s">
        <v>4</v>
      </c>
      <c r="Q1366" s="23">
        <v>8</v>
      </c>
      <c r="R1366" s="45">
        <v>2.2999999999999998</v>
      </c>
    </row>
    <row r="1367" spans="2:18" x14ac:dyDescent="0.2">
      <c r="B1367" s="25">
        <v>1364</v>
      </c>
      <c r="C1367" s="18">
        <v>45194</v>
      </c>
      <c r="D1367" s="24">
        <f t="shared" si="105"/>
        <v>2023</v>
      </c>
      <c r="E1367" s="24" t="str">
        <f t="shared" si="106"/>
        <v>Q3</v>
      </c>
      <c r="F1367" s="24" t="str">
        <f t="shared" si="107"/>
        <v>Sep</v>
      </c>
      <c r="G1367" s="24">
        <f t="shared" si="108"/>
        <v>9</v>
      </c>
      <c r="H1367" s="19">
        <v>1893</v>
      </c>
      <c r="I1367" s="19" t="s">
        <v>3</v>
      </c>
      <c r="J1367" s="19" t="s">
        <v>8</v>
      </c>
      <c r="K1367" s="20">
        <v>1</v>
      </c>
      <c r="L1367" s="21">
        <v>537.53</v>
      </c>
      <c r="M1367" s="22">
        <v>0.15</v>
      </c>
      <c r="N1367" s="21">
        <f t="shared" si="109"/>
        <v>456.90049999999997</v>
      </c>
      <c r="O1367" s="21">
        <v>456.9</v>
      </c>
      <c r="P1367" s="19" t="s">
        <v>4</v>
      </c>
      <c r="Q1367" s="23">
        <v>6</v>
      </c>
      <c r="R1367" s="45">
        <v>1.4</v>
      </c>
    </row>
    <row r="1368" spans="2:18" x14ac:dyDescent="0.2">
      <c r="B1368" s="25">
        <v>1365</v>
      </c>
      <c r="C1368" s="18">
        <v>45195</v>
      </c>
      <c r="D1368" s="24">
        <f t="shared" si="105"/>
        <v>2023</v>
      </c>
      <c r="E1368" s="24" t="str">
        <f t="shared" si="106"/>
        <v>Q3</v>
      </c>
      <c r="F1368" s="24" t="str">
        <f t="shared" si="107"/>
        <v>Sep</v>
      </c>
      <c r="G1368" s="24">
        <f t="shared" si="108"/>
        <v>9</v>
      </c>
      <c r="H1368" s="19">
        <v>1138</v>
      </c>
      <c r="I1368" s="19" t="s">
        <v>7</v>
      </c>
      <c r="J1368" s="19" t="s">
        <v>8</v>
      </c>
      <c r="K1368" s="20">
        <v>6</v>
      </c>
      <c r="L1368" s="21">
        <v>387.38</v>
      </c>
      <c r="M1368" s="22">
        <v>0.34</v>
      </c>
      <c r="N1368" s="21">
        <f t="shared" si="109"/>
        <v>255.67079999999999</v>
      </c>
      <c r="O1368" s="21">
        <v>1534.02</v>
      </c>
      <c r="P1368" s="19" t="s">
        <v>6</v>
      </c>
      <c r="Q1368" s="23">
        <v>9</v>
      </c>
      <c r="R1368" s="45">
        <v>3.4</v>
      </c>
    </row>
    <row r="1369" spans="2:18" x14ac:dyDescent="0.2">
      <c r="B1369" s="25">
        <v>1366</v>
      </c>
      <c r="C1369" s="18">
        <v>45196</v>
      </c>
      <c r="D1369" s="24">
        <f t="shared" si="105"/>
        <v>2023</v>
      </c>
      <c r="E1369" s="24" t="str">
        <f t="shared" si="106"/>
        <v>Q3</v>
      </c>
      <c r="F1369" s="24" t="str">
        <f t="shared" si="107"/>
        <v>Sep</v>
      </c>
      <c r="G1369" s="24">
        <f t="shared" si="108"/>
        <v>9</v>
      </c>
      <c r="H1369" s="19">
        <v>1510</v>
      </c>
      <c r="I1369" s="19" t="s">
        <v>7</v>
      </c>
      <c r="J1369" s="19" t="s">
        <v>1</v>
      </c>
      <c r="K1369" s="20">
        <v>5</v>
      </c>
      <c r="L1369" s="21">
        <v>418.26</v>
      </c>
      <c r="M1369" s="22">
        <v>0.21</v>
      </c>
      <c r="N1369" s="21">
        <f t="shared" si="109"/>
        <v>330.42539999999997</v>
      </c>
      <c r="O1369" s="21">
        <v>1652.13</v>
      </c>
      <c r="P1369" s="19" t="s">
        <v>6</v>
      </c>
      <c r="Q1369" s="23">
        <v>6</v>
      </c>
      <c r="R1369" s="45">
        <v>2.4</v>
      </c>
    </row>
    <row r="1370" spans="2:18" x14ac:dyDescent="0.2">
      <c r="B1370" s="25">
        <v>1367</v>
      </c>
      <c r="C1370" s="18">
        <v>45197</v>
      </c>
      <c r="D1370" s="24">
        <f t="shared" si="105"/>
        <v>2023</v>
      </c>
      <c r="E1370" s="24" t="str">
        <f t="shared" si="106"/>
        <v>Q3</v>
      </c>
      <c r="F1370" s="24" t="str">
        <f t="shared" si="107"/>
        <v>Sep</v>
      </c>
      <c r="G1370" s="24">
        <f t="shared" si="108"/>
        <v>9</v>
      </c>
      <c r="H1370" s="19">
        <v>1867</v>
      </c>
      <c r="I1370" s="19" t="s">
        <v>3</v>
      </c>
      <c r="J1370" s="19" t="s">
        <v>1</v>
      </c>
      <c r="K1370" s="20">
        <v>3</v>
      </c>
      <c r="L1370" s="21">
        <v>405.55</v>
      </c>
      <c r="M1370" s="22">
        <v>0.22</v>
      </c>
      <c r="N1370" s="21">
        <f t="shared" si="109"/>
        <v>316.32900000000001</v>
      </c>
      <c r="O1370" s="21">
        <v>948.99</v>
      </c>
      <c r="P1370" s="19" t="s">
        <v>4</v>
      </c>
      <c r="Q1370" s="23">
        <v>5</v>
      </c>
      <c r="R1370" s="45">
        <v>2</v>
      </c>
    </row>
    <row r="1371" spans="2:18" x14ac:dyDescent="0.2">
      <c r="B1371" s="25">
        <v>1368</v>
      </c>
      <c r="C1371" s="18">
        <v>45198</v>
      </c>
      <c r="D1371" s="24">
        <f t="shared" si="105"/>
        <v>2023</v>
      </c>
      <c r="E1371" s="24" t="str">
        <f t="shared" si="106"/>
        <v>Q3</v>
      </c>
      <c r="F1371" s="24" t="str">
        <f t="shared" si="107"/>
        <v>Sep</v>
      </c>
      <c r="G1371" s="24">
        <f t="shared" si="108"/>
        <v>9</v>
      </c>
      <c r="H1371" s="19">
        <v>1844</v>
      </c>
      <c r="I1371" s="19" t="s">
        <v>3</v>
      </c>
      <c r="J1371" s="19" t="s">
        <v>1</v>
      </c>
      <c r="K1371" s="20">
        <v>5</v>
      </c>
      <c r="L1371" s="21">
        <v>277.93</v>
      </c>
      <c r="M1371" s="22">
        <v>0.25</v>
      </c>
      <c r="N1371" s="21">
        <f t="shared" si="109"/>
        <v>208.44749999999999</v>
      </c>
      <c r="O1371" s="21">
        <v>1042.24</v>
      </c>
      <c r="P1371" s="19" t="s">
        <v>4</v>
      </c>
      <c r="Q1371" s="23">
        <v>1</v>
      </c>
      <c r="R1371" s="45">
        <v>3.9</v>
      </c>
    </row>
    <row r="1372" spans="2:18" x14ac:dyDescent="0.2">
      <c r="B1372" s="25">
        <v>1369</v>
      </c>
      <c r="C1372" s="18">
        <v>45199</v>
      </c>
      <c r="D1372" s="24">
        <f t="shared" si="105"/>
        <v>2023</v>
      </c>
      <c r="E1372" s="24" t="str">
        <f t="shared" si="106"/>
        <v>Q3</v>
      </c>
      <c r="F1372" s="24" t="str">
        <f t="shared" si="107"/>
        <v>Sep</v>
      </c>
      <c r="G1372" s="24">
        <f t="shared" si="108"/>
        <v>9</v>
      </c>
      <c r="H1372" s="19">
        <v>1258</v>
      </c>
      <c r="I1372" s="19" t="s">
        <v>7</v>
      </c>
      <c r="J1372" s="19" t="s">
        <v>8</v>
      </c>
      <c r="K1372" s="20">
        <v>5</v>
      </c>
      <c r="L1372" s="21">
        <v>418.26</v>
      </c>
      <c r="M1372" s="22">
        <v>0.27</v>
      </c>
      <c r="N1372" s="21">
        <f t="shared" si="109"/>
        <v>305.32979999999998</v>
      </c>
      <c r="O1372" s="21">
        <v>1526.65</v>
      </c>
      <c r="P1372" s="19" t="s">
        <v>4</v>
      </c>
      <c r="Q1372" s="23">
        <v>8</v>
      </c>
      <c r="R1372" s="45">
        <v>2.2999999999999998</v>
      </c>
    </row>
    <row r="1373" spans="2:18" x14ac:dyDescent="0.2">
      <c r="B1373" s="25">
        <v>1370</v>
      </c>
      <c r="C1373" s="18">
        <v>45200</v>
      </c>
      <c r="D1373" s="24">
        <f t="shared" si="105"/>
        <v>2023</v>
      </c>
      <c r="E1373" s="24" t="str">
        <f t="shared" si="106"/>
        <v>Q4</v>
      </c>
      <c r="F1373" s="24" t="str">
        <f t="shared" si="107"/>
        <v>Oct</v>
      </c>
      <c r="G1373" s="24">
        <f t="shared" si="108"/>
        <v>10</v>
      </c>
      <c r="H1373" s="19">
        <v>1672</v>
      </c>
      <c r="I1373" s="19" t="s">
        <v>7</v>
      </c>
      <c r="J1373" s="19" t="s">
        <v>8</v>
      </c>
      <c r="K1373" s="20">
        <v>3</v>
      </c>
      <c r="L1373" s="21">
        <v>55.78</v>
      </c>
      <c r="M1373" s="22">
        <v>0.22</v>
      </c>
      <c r="N1373" s="21">
        <f t="shared" si="109"/>
        <v>43.508400000000002</v>
      </c>
      <c r="O1373" s="21">
        <v>130.53</v>
      </c>
      <c r="P1373" s="19" t="s">
        <v>4</v>
      </c>
      <c r="Q1373" s="23">
        <v>3</v>
      </c>
      <c r="R1373" s="45">
        <v>1.5</v>
      </c>
    </row>
    <row r="1374" spans="2:18" x14ac:dyDescent="0.2">
      <c r="B1374" s="25">
        <v>1371</v>
      </c>
      <c r="C1374" s="18">
        <v>45201</v>
      </c>
      <c r="D1374" s="24">
        <f t="shared" si="105"/>
        <v>2023</v>
      </c>
      <c r="E1374" s="24" t="str">
        <f t="shared" si="106"/>
        <v>Q4</v>
      </c>
      <c r="F1374" s="24" t="str">
        <f t="shared" si="107"/>
        <v>Oct</v>
      </c>
      <c r="G1374" s="24">
        <f t="shared" si="108"/>
        <v>10</v>
      </c>
      <c r="H1374" s="19">
        <v>1901</v>
      </c>
      <c r="I1374" s="19" t="s">
        <v>3</v>
      </c>
      <c r="J1374" s="19" t="s">
        <v>9</v>
      </c>
      <c r="K1374" s="20">
        <v>5</v>
      </c>
      <c r="L1374" s="21">
        <v>518.01</v>
      </c>
      <c r="M1374" s="22">
        <v>0.08</v>
      </c>
      <c r="N1374" s="21">
        <f t="shared" si="109"/>
        <v>476.56919999999997</v>
      </c>
      <c r="O1374" s="21">
        <v>2382.85</v>
      </c>
      <c r="P1374" s="19" t="s">
        <v>6</v>
      </c>
      <c r="Q1374" s="23">
        <v>2</v>
      </c>
      <c r="R1374" s="45">
        <v>2.9</v>
      </c>
    </row>
    <row r="1375" spans="2:18" x14ac:dyDescent="0.2">
      <c r="B1375" s="25">
        <v>1372</v>
      </c>
      <c r="C1375" s="18">
        <v>45202</v>
      </c>
      <c r="D1375" s="24">
        <f t="shared" si="105"/>
        <v>2023</v>
      </c>
      <c r="E1375" s="24" t="str">
        <f t="shared" si="106"/>
        <v>Q4</v>
      </c>
      <c r="F1375" s="24" t="str">
        <f t="shared" si="107"/>
        <v>Oct</v>
      </c>
      <c r="G1375" s="24">
        <f t="shared" si="108"/>
        <v>10</v>
      </c>
      <c r="H1375" s="19">
        <v>1689</v>
      </c>
      <c r="I1375" s="19" t="s">
        <v>10</v>
      </c>
      <c r="J1375" s="19" t="s">
        <v>8</v>
      </c>
      <c r="K1375" s="20">
        <v>1</v>
      </c>
      <c r="L1375" s="21">
        <v>470.02</v>
      </c>
      <c r="M1375" s="22">
        <v>0.31</v>
      </c>
      <c r="N1375" s="21">
        <f t="shared" si="109"/>
        <v>324.31380000000001</v>
      </c>
      <c r="O1375" s="21">
        <v>324.31</v>
      </c>
      <c r="P1375" s="19" t="s">
        <v>4</v>
      </c>
      <c r="Q1375" s="23">
        <v>7</v>
      </c>
      <c r="R1375" s="45">
        <v>4.3</v>
      </c>
    </row>
    <row r="1376" spans="2:18" x14ac:dyDescent="0.2">
      <c r="B1376" s="25">
        <v>1373</v>
      </c>
      <c r="C1376" s="18">
        <v>45203</v>
      </c>
      <c r="D1376" s="24">
        <f t="shared" si="105"/>
        <v>2023</v>
      </c>
      <c r="E1376" s="24" t="str">
        <f t="shared" si="106"/>
        <v>Q4</v>
      </c>
      <c r="F1376" s="24" t="str">
        <f t="shared" si="107"/>
        <v>Oct</v>
      </c>
      <c r="G1376" s="24">
        <f t="shared" si="108"/>
        <v>10</v>
      </c>
      <c r="H1376" s="19">
        <v>1009</v>
      </c>
      <c r="I1376" s="19" t="s">
        <v>0</v>
      </c>
      <c r="J1376" s="19" t="s">
        <v>1</v>
      </c>
      <c r="K1376" s="20">
        <v>6</v>
      </c>
      <c r="L1376" s="21">
        <v>158.46</v>
      </c>
      <c r="M1376" s="22">
        <v>0.26</v>
      </c>
      <c r="N1376" s="21">
        <f t="shared" si="109"/>
        <v>117.2604</v>
      </c>
      <c r="O1376" s="21">
        <v>703.56</v>
      </c>
      <c r="P1376" s="19" t="s">
        <v>4</v>
      </c>
      <c r="Q1376" s="23">
        <v>11</v>
      </c>
      <c r="R1376" s="45">
        <v>4.4000000000000004</v>
      </c>
    </row>
    <row r="1377" spans="2:18" x14ac:dyDescent="0.2">
      <c r="B1377" s="25">
        <v>1374</v>
      </c>
      <c r="C1377" s="18">
        <v>45204</v>
      </c>
      <c r="D1377" s="24">
        <f t="shared" si="105"/>
        <v>2023</v>
      </c>
      <c r="E1377" s="24" t="str">
        <f t="shared" si="106"/>
        <v>Q4</v>
      </c>
      <c r="F1377" s="24" t="str">
        <f t="shared" si="107"/>
        <v>Oct</v>
      </c>
      <c r="G1377" s="24">
        <f t="shared" si="108"/>
        <v>10</v>
      </c>
      <c r="H1377" s="19">
        <v>1260</v>
      </c>
      <c r="I1377" s="19" t="s">
        <v>7</v>
      </c>
      <c r="J1377" s="19" t="s">
        <v>8</v>
      </c>
      <c r="K1377" s="20">
        <v>4</v>
      </c>
      <c r="L1377" s="21">
        <v>464.3</v>
      </c>
      <c r="M1377" s="22">
        <v>0.26</v>
      </c>
      <c r="N1377" s="21">
        <f t="shared" si="109"/>
        <v>343.58199999999999</v>
      </c>
      <c r="O1377" s="21">
        <v>1374.33</v>
      </c>
      <c r="P1377" s="19" t="s">
        <v>6</v>
      </c>
      <c r="Q1377" s="23">
        <v>2</v>
      </c>
      <c r="R1377" s="45">
        <v>4.4000000000000004</v>
      </c>
    </row>
    <row r="1378" spans="2:18" x14ac:dyDescent="0.2">
      <c r="B1378" s="25">
        <v>1375</v>
      </c>
      <c r="C1378" s="18">
        <v>45205</v>
      </c>
      <c r="D1378" s="24">
        <f t="shared" si="105"/>
        <v>2023</v>
      </c>
      <c r="E1378" s="24" t="str">
        <f t="shared" si="106"/>
        <v>Q4</v>
      </c>
      <c r="F1378" s="24" t="str">
        <f t="shared" si="107"/>
        <v>Oct</v>
      </c>
      <c r="G1378" s="24">
        <f t="shared" si="108"/>
        <v>10</v>
      </c>
      <c r="H1378" s="19">
        <v>1918</v>
      </c>
      <c r="I1378" s="19" t="s">
        <v>3</v>
      </c>
      <c r="J1378" s="19" t="s">
        <v>8</v>
      </c>
      <c r="K1378" s="20">
        <v>7</v>
      </c>
      <c r="L1378" s="21">
        <v>22.4</v>
      </c>
      <c r="M1378" s="22">
        <v>0.35</v>
      </c>
      <c r="N1378" s="21">
        <f t="shared" si="109"/>
        <v>14.559999999999999</v>
      </c>
      <c r="O1378" s="21">
        <v>101.92</v>
      </c>
      <c r="P1378" s="19" t="s">
        <v>4</v>
      </c>
      <c r="Q1378" s="23">
        <v>1</v>
      </c>
      <c r="R1378" s="45">
        <v>2.7</v>
      </c>
    </row>
    <row r="1379" spans="2:18" x14ac:dyDescent="0.2">
      <c r="B1379" s="25">
        <v>1376</v>
      </c>
      <c r="C1379" s="18">
        <v>45206</v>
      </c>
      <c r="D1379" s="24">
        <f t="shared" si="105"/>
        <v>2023</v>
      </c>
      <c r="E1379" s="24" t="str">
        <f t="shared" si="106"/>
        <v>Q4</v>
      </c>
      <c r="F1379" s="24" t="str">
        <f t="shared" si="107"/>
        <v>Oct</v>
      </c>
      <c r="G1379" s="24">
        <f t="shared" si="108"/>
        <v>10</v>
      </c>
      <c r="H1379" s="19">
        <v>1649</v>
      </c>
      <c r="I1379" s="19" t="s">
        <v>7</v>
      </c>
      <c r="J1379" s="19" t="s">
        <v>9</v>
      </c>
      <c r="K1379" s="20">
        <v>3</v>
      </c>
      <c r="L1379" s="21">
        <v>142.09</v>
      </c>
      <c r="M1379" s="22">
        <v>0.28000000000000003</v>
      </c>
      <c r="N1379" s="21">
        <f t="shared" si="109"/>
        <v>102.3048</v>
      </c>
      <c r="O1379" s="21">
        <v>306.91000000000003</v>
      </c>
      <c r="P1379" s="19" t="s">
        <v>6</v>
      </c>
      <c r="Q1379" s="23">
        <v>11</v>
      </c>
      <c r="R1379" s="45">
        <v>4.2</v>
      </c>
    </row>
    <row r="1380" spans="2:18" x14ac:dyDescent="0.2">
      <c r="B1380" s="25">
        <v>1377</v>
      </c>
      <c r="C1380" s="18">
        <v>45207</v>
      </c>
      <c r="D1380" s="24">
        <f t="shared" si="105"/>
        <v>2023</v>
      </c>
      <c r="E1380" s="24" t="str">
        <f t="shared" si="106"/>
        <v>Q4</v>
      </c>
      <c r="F1380" s="24" t="str">
        <f t="shared" si="107"/>
        <v>Oct</v>
      </c>
      <c r="G1380" s="24">
        <f t="shared" si="108"/>
        <v>10</v>
      </c>
      <c r="H1380" s="19">
        <v>1171</v>
      </c>
      <c r="I1380" s="19" t="s">
        <v>7</v>
      </c>
      <c r="J1380" s="19" t="s">
        <v>8</v>
      </c>
      <c r="K1380" s="20">
        <v>6</v>
      </c>
      <c r="L1380" s="21">
        <v>53.11</v>
      </c>
      <c r="M1380" s="22">
        <v>0.28999999999999998</v>
      </c>
      <c r="N1380" s="21">
        <f t="shared" si="109"/>
        <v>37.708100000000002</v>
      </c>
      <c r="O1380" s="21">
        <v>226.25</v>
      </c>
      <c r="P1380" s="19" t="s">
        <v>6</v>
      </c>
      <c r="Q1380" s="23">
        <v>2</v>
      </c>
      <c r="R1380" s="45">
        <v>4.4000000000000004</v>
      </c>
    </row>
    <row r="1381" spans="2:18" x14ac:dyDescent="0.2">
      <c r="B1381" s="25">
        <v>1378</v>
      </c>
      <c r="C1381" s="18">
        <v>45208</v>
      </c>
      <c r="D1381" s="24">
        <f t="shared" si="105"/>
        <v>2023</v>
      </c>
      <c r="E1381" s="24" t="str">
        <f t="shared" si="106"/>
        <v>Q4</v>
      </c>
      <c r="F1381" s="24" t="str">
        <f t="shared" si="107"/>
        <v>Oct</v>
      </c>
      <c r="G1381" s="24">
        <f t="shared" si="108"/>
        <v>10</v>
      </c>
      <c r="H1381" s="19">
        <v>1897</v>
      </c>
      <c r="I1381" s="19" t="s">
        <v>10</v>
      </c>
      <c r="J1381" s="19" t="s">
        <v>5</v>
      </c>
      <c r="K1381" s="20">
        <v>2</v>
      </c>
      <c r="L1381" s="21">
        <v>471.43</v>
      </c>
      <c r="M1381" s="22">
        <v>0.33</v>
      </c>
      <c r="N1381" s="21">
        <f t="shared" si="109"/>
        <v>315.85810000000004</v>
      </c>
      <c r="O1381" s="21">
        <v>631.72</v>
      </c>
      <c r="P1381" s="19" t="s">
        <v>4</v>
      </c>
      <c r="Q1381" s="23">
        <v>6</v>
      </c>
      <c r="R1381" s="45">
        <v>2.8</v>
      </c>
    </row>
    <row r="1382" spans="2:18" x14ac:dyDescent="0.2">
      <c r="B1382" s="25">
        <v>1379</v>
      </c>
      <c r="C1382" s="18">
        <v>45209</v>
      </c>
      <c r="D1382" s="24">
        <f t="shared" si="105"/>
        <v>2023</v>
      </c>
      <c r="E1382" s="24" t="str">
        <f t="shared" si="106"/>
        <v>Q4</v>
      </c>
      <c r="F1382" s="24" t="str">
        <f t="shared" si="107"/>
        <v>Oct</v>
      </c>
      <c r="G1382" s="24">
        <f t="shared" si="108"/>
        <v>10</v>
      </c>
      <c r="H1382" s="19">
        <v>1012</v>
      </c>
      <c r="I1382" s="19" t="s">
        <v>3</v>
      </c>
      <c r="J1382" s="19" t="s">
        <v>9</v>
      </c>
      <c r="K1382" s="20">
        <v>1</v>
      </c>
      <c r="L1382" s="21">
        <v>457.19</v>
      </c>
      <c r="M1382" s="22">
        <v>0.05</v>
      </c>
      <c r="N1382" s="21">
        <f t="shared" si="109"/>
        <v>434.33049999999997</v>
      </c>
      <c r="O1382" s="21">
        <v>434.33</v>
      </c>
      <c r="P1382" s="19" t="s">
        <v>6</v>
      </c>
      <c r="Q1382" s="23">
        <v>2</v>
      </c>
      <c r="R1382" s="45">
        <v>2.2999999999999998</v>
      </c>
    </row>
    <row r="1383" spans="2:18" x14ac:dyDescent="0.2">
      <c r="B1383" s="25">
        <v>1380</v>
      </c>
      <c r="C1383" s="18">
        <v>45210</v>
      </c>
      <c r="D1383" s="24">
        <f t="shared" si="105"/>
        <v>2023</v>
      </c>
      <c r="E1383" s="24" t="str">
        <f t="shared" si="106"/>
        <v>Q4</v>
      </c>
      <c r="F1383" s="24" t="str">
        <f t="shared" si="107"/>
        <v>Oct</v>
      </c>
      <c r="G1383" s="24">
        <f t="shared" si="108"/>
        <v>10</v>
      </c>
      <c r="H1383" s="19">
        <v>1167</v>
      </c>
      <c r="I1383" s="19" t="s">
        <v>7</v>
      </c>
      <c r="J1383" s="19" t="s">
        <v>8</v>
      </c>
      <c r="K1383" s="20">
        <v>4</v>
      </c>
      <c r="L1383" s="21">
        <v>490.98</v>
      </c>
      <c r="M1383" s="22">
        <v>0.17</v>
      </c>
      <c r="N1383" s="21">
        <f t="shared" si="109"/>
        <v>407.51339999999999</v>
      </c>
      <c r="O1383" s="21">
        <v>1630.05</v>
      </c>
      <c r="P1383" s="19" t="s">
        <v>6</v>
      </c>
      <c r="Q1383" s="23">
        <v>1</v>
      </c>
      <c r="R1383" s="45">
        <v>3.8</v>
      </c>
    </row>
    <row r="1384" spans="2:18" x14ac:dyDescent="0.2">
      <c r="B1384" s="25">
        <v>1381</v>
      </c>
      <c r="C1384" s="18">
        <v>45211</v>
      </c>
      <c r="D1384" s="24">
        <f t="shared" si="105"/>
        <v>2023</v>
      </c>
      <c r="E1384" s="24" t="str">
        <f t="shared" si="106"/>
        <v>Q4</v>
      </c>
      <c r="F1384" s="24" t="str">
        <f t="shared" si="107"/>
        <v>Oct</v>
      </c>
      <c r="G1384" s="24">
        <f t="shared" si="108"/>
        <v>10</v>
      </c>
      <c r="H1384" s="19">
        <v>1641</v>
      </c>
      <c r="I1384" s="19" t="s">
        <v>7</v>
      </c>
      <c r="J1384" s="19" t="s">
        <v>8</v>
      </c>
      <c r="K1384" s="20">
        <v>1</v>
      </c>
      <c r="L1384" s="21">
        <v>17.62</v>
      </c>
      <c r="M1384" s="22">
        <v>0.2</v>
      </c>
      <c r="N1384" s="21">
        <f t="shared" si="109"/>
        <v>14.096</v>
      </c>
      <c r="O1384" s="21">
        <v>14.1</v>
      </c>
      <c r="P1384" s="19" t="s">
        <v>6</v>
      </c>
      <c r="Q1384" s="23">
        <v>1</v>
      </c>
      <c r="R1384" s="45">
        <v>4.5999999999999996</v>
      </c>
    </row>
    <row r="1385" spans="2:18" x14ac:dyDescent="0.2">
      <c r="B1385" s="25">
        <v>1382</v>
      </c>
      <c r="C1385" s="18">
        <v>45212</v>
      </c>
      <c r="D1385" s="24">
        <f t="shared" si="105"/>
        <v>2023</v>
      </c>
      <c r="E1385" s="24" t="str">
        <f t="shared" si="106"/>
        <v>Q4</v>
      </c>
      <c r="F1385" s="24" t="str">
        <f t="shared" si="107"/>
        <v>Oct</v>
      </c>
      <c r="G1385" s="24">
        <f t="shared" si="108"/>
        <v>10</v>
      </c>
      <c r="H1385" s="19">
        <v>1595</v>
      </c>
      <c r="I1385" s="19" t="s">
        <v>7</v>
      </c>
      <c r="J1385" s="19" t="s">
        <v>9</v>
      </c>
      <c r="K1385" s="20">
        <v>1</v>
      </c>
      <c r="L1385" s="21">
        <v>308.22000000000003</v>
      </c>
      <c r="M1385" s="22">
        <v>0.12</v>
      </c>
      <c r="N1385" s="21">
        <f t="shared" si="109"/>
        <v>271.23360000000002</v>
      </c>
      <c r="O1385" s="21">
        <v>271.23</v>
      </c>
      <c r="P1385" s="19" t="s">
        <v>6</v>
      </c>
      <c r="Q1385" s="23">
        <v>4</v>
      </c>
      <c r="R1385" s="45">
        <v>4.9000000000000004</v>
      </c>
    </row>
    <row r="1386" spans="2:18" x14ac:dyDescent="0.2">
      <c r="B1386" s="25">
        <v>1383</v>
      </c>
      <c r="C1386" s="18">
        <v>45213</v>
      </c>
      <c r="D1386" s="24">
        <f t="shared" si="105"/>
        <v>2023</v>
      </c>
      <c r="E1386" s="24" t="str">
        <f t="shared" si="106"/>
        <v>Q4</v>
      </c>
      <c r="F1386" s="24" t="str">
        <f t="shared" si="107"/>
        <v>Oct</v>
      </c>
      <c r="G1386" s="24">
        <f t="shared" si="108"/>
        <v>10</v>
      </c>
      <c r="H1386" s="19">
        <v>1320</v>
      </c>
      <c r="I1386" s="19" t="s">
        <v>10</v>
      </c>
      <c r="J1386" s="19" t="s">
        <v>8</v>
      </c>
      <c r="K1386" s="20">
        <v>2</v>
      </c>
      <c r="L1386" s="21">
        <v>427.33</v>
      </c>
      <c r="M1386" s="22">
        <v>0.28999999999999998</v>
      </c>
      <c r="N1386" s="21">
        <f t="shared" si="109"/>
        <v>303.40429999999998</v>
      </c>
      <c r="O1386" s="21">
        <v>606.80999999999995</v>
      </c>
      <c r="P1386" s="19" t="s">
        <v>2</v>
      </c>
      <c r="Q1386" s="23">
        <v>8</v>
      </c>
      <c r="R1386" s="45">
        <v>2.2000000000000002</v>
      </c>
    </row>
    <row r="1387" spans="2:18" x14ac:dyDescent="0.2">
      <c r="B1387" s="25">
        <v>1384</v>
      </c>
      <c r="C1387" s="18">
        <v>45214</v>
      </c>
      <c r="D1387" s="24">
        <f t="shared" si="105"/>
        <v>2023</v>
      </c>
      <c r="E1387" s="24" t="str">
        <f t="shared" si="106"/>
        <v>Q4</v>
      </c>
      <c r="F1387" s="24" t="str">
        <f t="shared" si="107"/>
        <v>Oct</v>
      </c>
      <c r="G1387" s="24">
        <f t="shared" si="108"/>
        <v>10</v>
      </c>
      <c r="H1387" s="19">
        <v>1318</v>
      </c>
      <c r="I1387" s="19" t="s">
        <v>0</v>
      </c>
      <c r="J1387" s="19" t="s">
        <v>1</v>
      </c>
      <c r="K1387" s="20">
        <v>4</v>
      </c>
      <c r="L1387" s="21">
        <v>105.91</v>
      </c>
      <c r="M1387" s="22">
        <v>0.27</v>
      </c>
      <c r="N1387" s="21">
        <f t="shared" si="109"/>
        <v>77.314300000000003</v>
      </c>
      <c r="O1387" s="21">
        <v>309.26</v>
      </c>
      <c r="P1387" s="19" t="s">
        <v>2</v>
      </c>
      <c r="Q1387" s="23">
        <v>6</v>
      </c>
      <c r="R1387" s="45">
        <v>4.8</v>
      </c>
    </row>
    <row r="1388" spans="2:18" x14ac:dyDescent="0.2">
      <c r="B1388" s="25">
        <v>1385</v>
      </c>
      <c r="C1388" s="18">
        <v>45215</v>
      </c>
      <c r="D1388" s="24">
        <f t="shared" si="105"/>
        <v>2023</v>
      </c>
      <c r="E1388" s="24" t="str">
        <f t="shared" si="106"/>
        <v>Q4</v>
      </c>
      <c r="F1388" s="24" t="str">
        <f t="shared" si="107"/>
        <v>Oct</v>
      </c>
      <c r="G1388" s="24">
        <f t="shared" si="108"/>
        <v>10</v>
      </c>
      <c r="H1388" s="19">
        <v>1612</v>
      </c>
      <c r="I1388" s="19" t="s">
        <v>7</v>
      </c>
      <c r="J1388" s="19" t="s">
        <v>5</v>
      </c>
      <c r="K1388" s="20">
        <v>7</v>
      </c>
      <c r="L1388" s="21">
        <v>395.13</v>
      </c>
      <c r="M1388" s="22">
        <v>0.25</v>
      </c>
      <c r="N1388" s="21">
        <f t="shared" si="109"/>
        <v>296.34749999999997</v>
      </c>
      <c r="O1388" s="21">
        <v>2074.4299999999998</v>
      </c>
      <c r="P1388" s="19" t="s">
        <v>6</v>
      </c>
      <c r="Q1388" s="23">
        <v>4</v>
      </c>
      <c r="R1388" s="45">
        <v>3</v>
      </c>
    </row>
    <row r="1389" spans="2:18" x14ac:dyDescent="0.2">
      <c r="B1389" s="25">
        <v>1386</v>
      </c>
      <c r="C1389" s="18">
        <v>45216</v>
      </c>
      <c r="D1389" s="24">
        <f t="shared" si="105"/>
        <v>2023</v>
      </c>
      <c r="E1389" s="24" t="str">
        <f t="shared" si="106"/>
        <v>Q4</v>
      </c>
      <c r="F1389" s="24" t="str">
        <f t="shared" si="107"/>
        <v>Oct</v>
      </c>
      <c r="G1389" s="24">
        <f t="shared" si="108"/>
        <v>10</v>
      </c>
      <c r="H1389" s="19">
        <v>1328</v>
      </c>
      <c r="I1389" s="19" t="s">
        <v>7</v>
      </c>
      <c r="J1389" s="19" t="s">
        <v>5</v>
      </c>
      <c r="K1389" s="20">
        <v>1</v>
      </c>
      <c r="L1389" s="21">
        <v>64.2</v>
      </c>
      <c r="M1389" s="22">
        <v>0.35</v>
      </c>
      <c r="N1389" s="21">
        <f t="shared" si="109"/>
        <v>41.730000000000004</v>
      </c>
      <c r="O1389" s="21">
        <v>41.73</v>
      </c>
      <c r="P1389" s="19" t="s">
        <v>2</v>
      </c>
      <c r="Q1389" s="23">
        <v>6</v>
      </c>
      <c r="R1389" s="45">
        <v>2.2000000000000002</v>
      </c>
    </row>
    <row r="1390" spans="2:18" x14ac:dyDescent="0.2">
      <c r="B1390" s="25">
        <v>1387</v>
      </c>
      <c r="C1390" s="18">
        <v>45217</v>
      </c>
      <c r="D1390" s="24">
        <f t="shared" si="105"/>
        <v>2023</v>
      </c>
      <c r="E1390" s="24" t="str">
        <f t="shared" si="106"/>
        <v>Q4</v>
      </c>
      <c r="F1390" s="24" t="str">
        <f t="shared" si="107"/>
        <v>Oct</v>
      </c>
      <c r="G1390" s="24">
        <f t="shared" si="108"/>
        <v>10</v>
      </c>
      <c r="H1390" s="19">
        <v>1784</v>
      </c>
      <c r="I1390" s="19" t="s">
        <v>0</v>
      </c>
      <c r="J1390" s="19" t="s">
        <v>1</v>
      </c>
      <c r="K1390" s="20">
        <v>2</v>
      </c>
      <c r="L1390" s="21">
        <v>121.08</v>
      </c>
      <c r="M1390" s="22">
        <v>0.09</v>
      </c>
      <c r="N1390" s="21">
        <f t="shared" si="109"/>
        <v>110.1828</v>
      </c>
      <c r="O1390" s="21">
        <v>220.37</v>
      </c>
      <c r="P1390" s="19" t="s">
        <v>4</v>
      </c>
      <c r="Q1390" s="23">
        <v>6</v>
      </c>
      <c r="R1390" s="45">
        <v>5</v>
      </c>
    </row>
    <row r="1391" spans="2:18" x14ac:dyDescent="0.2">
      <c r="B1391" s="25">
        <v>1388</v>
      </c>
      <c r="C1391" s="18">
        <v>45218</v>
      </c>
      <c r="D1391" s="24">
        <f t="shared" si="105"/>
        <v>2023</v>
      </c>
      <c r="E1391" s="24" t="str">
        <f t="shared" si="106"/>
        <v>Q4</v>
      </c>
      <c r="F1391" s="24" t="str">
        <f t="shared" si="107"/>
        <v>Oct</v>
      </c>
      <c r="G1391" s="24">
        <f t="shared" si="108"/>
        <v>10</v>
      </c>
      <c r="H1391" s="19">
        <v>1776</v>
      </c>
      <c r="I1391" s="19" t="s">
        <v>0</v>
      </c>
      <c r="J1391" s="19" t="s">
        <v>8</v>
      </c>
      <c r="K1391" s="20">
        <v>3</v>
      </c>
      <c r="L1391" s="21">
        <v>293.33999999999997</v>
      </c>
      <c r="M1391" s="22">
        <v>0.26</v>
      </c>
      <c r="N1391" s="21">
        <f t="shared" si="109"/>
        <v>217.07159999999999</v>
      </c>
      <c r="O1391" s="21">
        <v>651.21</v>
      </c>
      <c r="P1391" s="19" t="s">
        <v>6</v>
      </c>
      <c r="Q1391" s="23">
        <v>9</v>
      </c>
      <c r="R1391" s="45">
        <v>4.5</v>
      </c>
    </row>
    <row r="1392" spans="2:18" x14ac:dyDescent="0.2">
      <c r="B1392" s="25">
        <v>1389</v>
      </c>
      <c r="C1392" s="18">
        <v>45219</v>
      </c>
      <c r="D1392" s="24">
        <f t="shared" si="105"/>
        <v>2023</v>
      </c>
      <c r="E1392" s="24" t="str">
        <f t="shared" si="106"/>
        <v>Q4</v>
      </c>
      <c r="F1392" s="24" t="str">
        <f t="shared" si="107"/>
        <v>Oct</v>
      </c>
      <c r="G1392" s="24">
        <f t="shared" si="108"/>
        <v>10</v>
      </c>
      <c r="H1392" s="19">
        <v>1970</v>
      </c>
      <c r="I1392" s="19" t="s">
        <v>3</v>
      </c>
      <c r="J1392" s="19" t="s">
        <v>8</v>
      </c>
      <c r="K1392" s="20">
        <v>2</v>
      </c>
      <c r="L1392" s="21">
        <v>397.34</v>
      </c>
      <c r="M1392" s="22">
        <v>0.19</v>
      </c>
      <c r="N1392" s="21">
        <f t="shared" si="109"/>
        <v>321.84539999999998</v>
      </c>
      <c r="O1392" s="21">
        <v>643.69000000000005</v>
      </c>
      <c r="P1392" s="19" t="s">
        <v>4</v>
      </c>
      <c r="Q1392" s="23">
        <v>4</v>
      </c>
      <c r="R1392" s="45">
        <v>3.8</v>
      </c>
    </row>
    <row r="1393" spans="2:18" x14ac:dyDescent="0.2">
      <c r="B1393" s="25">
        <v>1390</v>
      </c>
      <c r="C1393" s="18">
        <v>45220</v>
      </c>
      <c r="D1393" s="24">
        <f t="shared" si="105"/>
        <v>2023</v>
      </c>
      <c r="E1393" s="24" t="str">
        <f t="shared" si="106"/>
        <v>Q4</v>
      </c>
      <c r="F1393" s="24" t="str">
        <f t="shared" si="107"/>
        <v>Oct</v>
      </c>
      <c r="G1393" s="24">
        <f t="shared" si="108"/>
        <v>10</v>
      </c>
      <c r="H1393" s="19">
        <v>1910</v>
      </c>
      <c r="I1393" s="19" t="s">
        <v>7</v>
      </c>
      <c r="J1393" s="19" t="s">
        <v>5</v>
      </c>
      <c r="K1393" s="20">
        <v>5</v>
      </c>
      <c r="L1393" s="21">
        <v>100.33</v>
      </c>
      <c r="M1393" s="22">
        <v>0.11</v>
      </c>
      <c r="N1393" s="21">
        <f t="shared" si="109"/>
        <v>89.293700000000001</v>
      </c>
      <c r="O1393" s="21">
        <v>446.47</v>
      </c>
      <c r="P1393" s="19" t="s">
        <v>4</v>
      </c>
      <c r="Q1393" s="23">
        <v>6</v>
      </c>
      <c r="R1393" s="45">
        <v>4.5999999999999996</v>
      </c>
    </row>
    <row r="1394" spans="2:18" x14ac:dyDescent="0.2">
      <c r="B1394" s="25">
        <v>1391</v>
      </c>
      <c r="C1394" s="18">
        <v>45221</v>
      </c>
      <c r="D1394" s="24">
        <f t="shared" si="105"/>
        <v>2023</v>
      </c>
      <c r="E1394" s="24" t="str">
        <f t="shared" si="106"/>
        <v>Q4</v>
      </c>
      <c r="F1394" s="24" t="str">
        <f t="shared" si="107"/>
        <v>Oct</v>
      </c>
      <c r="G1394" s="24">
        <f t="shared" si="108"/>
        <v>10</v>
      </c>
      <c r="H1394" s="19">
        <v>1919</v>
      </c>
      <c r="I1394" s="19" t="s">
        <v>7</v>
      </c>
      <c r="J1394" s="19" t="s">
        <v>8</v>
      </c>
      <c r="K1394" s="20">
        <v>6</v>
      </c>
      <c r="L1394" s="21">
        <v>123.36</v>
      </c>
      <c r="M1394" s="22">
        <v>0.06</v>
      </c>
      <c r="N1394" s="21">
        <f t="shared" si="109"/>
        <v>115.9584</v>
      </c>
      <c r="O1394" s="21">
        <v>695.75</v>
      </c>
      <c r="P1394" s="19" t="s">
        <v>6</v>
      </c>
      <c r="Q1394" s="23">
        <v>10</v>
      </c>
      <c r="R1394" s="45">
        <v>3.7</v>
      </c>
    </row>
    <row r="1395" spans="2:18" x14ac:dyDescent="0.2">
      <c r="B1395" s="25">
        <v>1392</v>
      </c>
      <c r="C1395" s="18">
        <v>45222</v>
      </c>
      <c r="D1395" s="24">
        <f t="shared" si="105"/>
        <v>2023</v>
      </c>
      <c r="E1395" s="24" t="str">
        <f t="shared" si="106"/>
        <v>Q4</v>
      </c>
      <c r="F1395" s="24" t="str">
        <f t="shared" si="107"/>
        <v>Oct</v>
      </c>
      <c r="G1395" s="24">
        <f t="shared" si="108"/>
        <v>10</v>
      </c>
      <c r="H1395" s="19">
        <v>1549</v>
      </c>
      <c r="I1395" s="19" t="s">
        <v>3</v>
      </c>
      <c r="J1395" s="19" t="s">
        <v>5</v>
      </c>
      <c r="K1395" s="20">
        <v>2</v>
      </c>
      <c r="L1395" s="21">
        <v>134.6</v>
      </c>
      <c r="M1395" s="22">
        <v>0.31</v>
      </c>
      <c r="N1395" s="21">
        <f t="shared" si="109"/>
        <v>92.873999999999995</v>
      </c>
      <c r="O1395" s="21">
        <v>185.75</v>
      </c>
      <c r="P1395" s="19" t="s">
        <v>6</v>
      </c>
      <c r="Q1395" s="23">
        <v>1</v>
      </c>
      <c r="R1395" s="45">
        <v>2.8</v>
      </c>
    </row>
    <row r="1396" spans="2:18" x14ac:dyDescent="0.2">
      <c r="B1396" s="25">
        <v>1393</v>
      </c>
      <c r="C1396" s="18">
        <v>45223</v>
      </c>
      <c r="D1396" s="24">
        <f t="shared" si="105"/>
        <v>2023</v>
      </c>
      <c r="E1396" s="24" t="str">
        <f t="shared" si="106"/>
        <v>Q4</v>
      </c>
      <c r="F1396" s="24" t="str">
        <f t="shared" si="107"/>
        <v>Oct</v>
      </c>
      <c r="G1396" s="24">
        <f t="shared" si="108"/>
        <v>10</v>
      </c>
      <c r="H1396" s="19">
        <v>1418</v>
      </c>
      <c r="I1396" s="19" t="s">
        <v>3</v>
      </c>
      <c r="J1396" s="19" t="s">
        <v>5</v>
      </c>
      <c r="K1396" s="20">
        <v>2</v>
      </c>
      <c r="L1396" s="21">
        <v>154.63999999999999</v>
      </c>
      <c r="M1396" s="22">
        <v>0.21</v>
      </c>
      <c r="N1396" s="21">
        <f t="shared" si="109"/>
        <v>122.16559999999998</v>
      </c>
      <c r="O1396" s="21">
        <v>244.33</v>
      </c>
      <c r="P1396" s="19" t="s">
        <v>4</v>
      </c>
      <c r="Q1396" s="23">
        <v>7</v>
      </c>
      <c r="R1396" s="45">
        <v>4.8</v>
      </c>
    </row>
    <row r="1397" spans="2:18" x14ac:dyDescent="0.2">
      <c r="B1397" s="25">
        <v>1394</v>
      </c>
      <c r="C1397" s="18">
        <v>45224</v>
      </c>
      <c r="D1397" s="24">
        <f t="shared" si="105"/>
        <v>2023</v>
      </c>
      <c r="E1397" s="24" t="str">
        <f t="shared" si="106"/>
        <v>Q4</v>
      </c>
      <c r="F1397" s="24" t="str">
        <f t="shared" si="107"/>
        <v>Oct</v>
      </c>
      <c r="G1397" s="24">
        <f t="shared" si="108"/>
        <v>10</v>
      </c>
      <c r="H1397" s="19">
        <v>1605</v>
      </c>
      <c r="I1397" s="19" t="s">
        <v>7</v>
      </c>
      <c r="J1397" s="19" t="s">
        <v>1</v>
      </c>
      <c r="K1397" s="20">
        <v>2</v>
      </c>
      <c r="L1397" s="21">
        <v>147.53</v>
      </c>
      <c r="M1397" s="22">
        <v>0.28999999999999998</v>
      </c>
      <c r="N1397" s="21">
        <f t="shared" si="109"/>
        <v>104.74630000000001</v>
      </c>
      <c r="O1397" s="21">
        <v>209.49</v>
      </c>
      <c r="P1397" s="19" t="s">
        <v>6</v>
      </c>
      <c r="Q1397" s="23">
        <v>7</v>
      </c>
      <c r="R1397" s="45">
        <v>4.9000000000000004</v>
      </c>
    </row>
    <row r="1398" spans="2:18" x14ac:dyDescent="0.2">
      <c r="B1398" s="25">
        <v>1395</v>
      </c>
      <c r="C1398" s="18">
        <v>45225</v>
      </c>
      <c r="D1398" s="24">
        <f t="shared" si="105"/>
        <v>2023</v>
      </c>
      <c r="E1398" s="24" t="str">
        <f t="shared" si="106"/>
        <v>Q4</v>
      </c>
      <c r="F1398" s="24" t="str">
        <f t="shared" si="107"/>
        <v>Oct</v>
      </c>
      <c r="G1398" s="24">
        <f t="shared" si="108"/>
        <v>10</v>
      </c>
      <c r="H1398" s="19">
        <v>1094</v>
      </c>
      <c r="I1398" s="19" t="s">
        <v>3</v>
      </c>
      <c r="J1398" s="19" t="s">
        <v>5</v>
      </c>
      <c r="K1398" s="20">
        <v>7</v>
      </c>
      <c r="L1398" s="21">
        <v>246.16</v>
      </c>
      <c r="M1398" s="22">
        <v>0.19</v>
      </c>
      <c r="N1398" s="21">
        <f t="shared" si="109"/>
        <v>199.3896</v>
      </c>
      <c r="O1398" s="21">
        <v>1395.73</v>
      </c>
      <c r="P1398" s="19" t="s">
        <v>6</v>
      </c>
      <c r="Q1398" s="23">
        <v>11</v>
      </c>
      <c r="R1398" s="45">
        <v>2.2999999999999998</v>
      </c>
    </row>
    <row r="1399" spans="2:18" x14ac:dyDescent="0.2">
      <c r="B1399" s="25">
        <v>1396</v>
      </c>
      <c r="C1399" s="18">
        <v>45226</v>
      </c>
      <c r="D1399" s="24">
        <f t="shared" si="105"/>
        <v>2023</v>
      </c>
      <c r="E1399" s="24" t="str">
        <f t="shared" si="106"/>
        <v>Q4</v>
      </c>
      <c r="F1399" s="24" t="str">
        <f t="shared" si="107"/>
        <v>Oct</v>
      </c>
      <c r="G1399" s="24">
        <f t="shared" si="108"/>
        <v>10</v>
      </c>
      <c r="H1399" s="19">
        <v>1816</v>
      </c>
      <c r="I1399" s="19" t="s">
        <v>7</v>
      </c>
      <c r="J1399" s="19" t="s">
        <v>8</v>
      </c>
      <c r="K1399" s="20">
        <v>1</v>
      </c>
      <c r="L1399" s="21">
        <v>397.47</v>
      </c>
      <c r="M1399" s="22">
        <v>0.08</v>
      </c>
      <c r="N1399" s="21">
        <f t="shared" si="109"/>
        <v>365.67240000000004</v>
      </c>
      <c r="O1399" s="21">
        <v>365.67</v>
      </c>
      <c r="P1399" s="19" t="s">
        <v>4</v>
      </c>
      <c r="Q1399" s="23">
        <v>1</v>
      </c>
      <c r="R1399" s="45">
        <v>2.4</v>
      </c>
    </row>
    <row r="1400" spans="2:18" x14ac:dyDescent="0.2">
      <c r="B1400" s="25">
        <v>1397</v>
      </c>
      <c r="C1400" s="18">
        <v>45227</v>
      </c>
      <c r="D1400" s="24">
        <f t="shared" si="105"/>
        <v>2023</v>
      </c>
      <c r="E1400" s="24" t="str">
        <f t="shared" si="106"/>
        <v>Q4</v>
      </c>
      <c r="F1400" s="24" t="str">
        <f t="shared" si="107"/>
        <v>Oct</v>
      </c>
      <c r="G1400" s="24">
        <f t="shared" si="108"/>
        <v>10</v>
      </c>
      <c r="H1400" s="19">
        <v>1580</v>
      </c>
      <c r="I1400" s="19" t="s">
        <v>10</v>
      </c>
      <c r="J1400" s="19" t="s">
        <v>8</v>
      </c>
      <c r="K1400" s="20">
        <v>7</v>
      </c>
      <c r="L1400" s="21">
        <v>271.25</v>
      </c>
      <c r="M1400" s="22">
        <v>0.12</v>
      </c>
      <c r="N1400" s="21">
        <f t="shared" si="109"/>
        <v>238.7</v>
      </c>
      <c r="O1400" s="21">
        <v>1670.9</v>
      </c>
      <c r="P1400" s="19" t="s">
        <v>4</v>
      </c>
      <c r="Q1400" s="23">
        <v>8</v>
      </c>
      <c r="R1400" s="45">
        <v>2.5</v>
      </c>
    </row>
    <row r="1401" spans="2:18" x14ac:dyDescent="0.2">
      <c r="B1401" s="25">
        <v>1398</v>
      </c>
      <c r="C1401" s="18">
        <v>45228</v>
      </c>
      <c r="D1401" s="24">
        <f t="shared" si="105"/>
        <v>2023</v>
      </c>
      <c r="E1401" s="24" t="str">
        <f t="shared" si="106"/>
        <v>Q4</v>
      </c>
      <c r="F1401" s="24" t="str">
        <f t="shared" si="107"/>
        <v>Oct</v>
      </c>
      <c r="G1401" s="24">
        <f t="shared" si="108"/>
        <v>10</v>
      </c>
      <c r="H1401" s="19">
        <v>1317</v>
      </c>
      <c r="I1401" s="19" t="s">
        <v>7</v>
      </c>
      <c r="J1401" s="19" t="s">
        <v>9</v>
      </c>
      <c r="K1401" s="20">
        <v>4</v>
      </c>
      <c r="L1401" s="21">
        <v>468.94</v>
      </c>
      <c r="M1401" s="22">
        <v>0.13</v>
      </c>
      <c r="N1401" s="21">
        <f t="shared" si="109"/>
        <v>407.9778</v>
      </c>
      <c r="O1401" s="21">
        <v>1631.91</v>
      </c>
      <c r="P1401" s="19" t="s">
        <v>4</v>
      </c>
      <c r="Q1401" s="23">
        <v>5</v>
      </c>
      <c r="R1401" s="45">
        <v>4.3</v>
      </c>
    </row>
    <row r="1402" spans="2:18" x14ac:dyDescent="0.2">
      <c r="B1402" s="25">
        <v>1399</v>
      </c>
      <c r="C1402" s="18">
        <v>45229</v>
      </c>
      <c r="D1402" s="24">
        <f t="shared" si="105"/>
        <v>2023</v>
      </c>
      <c r="E1402" s="24" t="str">
        <f t="shared" si="106"/>
        <v>Q4</v>
      </c>
      <c r="F1402" s="24" t="str">
        <f t="shared" si="107"/>
        <v>Oct</v>
      </c>
      <c r="G1402" s="24">
        <f t="shared" si="108"/>
        <v>10</v>
      </c>
      <c r="H1402" s="19">
        <v>1955</v>
      </c>
      <c r="I1402" s="19" t="s">
        <v>7</v>
      </c>
      <c r="J1402" s="19" t="s">
        <v>8</v>
      </c>
      <c r="K1402" s="20">
        <v>2</v>
      </c>
      <c r="L1402" s="21">
        <v>435.77</v>
      </c>
      <c r="M1402" s="22">
        <v>0.34</v>
      </c>
      <c r="N1402" s="21">
        <f t="shared" si="109"/>
        <v>287.60820000000001</v>
      </c>
      <c r="O1402" s="21">
        <v>575.22</v>
      </c>
      <c r="P1402" s="19" t="s">
        <v>4</v>
      </c>
      <c r="Q1402" s="23">
        <v>9</v>
      </c>
      <c r="R1402" s="45">
        <v>4.2</v>
      </c>
    </row>
    <row r="1403" spans="2:18" x14ac:dyDescent="0.2">
      <c r="B1403" s="25">
        <v>1400</v>
      </c>
      <c r="C1403" s="18">
        <v>45230</v>
      </c>
      <c r="D1403" s="24">
        <f t="shared" si="105"/>
        <v>2023</v>
      </c>
      <c r="E1403" s="24" t="str">
        <f t="shared" si="106"/>
        <v>Q4</v>
      </c>
      <c r="F1403" s="24" t="str">
        <f t="shared" si="107"/>
        <v>Oct</v>
      </c>
      <c r="G1403" s="24">
        <f t="shared" si="108"/>
        <v>10</v>
      </c>
      <c r="H1403" s="19">
        <v>1235</v>
      </c>
      <c r="I1403" s="19" t="s">
        <v>3</v>
      </c>
      <c r="J1403" s="19" t="s">
        <v>9</v>
      </c>
      <c r="K1403" s="20">
        <v>2</v>
      </c>
      <c r="L1403" s="21">
        <v>89.02</v>
      </c>
      <c r="M1403" s="22">
        <v>0</v>
      </c>
      <c r="N1403" s="21">
        <f t="shared" si="109"/>
        <v>89.02</v>
      </c>
      <c r="O1403" s="21">
        <v>178.04</v>
      </c>
      <c r="P1403" s="19" t="s">
        <v>6</v>
      </c>
      <c r="Q1403" s="23">
        <v>8</v>
      </c>
      <c r="R1403" s="45">
        <v>4.9000000000000004</v>
      </c>
    </row>
    <row r="1404" spans="2:18" x14ac:dyDescent="0.2">
      <c r="B1404" s="25">
        <v>1401</v>
      </c>
      <c r="C1404" s="18">
        <v>45231</v>
      </c>
      <c r="D1404" s="24">
        <f t="shared" si="105"/>
        <v>2023</v>
      </c>
      <c r="E1404" s="24" t="str">
        <f t="shared" si="106"/>
        <v>Q4</v>
      </c>
      <c r="F1404" s="24" t="str">
        <f t="shared" si="107"/>
        <v>Nov</v>
      </c>
      <c r="G1404" s="24">
        <f t="shared" si="108"/>
        <v>11</v>
      </c>
      <c r="H1404" s="19">
        <v>1945</v>
      </c>
      <c r="I1404" s="19" t="s">
        <v>3</v>
      </c>
      <c r="J1404" s="19" t="s">
        <v>5</v>
      </c>
      <c r="K1404" s="20">
        <v>5</v>
      </c>
      <c r="L1404" s="21">
        <v>43.57</v>
      </c>
      <c r="M1404" s="22">
        <v>0.34</v>
      </c>
      <c r="N1404" s="21">
        <f t="shared" si="109"/>
        <v>28.7562</v>
      </c>
      <c r="O1404" s="21">
        <v>143.78</v>
      </c>
      <c r="P1404" s="19" t="s">
        <v>4</v>
      </c>
      <c r="Q1404" s="23">
        <v>3</v>
      </c>
      <c r="R1404" s="45">
        <v>2.9</v>
      </c>
    </row>
    <row r="1405" spans="2:18" x14ac:dyDescent="0.2">
      <c r="B1405" s="25">
        <v>1402</v>
      </c>
      <c r="C1405" s="18">
        <v>45232</v>
      </c>
      <c r="D1405" s="24">
        <f t="shared" si="105"/>
        <v>2023</v>
      </c>
      <c r="E1405" s="24" t="str">
        <f t="shared" si="106"/>
        <v>Q4</v>
      </c>
      <c r="F1405" s="24" t="str">
        <f t="shared" si="107"/>
        <v>Nov</v>
      </c>
      <c r="G1405" s="24">
        <f t="shared" si="108"/>
        <v>11</v>
      </c>
      <c r="H1405" s="19">
        <v>1333</v>
      </c>
      <c r="I1405" s="19" t="s">
        <v>0</v>
      </c>
      <c r="J1405" s="19" t="s">
        <v>8</v>
      </c>
      <c r="K1405" s="20">
        <v>5</v>
      </c>
      <c r="L1405" s="21">
        <v>528.6</v>
      </c>
      <c r="M1405" s="22">
        <v>0.34</v>
      </c>
      <c r="N1405" s="21">
        <f t="shared" si="109"/>
        <v>348.87599999999998</v>
      </c>
      <c r="O1405" s="21">
        <v>1744.38</v>
      </c>
      <c r="P1405" s="19" t="s">
        <v>4</v>
      </c>
      <c r="Q1405" s="23">
        <v>1</v>
      </c>
      <c r="R1405" s="45">
        <v>3.9</v>
      </c>
    </row>
    <row r="1406" spans="2:18" x14ac:dyDescent="0.2">
      <c r="B1406" s="25">
        <v>1403</v>
      </c>
      <c r="C1406" s="18">
        <v>45233</v>
      </c>
      <c r="D1406" s="24">
        <f t="shared" si="105"/>
        <v>2023</v>
      </c>
      <c r="E1406" s="24" t="str">
        <f t="shared" si="106"/>
        <v>Q4</v>
      </c>
      <c r="F1406" s="24" t="str">
        <f t="shared" si="107"/>
        <v>Nov</v>
      </c>
      <c r="G1406" s="24">
        <f t="shared" si="108"/>
        <v>11</v>
      </c>
      <c r="H1406" s="19">
        <v>1884</v>
      </c>
      <c r="I1406" s="19" t="s">
        <v>3</v>
      </c>
      <c r="J1406" s="19" t="s">
        <v>1</v>
      </c>
      <c r="K1406" s="20">
        <v>3</v>
      </c>
      <c r="L1406" s="21">
        <v>61.7</v>
      </c>
      <c r="M1406" s="22">
        <v>0.35</v>
      </c>
      <c r="N1406" s="21">
        <f t="shared" si="109"/>
        <v>40.105000000000004</v>
      </c>
      <c r="O1406" s="21">
        <v>120.32</v>
      </c>
      <c r="P1406" s="19" t="s">
        <v>6</v>
      </c>
      <c r="Q1406" s="23">
        <v>3</v>
      </c>
      <c r="R1406" s="45">
        <v>4.4000000000000004</v>
      </c>
    </row>
    <row r="1407" spans="2:18" x14ac:dyDescent="0.2">
      <c r="B1407" s="25">
        <v>1404</v>
      </c>
      <c r="C1407" s="18">
        <v>45234</v>
      </c>
      <c r="D1407" s="24">
        <f t="shared" si="105"/>
        <v>2023</v>
      </c>
      <c r="E1407" s="24" t="str">
        <f t="shared" si="106"/>
        <v>Q4</v>
      </c>
      <c r="F1407" s="24" t="str">
        <f t="shared" si="107"/>
        <v>Nov</v>
      </c>
      <c r="G1407" s="24">
        <f t="shared" si="108"/>
        <v>11</v>
      </c>
      <c r="H1407" s="19">
        <v>1375</v>
      </c>
      <c r="I1407" s="19" t="s">
        <v>7</v>
      </c>
      <c r="J1407" s="19" t="s">
        <v>1</v>
      </c>
      <c r="K1407" s="20">
        <v>3</v>
      </c>
      <c r="L1407" s="21">
        <v>101.78</v>
      </c>
      <c r="M1407" s="22">
        <v>0.17</v>
      </c>
      <c r="N1407" s="21">
        <f t="shared" si="109"/>
        <v>84.477400000000003</v>
      </c>
      <c r="O1407" s="21">
        <v>253.43</v>
      </c>
      <c r="P1407" s="19" t="s">
        <v>6</v>
      </c>
      <c r="Q1407" s="23">
        <v>2</v>
      </c>
      <c r="R1407" s="45">
        <v>1.9</v>
      </c>
    </row>
    <row r="1408" spans="2:18" x14ac:dyDescent="0.2">
      <c r="B1408" s="25">
        <v>1405</v>
      </c>
      <c r="C1408" s="18">
        <v>45235</v>
      </c>
      <c r="D1408" s="24">
        <f t="shared" si="105"/>
        <v>2023</v>
      </c>
      <c r="E1408" s="24" t="str">
        <f t="shared" si="106"/>
        <v>Q4</v>
      </c>
      <c r="F1408" s="24" t="str">
        <f t="shared" si="107"/>
        <v>Nov</v>
      </c>
      <c r="G1408" s="24">
        <f t="shared" si="108"/>
        <v>11</v>
      </c>
      <c r="H1408" s="19">
        <v>1458</v>
      </c>
      <c r="I1408" s="19" t="s">
        <v>10</v>
      </c>
      <c r="J1408" s="19" t="s">
        <v>1</v>
      </c>
      <c r="K1408" s="20">
        <v>5</v>
      </c>
      <c r="L1408" s="21">
        <v>27.95</v>
      </c>
      <c r="M1408" s="22">
        <v>0.34</v>
      </c>
      <c r="N1408" s="21">
        <f t="shared" si="109"/>
        <v>18.446999999999999</v>
      </c>
      <c r="O1408" s="21">
        <v>92.23</v>
      </c>
      <c r="P1408" s="19" t="s">
        <v>4</v>
      </c>
      <c r="Q1408" s="23">
        <v>2</v>
      </c>
      <c r="R1408" s="45">
        <v>3.5</v>
      </c>
    </row>
    <row r="1409" spans="2:18" x14ac:dyDescent="0.2">
      <c r="B1409" s="25">
        <v>1406</v>
      </c>
      <c r="C1409" s="18">
        <v>45236</v>
      </c>
      <c r="D1409" s="24">
        <f t="shared" si="105"/>
        <v>2023</v>
      </c>
      <c r="E1409" s="24" t="str">
        <f t="shared" si="106"/>
        <v>Q4</v>
      </c>
      <c r="F1409" s="24" t="str">
        <f t="shared" si="107"/>
        <v>Nov</v>
      </c>
      <c r="G1409" s="24">
        <f t="shared" si="108"/>
        <v>11</v>
      </c>
      <c r="H1409" s="19">
        <v>1136</v>
      </c>
      <c r="I1409" s="19" t="s">
        <v>7</v>
      </c>
      <c r="J1409" s="19" t="s">
        <v>5</v>
      </c>
      <c r="K1409" s="20">
        <v>4</v>
      </c>
      <c r="L1409" s="21">
        <v>382.58</v>
      </c>
      <c r="M1409" s="22">
        <v>0.14000000000000001</v>
      </c>
      <c r="N1409" s="21">
        <f t="shared" si="109"/>
        <v>329.0188</v>
      </c>
      <c r="O1409" s="21">
        <v>1316.08</v>
      </c>
      <c r="P1409" s="19" t="s">
        <v>4</v>
      </c>
      <c r="Q1409" s="23">
        <v>11</v>
      </c>
      <c r="R1409" s="45">
        <v>3.2</v>
      </c>
    </row>
    <row r="1410" spans="2:18" x14ac:dyDescent="0.2">
      <c r="B1410" s="25">
        <v>1407</v>
      </c>
      <c r="C1410" s="18">
        <v>45237</v>
      </c>
      <c r="D1410" s="24">
        <f t="shared" si="105"/>
        <v>2023</v>
      </c>
      <c r="E1410" s="24" t="str">
        <f t="shared" si="106"/>
        <v>Q4</v>
      </c>
      <c r="F1410" s="24" t="str">
        <f t="shared" si="107"/>
        <v>Nov</v>
      </c>
      <c r="G1410" s="24">
        <f t="shared" si="108"/>
        <v>11</v>
      </c>
      <c r="H1410" s="19">
        <v>1929</v>
      </c>
      <c r="I1410" s="19" t="s">
        <v>0</v>
      </c>
      <c r="J1410" s="19" t="s">
        <v>5</v>
      </c>
      <c r="K1410" s="20">
        <v>3</v>
      </c>
      <c r="L1410" s="21">
        <v>355.69</v>
      </c>
      <c r="M1410" s="22">
        <v>0.01</v>
      </c>
      <c r="N1410" s="21">
        <f t="shared" si="109"/>
        <v>352.13310000000001</v>
      </c>
      <c r="O1410" s="21">
        <v>1056.4000000000001</v>
      </c>
      <c r="P1410" s="19" t="s">
        <v>4</v>
      </c>
      <c r="Q1410" s="23">
        <v>4</v>
      </c>
      <c r="R1410" s="45">
        <v>4</v>
      </c>
    </row>
    <row r="1411" spans="2:18" x14ac:dyDescent="0.2">
      <c r="B1411" s="25">
        <v>1408</v>
      </c>
      <c r="C1411" s="18">
        <v>45238</v>
      </c>
      <c r="D1411" s="24">
        <f t="shared" si="105"/>
        <v>2023</v>
      </c>
      <c r="E1411" s="24" t="str">
        <f t="shared" si="106"/>
        <v>Q4</v>
      </c>
      <c r="F1411" s="24" t="str">
        <f t="shared" si="107"/>
        <v>Nov</v>
      </c>
      <c r="G1411" s="24">
        <f t="shared" si="108"/>
        <v>11</v>
      </c>
      <c r="H1411" s="19">
        <v>1587</v>
      </c>
      <c r="I1411" s="19" t="s">
        <v>3</v>
      </c>
      <c r="J1411" s="19" t="s">
        <v>9</v>
      </c>
      <c r="K1411" s="20">
        <v>6</v>
      </c>
      <c r="L1411" s="21">
        <v>592.34</v>
      </c>
      <c r="M1411" s="22">
        <v>0.08</v>
      </c>
      <c r="N1411" s="21">
        <f t="shared" si="109"/>
        <v>544.95280000000002</v>
      </c>
      <c r="O1411" s="21">
        <v>3269.72</v>
      </c>
      <c r="P1411" s="19" t="s">
        <v>6</v>
      </c>
      <c r="Q1411" s="23">
        <v>2</v>
      </c>
      <c r="R1411" s="45">
        <v>3.8</v>
      </c>
    </row>
    <row r="1412" spans="2:18" x14ac:dyDescent="0.2">
      <c r="B1412" s="25">
        <v>1409</v>
      </c>
      <c r="C1412" s="18">
        <v>45239</v>
      </c>
      <c r="D1412" s="24">
        <f t="shared" ref="D1412:D1475" si="110">YEAR(C1412)</f>
        <v>2023</v>
      </c>
      <c r="E1412" s="24" t="str">
        <f t="shared" ref="E1412:E1475" si="111">"Q"&amp;ROUNDUP(MONTH(C1412)/3,0)</f>
        <v>Q4</v>
      </c>
      <c r="F1412" s="24" t="str">
        <f t="shared" ref="F1412:F1475" si="112">TEXT(C1412,"mmm")</f>
        <v>Nov</v>
      </c>
      <c r="G1412" s="24">
        <f t="shared" ref="G1412:G1475" si="113">MONTH(C1412)</f>
        <v>11</v>
      </c>
      <c r="H1412" s="19">
        <v>1994</v>
      </c>
      <c r="I1412" s="19" t="s">
        <v>3</v>
      </c>
      <c r="J1412" s="19" t="s">
        <v>1</v>
      </c>
      <c r="K1412" s="20">
        <v>6</v>
      </c>
      <c r="L1412" s="21">
        <v>533.86</v>
      </c>
      <c r="M1412" s="22">
        <v>0.33</v>
      </c>
      <c r="N1412" s="21">
        <f t="shared" si="109"/>
        <v>357.68619999999999</v>
      </c>
      <c r="O1412" s="21">
        <v>2146.12</v>
      </c>
      <c r="P1412" s="19" t="s">
        <v>2</v>
      </c>
      <c r="Q1412" s="23">
        <v>8</v>
      </c>
      <c r="R1412" s="45">
        <v>4.3</v>
      </c>
    </row>
    <row r="1413" spans="2:18" x14ac:dyDescent="0.2">
      <c r="B1413" s="25">
        <v>1410</v>
      </c>
      <c r="C1413" s="18">
        <v>45240</v>
      </c>
      <c r="D1413" s="24">
        <f t="shared" si="110"/>
        <v>2023</v>
      </c>
      <c r="E1413" s="24" t="str">
        <f t="shared" si="111"/>
        <v>Q4</v>
      </c>
      <c r="F1413" s="24" t="str">
        <f t="shared" si="112"/>
        <v>Nov</v>
      </c>
      <c r="G1413" s="24">
        <f t="shared" si="113"/>
        <v>11</v>
      </c>
      <c r="H1413" s="19">
        <v>1546</v>
      </c>
      <c r="I1413" s="19" t="s">
        <v>7</v>
      </c>
      <c r="J1413" s="19" t="s">
        <v>9</v>
      </c>
      <c r="K1413" s="20">
        <v>4</v>
      </c>
      <c r="L1413" s="21">
        <v>255.34</v>
      </c>
      <c r="M1413" s="22">
        <v>0</v>
      </c>
      <c r="N1413" s="21">
        <f t="shared" ref="N1413:N1476" si="114">L1413-(L1413*M1413)</f>
        <v>255.34</v>
      </c>
      <c r="O1413" s="21">
        <v>1021.36</v>
      </c>
      <c r="P1413" s="19" t="s">
        <v>6</v>
      </c>
      <c r="Q1413" s="23">
        <v>5</v>
      </c>
      <c r="R1413" s="45">
        <v>2.2000000000000002</v>
      </c>
    </row>
    <row r="1414" spans="2:18" x14ac:dyDescent="0.2">
      <c r="B1414" s="25">
        <v>1411</v>
      </c>
      <c r="C1414" s="18">
        <v>45241</v>
      </c>
      <c r="D1414" s="24">
        <f t="shared" si="110"/>
        <v>2023</v>
      </c>
      <c r="E1414" s="24" t="str">
        <f t="shared" si="111"/>
        <v>Q4</v>
      </c>
      <c r="F1414" s="24" t="str">
        <f t="shared" si="112"/>
        <v>Nov</v>
      </c>
      <c r="G1414" s="24">
        <f t="shared" si="113"/>
        <v>11</v>
      </c>
      <c r="H1414" s="19">
        <v>1512</v>
      </c>
      <c r="I1414" s="19" t="s">
        <v>3</v>
      </c>
      <c r="J1414" s="19" t="s">
        <v>9</v>
      </c>
      <c r="K1414" s="20">
        <v>5</v>
      </c>
      <c r="L1414" s="21">
        <v>232.38</v>
      </c>
      <c r="M1414" s="22">
        <v>0.19</v>
      </c>
      <c r="N1414" s="21">
        <f t="shared" si="114"/>
        <v>188.2278</v>
      </c>
      <c r="O1414" s="21">
        <v>941.14</v>
      </c>
      <c r="P1414" s="19" t="s">
        <v>4</v>
      </c>
      <c r="Q1414" s="23">
        <v>1</v>
      </c>
      <c r="R1414" s="45">
        <v>1.9</v>
      </c>
    </row>
    <row r="1415" spans="2:18" x14ac:dyDescent="0.2">
      <c r="B1415" s="25">
        <v>1412</v>
      </c>
      <c r="C1415" s="18">
        <v>45242</v>
      </c>
      <c r="D1415" s="24">
        <f t="shared" si="110"/>
        <v>2023</v>
      </c>
      <c r="E1415" s="24" t="str">
        <f t="shared" si="111"/>
        <v>Q4</v>
      </c>
      <c r="F1415" s="24" t="str">
        <f t="shared" si="112"/>
        <v>Nov</v>
      </c>
      <c r="G1415" s="24">
        <f t="shared" si="113"/>
        <v>11</v>
      </c>
      <c r="H1415" s="19">
        <v>1295</v>
      </c>
      <c r="I1415" s="19" t="s">
        <v>10</v>
      </c>
      <c r="J1415" s="19" t="s">
        <v>8</v>
      </c>
      <c r="K1415" s="20">
        <v>3</v>
      </c>
      <c r="L1415" s="21">
        <v>188.66</v>
      </c>
      <c r="M1415" s="22">
        <v>0.03</v>
      </c>
      <c r="N1415" s="21">
        <f t="shared" si="114"/>
        <v>183.00020000000001</v>
      </c>
      <c r="O1415" s="21">
        <v>549</v>
      </c>
      <c r="P1415" s="19" t="s">
        <v>6</v>
      </c>
      <c r="Q1415" s="23">
        <v>6</v>
      </c>
      <c r="R1415" s="45">
        <v>4.2</v>
      </c>
    </row>
    <row r="1416" spans="2:18" x14ac:dyDescent="0.2">
      <c r="B1416" s="25">
        <v>1413</v>
      </c>
      <c r="C1416" s="18">
        <v>45243</v>
      </c>
      <c r="D1416" s="24">
        <f t="shared" si="110"/>
        <v>2023</v>
      </c>
      <c r="E1416" s="24" t="str">
        <f t="shared" si="111"/>
        <v>Q4</v>
      </c>
      <c r="F1416" s="24" t="str">
        <f t="shared" si="112"/>
        <v>Nov</v>
      </c>
      <c r="G1416" s="24">
        <f t="shared" si="113"/>
        <v>11</v>
      </c>
      <c r="H1416" s="19">
        <v>1319</v>
      </c>
      <c r="I1416" s="19" t="s">
        <v>10</v>
      </c>
      <c r="J1416" s="19" t="s">
        <v>8</v>
      </c>
      <c r="K1416" s="20">
        <v>2</v>
      </c>
      <c r="L1416" s="21">
        <v>104.16</v>
      </c>
      <c r="M1416" s="22">
        <v>0.1</v>
      </c>
      <c r="N1416" s="21">
        <f t="shared" si="114"/>
        <v>93.744</v>
      </c>
      <c r="O1416" s="21">
        <v>187.49</v>
      </c>
      <c r="P1416" s="19" t="s">
        <v>4</v>
      </c>
      <c r="Q1416" s="23">
        <v>7</v>
      </c>
      <c r="R1416" s="45">
        <v>2.4</v>
      </c>
    </row>
    <row r="1417" spans="2:18" x14ac:dyDescent="0.2">
      <c r="B1417" s="25">
        <v>1414</v>
      </c>
      <c r="C1417" s="18">
        <v>45244</v>
      </c>
      <c r="D1417" s="24">
        <f t="shared" si="110"/>
        <v>2023</v>
      </c>
      <c r="E1417" s="24" t="str">
        <f t="shared" si="111"/>
        <v>Q4</v>
      </c>
      <c r="F1417" s="24" t="str">
        <f t="shared" si="112"/>
        <v>Nov</v>
      </c>
      <c r="G1417" s="24">
        <f t="shared" si="113"/>
        <v>11</v>
      </c>
      <c r="H1417" s="19">
        <v>1917</v>
      </c>
      <c r="I1417" s="19" t="s">
        <v>7</v>
      </c>
      <c r="J1417" s="19" t="s">
        <v>1</v>
      </c>
      <c r="K1417" s="20">
        <v>5</v>
      </c>
      <c r="L1417" s="21">
        <v>95.78</v>
      </c>
      <c r="M1417" s="22">
        <v>0.03</v>
      </c>
      <c r="N1417" s="21">
        <f t="shared" si="114"/>
        <v>92.906599999999997</v>
      </c>
      <c r="O1417" s="21">
        <v>464.53</v>
      </c>
      <c r="P1417" s="19" t="s">
        <v>4</v>
      </c>
      <c r="Q1417" s="23">
        <v>1</v>
      </c>
      <c r="R1417" s="45">
        <v>2.2000000000000002</v>
      </c>
    </row>
    <row r="1418" spans="2:18" x14ac:dyDescent="0.2">
      <c r="B1418" s="25">
        <v>1415</v>
      </c>
      <c r="C1418" s="18">
        <v>45245</v>
      </c>
      <c r="D1418" s="24">
        <f t="shared" si="110"/>
        <v>2023</v>
      </c>
      <c r="E1418" s="24" t="str">
        <f t="shared" si="111"/>
        <v>Q4</v>
      </c>
      <c r="F1418" s="24" t="str">
        <f t="shared" si="112"/>
        <v>Nov</v>
      </c>
      <c r="G1418" s="24">
        <f t="shared" si="113"/>
        <v>11</v>
      </c>
      <c r="H1418" s="19">
        <v>1571</v>
      </c>
      <c r="I1418" s="19" t="s">
        <v>7</v>
      </c>
      <c r="J1418" s="19" t="s">
        <v>5</v>
      </c>
      <c r="K1418" s="20">
        <v>3</v>
      </c>
      <c r="L1418" s="21">
        <v>92.39</v>
      </c>
      <c r="M1418" s="22">
        <v>0.3</v>
      </c>
      <c r="N1418" s="21">
        <f t="shared" si="114"/>
        <v>64.673000000000002</v>
      </c>
      <c r="O1418" s="21">
        <v>194.02</v>
      </c>
      <c r="P1418" s="19" t="s">
        <v>4</v>
      </c>
      <c r="Q1418" s="23">
        <v>3</v>
      </c>
      <c r="R1418" s="45">
        <v>2.2999999999999998</v>
      </c>
    </row>
    <row r="1419" spans="2:18" x14ac:dyDescent="0.2">
      <c r="B1419" s="25">
        <v>1416</v>
      </c>
      <c r="C1419" s="18">
        <v>45246</v>
      </c>
      <c r="D1419" s="24">
        <f t="shared" si="110"/>
        <v>2023</v>
      </c>
      <c r="E1419" s="24" t="str">
        <f t="shared" si="111"/>
        <v>Q4</v>
      </c>
      <c r="F1419" s="24" t="str">
        <f t="shared" si="112"/>
        <v>Nov</v>
      </c>
      <c r="G1419" s="24">
        <f t="shared" si="113"/>
        <v>11</v>
      </c>
      <c r="H1419" s="19">
        <v>1831</v>
      </c>
      <c r="I1419" s="19" t="s">
        <v>10</v>
      </c>
      <c r="J1419" s="19" t="s">
        <v>8</v>
      </c>
      <c r="K1419" s="20">
        <v>4</v>
      </c>
      <c r="L1419" s="21">
        <v>81.760000000000005</v>
      </c>
      <c r="M1419" s="22">
        <v>0.21</v>
      </c>
      <c r="N1419" s="21">
        <f t="shared" si="114"/>
        <v>64.590400000000002</v>
      </c>
      <c r="O1419" s="21">
        <v>258.36</v>
      </c>
      <c r="P1419" s="19" t="s">
        <v>6</v>
      </c>
      <c r="Q1419" s="23">
        <v>9</v>
      </c>
      <c r="R1419" s="45">
        <v>1.3</v>
      </c>
    </row>
    <row r="1420" spans="2:18" x14ac:dyDescent="0.2">
      <c r="B1420" s="25">
        <v>1417</v>
      </c>
      <c r="C1420" s="18">
        <v>45247</v>
      </c>
      <c r="D1420" s="24">
        <f t="shared" si="110"/>
        <v>2023</v>
      </c>
      <c r="E1420" s="24" t="str">
        <f t="shared" si="111"/>
        <v>Q4</v>
      </c>
      <c r="F1420" s="24" t="str">
        <f t="shared" si="112"/>
        <v>Nov</v>
      </c>
      <c r="G1420" s="24">
        <f t="shared" si="113"/>
        <v>11</v>
      </c>
      <c r="H1420" s="19">
        <v>1348</v>
      </c>
      <c r="I1420" s="19" t="s">
        <v>0</v>
      </c>
      <c r="J1420" s="19" t="s">
        <v>5</v>
      </c>
      <c r="K1420" s="20">
        <v>6</v>
      </c>
      <c r="L1420" s="21">
        <v>155.69999999999999</v>
      </c>
      <c r="M1420" s="22">
        <v>0.32</v>
      </c>
      <c r="N1420" s="21">
        <f t="shared" si="114"/>
        <v>105.87599999999999</v>
      </c>
      <c r="O1420" s="21">
        <v>635.26</v>
      </c>
      <c r="P1420" s="19" t="s">
        <v>6</v>
      </c>
      <c r="Q1420" s="23">
        <v>7</v>
      </c>
      <c r="R1420" s="45">
        <v>4.0999999999999996</v>
      </c>
    </row>
    <row r="1421" spans="2:18" x14ac:dyDescent="0.2">
      <c r="B1421" s="25">
        <v>1418</v>
      </c>
      <c r="C1421" s="18">
        <v>45248</v>
      </c>
      <c r="D1421" s="24">
        <f t="shared" si="110"/>
        <v>2023</v>
      </c>
      <c r="E1421" s="24" t="str">
        <f t="shared" si="111"/>
        <v>Q4</v>
      </c>
      <c r="F1421" s="24" t="str">
        <f t="shared" si="112"/>
        <v>Nov</v>
      </c>
      <c r="G1421" s="24">
        <f t="shared" si="113"/>
        <v>11</v>
      </c>
      <c r="H1421" s="19">
        <v>1839</v>
      </c>
      <c r="I1421" s="19" t="s">
        <v>7</v>
      </c>
      <c r="J1421" s="19" t="s">
        <v>9</v>
      </c>
      <c r="K1421" s="20">
        <v>4</v>
      </c>
      <c r="L1421" s="21">
        <v>194.4</v>
      </c>
      <c r="M1421" s="22">
        <v>0.24</v>
      </c>
      <c r="N1421" s="21">
        <f t="shared" si="114"/>
        <v>147.744</v>
      </c>
      <c r="O1421" s="21">
        <v>590.98</v>
      </c>
      <c r="P1421" s="19" t="s">
        <v>6</v>
      </c>
      <c r="Q1421" s="23">
        <v>4</v>
      </c>
      <c r="R1421" s="45">
        <v>3.9</v>
      </c>
    </row>
    <row r="1422" spans="2:18" x14ac:dyDescent="0.2">
      <c r="B1422" s="25">
        <v>1419</v>
      </c>
      <c r="C1422" s="18">
        <v>45249</v>
      </c>
      <c r="D1422" s="24">
        <f t="shared" si="110"/>
        <v>2023</v>
      </c>
      <c r="E1422" s="24" t="str">
        <f t="shared" si="111"/>
        <v>Q4</v>
      </c>
      <c r="F1422" s="24" t="str">
        <f t="shared" si="112"/>
        <v>Nov</v>
      </c>
      <c r="G1422" s="24">
        <f t="shared" si="113"/>
        <v>11</v>
      </c>
      <c r="H1422" s="19">
        <v>1778</v>
      </c>
      <c r="I1422" s="19" t="s">
        <v>3</v>
      </c>
      <c r="J1422" s="19" t="s">
        <v>9</v>
      </c>
      <c r="K1422" s="20">
        <v>3</v>
      </c>
      <c r="L1422" s="21">
        <v>577.52</v>
      </c>
      <c r="M1422" s="22">
        <v>0.34</v>
      </c>
      <c r="N1422" s="21">
        <f t="shared" si="114"/>
        <v>381.16319999999996</v>
      </c>
      <c r="O1422" s="21">
        <v>1143.49</v>
      </c>
      <c r="P1422" s="19" t="s">
        <v>6</v>
      </c>
      <c r="Q1422" s="23">
        <v>6</v>
      </c>
      <c r="R1422" s="45">
        <v>3.2</v>
      </c>
    </row>
    <row r="1423" spans="2:18" x14ac:dyDescent="0.2">
      <c r="B1423" s="25">
        <v>1420</v>
      </c>
      <c r="C1423" s="18">
        <v>45250</v>
      </c>
      <c r="D1423" s="24">
        <f t="shared" si="110"/>
        <v>2023</v>
      </c>
      <c r="E1423" s="24" t="str">
        <f t="shared" si="111"/>
        <v>Q4</v>
      </c>
      <c r="F1423" s="24" t="str">
        <f t="shared" si="112"/>
        <v>Nov</v>
      </c>
      <c r="G1423" s="24">
        <f t="shared" si="113"/>
        <v>11</v>
      </c>
      <c r="H1423" s="19">
        <v>1872</v>
      </c>
      <c r="I1423" s="19" t="s">
        <v>7</v>
      </c>
      <c r="J1423" s="19" t="s">
        <v>9</v>
      </c>
      <c r="K1423" s="20">
        <v>4</v>
      </c>
      <c r="L1423" s="21">
        <v>353.41</v>
      </c>
      <c r="M1423" s="22">
        <v>0.18</v>
      </c>
      <c r="N1423" s="21">
        <f t="shared" si="114"/>
        <v>289.7962</v>
      </c>
      <c r="O1423" s="21">
        <v>1159.18</v>
      </c>
      <c r="P1423" s="19" t="s">
        <v>4</v>
      </c>
      <c r="Q1423" s="23">
        <v>6</v>
      </c>
      <c r="R1423" s="45">
        <v>3.9</v>
      </c>
    </row>
    <row r="1424" spans="2:18" x14ac:dyDescent="0.2">
      <c r="B1424" s="25">
        <v>1421</v>
      </c>
      <c r="C1424" s="18">
        <v>45251</v>
      </c>
      <c r="D1424" s="24">
        <f t="shared" si="110"/>
        <v>2023</v>
      </c>
      <c r="E1424" s="24" t="str">
        <f t="shared" si="111"/>
        <v>Q4</v>
      </c>
      <c r="F1424" s="24" t="str">
        <f t="shared" si="112"/>
        <v>Nov</v>
      </c>
      <c r="G1424" s="24">
        <f t="shared" si="113"/>
        <v>11</v>
      </c>
      <c r="H1424" s="19">
        <v>1228</v>
      </c>
      <c r="I1424" s="19" t="s">
        <v>0</v>
      </c>
      <c r="J1424" s="19" t="s">
        <v>9</v>
      </c>
      <c r="K1424" s="20">
        <v>3</v>
      </c>
      <c r="L1424" s="21">
        <v>592.74</v>
      </c>
      <c r="M1424" s="22">
        <v>0.22</v>
      </c>
      <c r="N1424" s="21">
        <f t="shared" si="114"/>
        <v>462.3372</v>
      </c>
      <c r="O1424" s="21">
        <v>1387.01</v>
      </c>
      <c r="P1424" s="19" t="s">
        <v>4</v>
      </c>
      <c r="Q1424" s="23">
        <v>3</v>
      </c>
      <c r="R1424" s="45">
        <v>2.5</v>
      </c>
    </row>
    <row r="1425" spans="2:18" x14ac:dyDescent="0.2">
      <c r="B1425" s="25">
        <v>1422</v>
      </c>
      <c r="C1425" s="18">
        <v>45252</v>
      </c>
      <c r="D1425" s="24">
        <f t="shared" si="110"/>
        <v>2023</v>
      </c>
      <c r="E1425" s="24" t="str">
        <f t="shared" si="111"/>
        <v>Q4</v>
      </c>
      <c r="F1425" s="24" t="str">
        <f t="shared" si="112"/>
        <v>Nov</v>
      </c>
      <c r="G1425" s="24">
        <f t="shared" si="113"/>
        <v>11</v>
      </c>
      <c r="H1425" s="19">
        <v>1269</v>
      </c>
      <c r="I1425" s="19" t="s">
        <v>7</v>
      </c>
      <c r="J1425" s="19" t="s">
        <v>1</v>
      </c>
      <c r="K1425" s="20">
        <v>3</v>
      </c>
      <c r="L1425" s="21">
        <v>232.89</v>
      </c>
      <c r="M1425" s="22">
        <v>0.2</v>
      </c>
      <c r="N1425" s="21">
        <f t="shared" si="114"/>
        <v>186.31199999999998</v>
      </c>
      <c r="O1425" s="21">
        <v>558.94000000000005</v>
      </c>
      <c r="P1425" s="19" t="s">
        <v>6</v>
      </c>
      <c r="Q1425" s="23">
        <v>2</v>
      </c>
      <c r="R1425" s="45">
        <v>2.2000000000000002</v>
      </c>
    </row>
    <row r="1426" spans="2:18" x14ac:dyDescent="0.2">
      <c r="B1426" s="25">
        <v>1423</v>
      </c>
      <c r="C1426" s="18">
        <v>45253</v>
      </c>
      <c r="D1426" s="24">
        <f t="shared" si="110"/>
        <v>2023</v>
      </c>
      <c r="E1426" s="24" t="str">
        <f t="shared" si="111"/>
        <v>Q4</v>
      </c>
      <c r="F1426" s="24" t="str">
        <f t="shared" si="112"/>
        <v>Nov</v>
      </c>
      <c r="G1426" s="24">
        <f t="shared" si="113"/>
        <v>11</v>
      </c>
      <c r="H1426" s="19">
        <v>1827</v>
      </c>
      <c r="I1426" s="19" t="s">
        <v>7</v>
      </c>
      <c r="J1426" s="19" t="s">
        <v>9</v>
      </c>
      <c r="K1426" s="20">
        <v>4</v>
      </c>
      <c r="L1426" s="21">
        <v>282.70999999999998</v>
      </c>
      <c r="M1426" s="22">
        <v>0.17</v>
      </c>
      <c r="N1426" s="21">
        <f t="shared" si="114"/>
        <v>234.64929999999998</v>
      </c>
      <c r="O1426" s="21">
        <v>938.6</v>
      </c>
      <c r="P1426" s="19" t="s">
        <v>6</v>
      </c>
      <c r="Q1426" s="23">
        <v>5</v>
      </c>
      <c r="R1426" s="45">
        <v>4.4000000000000004</v>
      </c>
    </row>
    <row r="1427" spans="2:18" x14ac:dyDescent="0.2">
      <c r="B1427" s="25">
        <v>1424</v>
      </c>
      <c r="C1427" s="18">
        <v>45254</v>
      </c>
      <c r="D1427" s="24">
        <f t="shared" si="110"/>
        <v>2023</v>
      </c>
      <c r="E1427" s="24" t="str">
        <f t="shared" si="111"/>
        <v>Q4</v>
      </c>
      <c r="F1427" s="24" t="str">
        <f t="shared" si="112"/>
        <v>Nov</v>
      </c>
      <c r="G1427" s="24">
        <f t="shared" si="113"/>
        <v>11</v>
      </c>
      <c r="H1427" s="19">
        <v>1797</v>
      </c>
      <c r="I1427" s="19" t="s">
        <v>10</v>
      </c>
      <c r="J1427" s="19" t="s">
        <v>8</v>
      </c>
      <c r="K1427" s="20">
        <v>1</v>
      </c>
      <c r="L1427" s="21">
        <v>204.88</v>
      </c>
      <c r="M1427" s="22">
        <v>0.3</v>
      </c>
      <c r="N1427" s="21">
        <f t="shared" si="114"/>
        <v>143.416</v>
      </c>
      <c r="O1427" s="21">
        <v>143.41999999999999</v>
      </c>
      <c r="P1427" s="19" t="s">
        <v>6</v>
      </c>
      <c r="Q1427" s="23">
        <v>8</v>
      </c>
      <c r="R1427" s="45">
        <v>2.7</v>
      </c>
    </row>
    <row r="1428" spans="2:18" x14ac:dyDescent="0.2">
      <c r="B1428" s="25">
        <v>1425</v>
      </c>
      <c r="C1428" s="18">
        <v>45255</v>
      </c>
      <c r="D1428" s="24">
        <f t="shared" si="110"/>
        <v>2023</v>
      </c>
      <c r="E1428" s="24" t="str">
        <f t="shared" si="111"/>
        <v>Q4</v>
      </c>
      <c r="F1428" s="24" t="str">
        <f t="shared" si="112"/>
        <v>Nov</v>
      </c>
      <c r="G1428" s="24">
        <f t="shared" si="113"/>
        <v>11</v>
      </c>
      <c r="H1428" s="19">
        <v>1290</v>
      </c>
      <c r="I1428" s="19" t="s">
        <v>7</v>
      </c>
      <c r="J1428" s="19" t="s">
        <v>9</v>
      </c>
      <c r="K1428" s="20">
        <v>2</v>
      </c>
      <c r="L1428" s="21">
        <v>121.99</v>
      </c>
      <c r="M1428" s="22">
        <v>0.23</v>
      </c>
      <c r="N1428" s="21">
        <f t="shared" si="114"/>
        <v>93.932299999999998</v>
      </c>
      <c r="O1428" s="21">
        <v>187.86</v>
      </c>
      <c r="P1428" s="19" t="s">
        <v>4</v>
      </c>
      <c r="Q1428" s="23">
        <v>3</v>
      </c>
      <c r="R1428" s="45">
        <v>1.8</v>
      </c>
    </row>
    <row r="1429" spans="2:18" x14ac:dyDescent="0.2">
      <c r="B1429" s="25">
        <v>1426</v>
      </c>
      <c r="C1429" s="18">
        <v>45256</v>
      </c>
      <c r="D1429" s="24">
        <f t="shared" si="110"/>
        <v>2023</v>
      </c>
      <c r="E1429" s="24" t="str">
        <f t="shared" si="111"/>
        <v>Q4</v>
      </c>
      <c r="F1429" s="24" t="str">
        <f t="shared" si="112"/>
        <v>Nov</v>
      </c>
      <c r="G1429" s="24">
        <f t="shared" si="113"/>
        <v>11</v>
      </c>
      <c r="H1429" s="19">
        <v>1724</v>
      </c>
      <c r="I1429" s="19" t="s">
        <v>3</v>
      </c>
      <c r="J1429" s="19" t="s">
        <v>5</v>
      </c>
      <c r="K1429" s="20">
        <v>5</v>
      </c>
      <c r="L1429" s="21">
        <v>98.75</v>
      </c>
      <c r="M1429" s="22">
        <v>0.28000000000000003</v>
      </c>
      <c r="N1429" s="21">
        <f t="shared" si="114"/>
        <v>71.099999999999994</v>
      </c>
      <c r="O1429" s="21">
        <v>355.5</v>
      </c>
      <c r="P1429" s="19" t="s">
        <v>6</v>
      </c>
      <c r="Q1429" s="23">
        <v>5</v>
      </c>
      <c r="R1429" s="45">
        <v>4</v>
      </c>
    </row>
    <row r="1430" spans="2:18" x14ac:dyDescent="0.2">
      <c r="B1430" s="25">
        <v>1427</v>
      </c>
      <c r="C1430" s="18">
        <v>45257</v>
      </c>
      <c r="D1430" s="24">
        <f t="shared" si="110"/>
        <v>2023</v>
      </c>
      <c r="E1430" s="24" t="str">
        <f t="shared" si="111"/>
        <v>Q4</v>
      </c>
      <c r="F1430" s="24" t="str">
        <f t="shared" si="112"/>
        <v>Nov</v>
      </c>
      <c r="G1430" s="24">
        <f t="shared" si="113"/>
        <v>11</v>
      </c>
      <c r="H1430" s="19">
        <v>1164</v>
      </c>
      <c r="I1430" s="19" t="s">
        <v>3</v>
      </c>
      <c r="J1430" s="19" t="s">
        <v>8</v>
      </c>
      <c r="K1430" s="20">
        <v>6</v>
      </c>
      <c r="L1430" s="21">
        <v>567.87</v>
      </c>
      <c r="M1430" s="22">
        <v>0.28000000000000003</v>
      </c>
      <c r="N1430" s="21">
        <f t="shared" si="114"/>
        <v>408.8664</v>
      </c>
      <c r="O1430" s="21">
        <v>2453.1999999999998</v>
      </c>
      <c r="P1430" s="19" t="s">
        <v>4</v>
      </c>
      <c r="Q1430" s="23">
        <v>3</v>
      </c>
      <c r="R1430" s="45">
        <v>2.2999999999999998</v>
      </c>
    </row>
    <row r="1431" spans="2:18" x14ac:dyDescent="0.2">
      <c r="B1431" s="25">
        <v>1428</v>
      </c>
      <c r="C1431" s="18">
        <v>45258</v>
      </c>
      <c r="D1431" s="24">
        <f t="shared" si="110"/>
        <v>2023</v>
      </c>
      <c r="E1431" s="24" t="str">
        <f t="shared" si="111"/>
        <v>Q4</v>
      </c>
      <c r="F1431" s="24" t="str">
        <f t="shared" si="112"/>
        <v>Nov</v>
      </c>
      <c r="G1431" s="24">
        <f t="shared" si="113"/>
        <v>11</v>
      </c>
      <c r="H1431" s="19">
        <v>1004</v>
      </c>
      <c r="I1431" s="19" t="s">
        <v>7</v>
      </c>
      <c r="J1431" s="19" t="s">
        <v>5</v>
      </c>
      <c r="K1431" s="20">
        <v>2</v>
      </c>
      <c r="L1431" s="21">
        <v>592.28</v>
      </c>
      <c r="M1431" s="22">
        <v>7.0000000000000007E-2</v>
      </c>
      <c r="N1431" s="21">
        <f t="shared" si="114"/>
        <v>550.82039999999995</v>
      </c>
      <c r="O1431" s="21">
        <v>1101.6400000000001</v>
      </c>
      <c r="P1431" s="19" t="s">
        <v>6</v>
      </c>
      <c r="Q1431" s="23">
        <v>7</v>
      </c>
      <c r="R1431" s="45">
        <v>1.8</v>
      </c>
    </row>
    <row r="1432" spans="2:18" x14ac:dyDescent="0.2">
      <c r="B1432" s="25">
        <v>1429</v>
      </c>
      <c r="C1432" s="18">
        <v>45259</v>
      </c>
      <c r="D1432" s="24">
        <f t="shared" si="110"/>
        <v>2023</v>
      </c>
      <c r="E1432" s="24" t="str">
        <f t="shared" si="111"/>
        <v>Q4</v>
      </c>
      <c r="F1432" s="24" t="str">
        <f t="shared" si="112"/>
        <v>Nov</v>
      </c>
      <c r="G1432" s="24">
        <f t="shared" si="113"/>
        <v>11</v>
      </c>
      <c r="H1432" s="19">
        <v>1850</v>
      </c>
      <c r="I1432" s="19" t="s">
        <v>3</v>
      </c>
      <c r="J1432" s="19" t="s">
        <v>5</v>
      </c>
      <c r="K1432" s="20">
        <v>5</v>
      </c>
      <c r="L1432" s="21">
        <v>41.27</v>
      </c>
      <c r="M1432" s="22">
        <v>0.23</v>
      </c>
      <c r="N1432" s="21">
        <f t="shared" si="114"/>
        <v>31.777900000000002</v>
      </c>
      <c r="O1432" s="21">
        <v>158.88999999999999</v>
      </c>
      <c r="P1432" s="19" t="s">
        <v>6</v>
      </c>
      <c r="Q1432" s="23">
        <v>6</v>
      </c>
      <c r="R1432" s="45">
        <v>1.1000000000000001</v>
      </c>
    </row>
    <row r="1433" spans="2:18" x14ac:dyDescent="0.2">
      <c r="B1433" s="25">
        <v>1430</v>
      </c>
      <c r="C1433" s="18">
        <v>45260</v>
      </c>
      <c r="D1433" s="24">
        <f t="shared" si="110"/>
        <v>2023</v>
      </c>
      <c r="E1433" s="24" t="str">
        <f t="shared" si="111"/>
        <v>Q4</v>
      </c>
      <c r="F1433" s="24" t="str">
        <f t="shared" si="112"/>
        <v>Nov</v>
      </c>
      <c r="G1433" s="24">
        <f t="shared" si="113"/>
        <v>11</v>
      </c>
      <c r="H1433" s="19">
        <v>1378</v>
      </c>
      <c r="I1433" s="19" t="s">
        <v>3</v>
      </c>
      <c r="J1433" s="19" t="s">
        <v>1</v>
      </c>
      <c r="K1433" s="20">
        <v>5</v>
      </c>
      <c r="L1433" s="21">
        <v>102.95</v>
      </c>
      <c r="M1433" s="22">
        <v>7.0000000000000007E-2</v>
      </c>
      <c r="N1433" s="21">
        <f t="shared" si="114"/>
        <v>95.743499999999997</v>
      </c>
      <c r="O1433" s="21">
        <v>478.72</v>
      </c>
      <c r="P1433" s="19" t="s">
        <v>2</v>
      </c>
      <c r="Q1433" s="23">
        <v>6</v>
      </c>
      <c r="R1433" s="45">
        <v>4.9000000000000004</v>
      </c>
    </row>
    <row r="1434" spans="2:18" x14ac:dyDescent="0.2">
      <c r="B1434" s="25">
        <v>1431</v>
      </c>
      <c r="C1434" s="18">
        <v>45261</v>
      </c>
      <c r="D1434" s="24">
        <f t="shared" si="110"/>
        <v>2023</v>
      </c>
      <c r="E1434" s="24" t="str">
        <f t="shared" si="111"/>
        <v>Q4</v>
      </c>
      <c r="F1434" s="24" t="str">
        <f t="shared" si="112"/>
        <v>Dec</v>
      </c>
      <c r="G1434" s="24">
        <f t="shared" si="113"/>
        <v>12</v>
      </c>
      <c r="H1434" s="19">
        <v>1077</v>
      </c>
      <c r="I1434" s="19" t="s">
        <v>7</v>
      </c>
      <c r="J1434" s="19" t="s">
        <v>1</v>
      </c>
      <c r="K1434" s="20">
        <v>6</v>
      </c>
      <c r="L1434" s="21">
        <v>262.76</v>
      </c>
      <c r="M1434" s="22">
        <v>0.2</v>
      </c>
      <c r="N1434" s="21">
        <f t="shared" si="114"/>
        <v>210.208</v>
      </c>
      <c r="O1434" s="21">
        <v>1261.25</v>
      </c>
      <c r="P1434" s="19" t="s">
        <v>4</v>
      </c>
      <c r="Q1434" s="23">
        <v>1</v>
      </c>
      <c r="R1434" s="45">
        <v>2.9</v>
      </c>
    </row>
    <row r="1435" spans="2:18" x14ac:dyDescent="0.2">
      <c r="B1435" s="25">
        <v>1432</v>
      </c>
      <c r="C1435" s="18">
        <v>45262</v>
      </c>
      <c r="D1435" s="24">
        <f t="shared" si="110"/>
        <v>2023</v>
      </c>
      <c r="E1435" s="24" t="str">
        <f t="shared" si="111"/>
        <v>Q4</v>
      </c>
      <c r="F1435" s="24" t="str">
        <f t="shared" si="112"/>
        <v>Dec</v>
      </c>
      <c r="G1435" s="24">
        <f t="shared" si="113"/>
        <v>12</v>
      </c>
      <c r="H1435" s="19">
        <v>1409</v>
      </c>
      <c r="I1435" s="19" t="s">
        <v>3</v>
      </c>
      <c r="J1435" s="19" t="s">
        <v>5</v>
      </c>
      <c r="K1435" s="20">
        <v>2</v>
      </c>
      <c r="L1435" s="21">
        <v>124.01</v>
      </c>
      <c r="M1435" s="22">
        <v>0.24</v>
      </c>
      <c r="N1435" s="21">
        <f t="shared" si="114"/>
        <v>94.247600000000006</v>
      </c>
      <c r="O1435" s="21">
        <v>188.5</v>
      </c>
      <c r="P1435" s="19" t="s">
        <v>6</v>
      </c>
      <c r="Q1435" s="23">
        <v>2</v>
      </c>
      <c r="R1435" s="45">
        <v>1.6</v>
      </c>
    </row>
    <row r="1436" spans="2:18" x14ac:dyDescent="0.2">
      <c r="B1436" s="25">
        <v>1433</v>
      </c>
      <c r="C1436" s="18">
        <v>45263</v>
      </c>
      <c r="D1436" s="24">
        <f t="shared" si="110"/>
        <v>2023</v>
      </c>
      <c r="E1436" s="24" t="str">
        <f t="shared" si="111"/>
        <v>Q4</v>
      </c>
      <c r="F1436" s="24" t="str">
        <f t="shared" si="112"/>
        <v>Dec</v>
      </c>
      <c r="G1436" s="24">
        <f t="shared" si="113"/>
        <v>12</v>
      </c>
      <c r="H1436" s="19">
        <v>1573</v>
      </c>
      <c r="I1436" s="19" t="s">
        <v>10</v>
      </c>
      <c r="J1436" s="19" t="s">
        <v>5</v>
      </c>
      <c r="K1436" s="20">
        <v>6</v>
      </c>
      <c r="L1436" s="21">
        <v>227.87</v>
      </c>
      <c r="M1436" s="22">
        <v>0.35</v>
      </c>
      <c r="N1436" s="21">
        <f t="shared" si="114"/>
        <v>148.1155</v>
      </c>
      <c r="O1436" s="21">
        <v>888.69</v>
      </c>
      <c r="P1436" s="19" t="s">
        <v>6</v>
      </c>
      <c r="Q1436" s="23">
        <v>6</v>
      </c>
      <c r="R1436" s="45">
        <v>4</v>
      </c>
    </row>
    <row r="1437" spans="2:18" x14ac:dyDescent="0.2">
      <c r="B1437" s="25">
        <v>1434</v>
      </c>
      <c r="C1437" s="18">
        <v>45264</v>
      </c>
      <c r="D1437" s="24">
        <f t="shared" si="110"/>
        <v>2023</v>
      </c>
      <c r="E1437" s="24" t="str">
        <f t="shared" si="111"/>
        <v>Q4</v>
      </c>
      <c r="F1437" s="24" t="str">
        <f t="shared" si="112"/>
        <v>Dec</v>
      </c>
      <c r="G1437" s="24">
        <f t="shared" si="113"/>
        <v>12</v>
      </c>
      <c r="H1437" s="19">
        <v>1131</v>
      </c>
      <c r="I1437" s="19" t="s">
        <v>10</v>
      </c>
      <c r="J1437" s="19" t="s">
        <v>9</v>
      </c>
      <c r="K1437" s="20">
        <v>3</v>
      </c>
      <c r="L1437" s="21">
        <v>90.52</v>
      </c>
      <c r="M1437" s="22">
        <v>0.01</v>
      </c>
      <c r="N1437" s="21">
        <f t="shared" si="114"/>
        <v>89.614800000000002</v>
      </c>
      <c r="O1437" s="21">
        <v>268.83999999999997</v>
      </c>
      <c r="P1437" s="19" t="s">
        <v>4</v>
      </c>
      <c r="Q1437" s="23">
        <v>8</v>
      </c>
      <c r="R1437" s="45">
        <v>4.5999999999999996</v>
      </c>
    </row>
    <row r="1438" spans="2:18" x14ac:dyDescent="0.2">
      <c r="B1438" s="25">
        <v>1435</v>
      </c>
      <c r="C1438" s="18">
        <v>45265</v>
      </c>
      <c r="D1438" s="24">
        <f t="shared" si="110"/>
        <v>2023</v>
      </c>
      <c r="E1438" s="24" t="str">
        <f t="shared" si="111"/>
        <v>Q4</v>
      </c>
      <c r="F1438" s="24" t="str">
        <f t="shared" si="112"/>
        <v>Dec</v>
      </c>
      <c r="G1438" s="24">
        <f t="shared" si="113"/>
        <v>12</v>
      </c>
      <c r="H1438" s="19">
        <v>1600</v>
      </c>
      <c r="I1438" s="19" t="s">
        <v>7</v>
      </c>
      <c r="J1438" s="19" t="s">
        <v>8</v>
      </c>
      <c r="K1438" s="20">
        <v>6</v>
      </c>
      <c r="L1438" s="21">
        <v>282.06</v>
      </c>
      <c r="M1438" s="22">
        <v>0.03</v>
      </c>
      <c r="N1438" s="21">
        <f t="shared" si="114"/>
        <v>273.59820000000002</v>
      </c>
      <c r="O1438" s="21">
        <v>1641.59</v>
      </c>
      <c r="P1438" s="19" t="s">
        <v>4</v>
      </c>
      <c r="Q1438" s="23">
        <v>5</v>
      </c>
      <c r="R1438" s="45">
        <v>3.1</v>
      </c>
    </row>
    <row r="1439" spans="2:18" x14ac:dyDescent="0.2">
      <c r="B1439" s="25">
        <v>1436</v>
      </c>
      <c r="C1439" s="18">
        <v>45266</v>
      </c>
      <c r="D1439" s="24">
        <f t="shared" si="110"/>
        <v>2023</v>
      </c>
      <c r="E1439" s="24" t="str">
        <f t="shared" si="111"/>
        <v>Q4</v>
      </c>
      <c r="F1439" s="24" t="str">
        <f t="shared" si="112"/>
        <v>Dec</v>
      </c>
      <c r="G1439" s="24">
        <f t="shared" si="113"/>
        <v>12</v>
      </c>
      <c r="H1439" s="19">
        <v>1748</v>
      </c>
      <c r="I1439" s="19" t="s">
        <v>7</v>
      </c>
      <c r="J1439" s="19" t="s">
        <v>9</v>
      </c>
      <c r="K1439" s="20">
        <v>4</v>
      </c>
      <c r="L1439" s="21">
        <v>173.94</v>
      </c>
      <c r="M1439" s="22">
        <v>0.03</v>
      </c>
      <c r="N1439" s="21">
        <f t="shared" si="114"/>
        <v>168.7218</v>
      </c>
      <c r="O1439" s="21">
        <v>674.89</v>
      </c>
      <c r="P1439" s="19" t="s">
        <v>6</v>
      </c>
      <c r="Q1439" s="23">
        <v>2</v>
      </c>
      <c r="R1439" s="45">
        <v>1.1000000000000001</v>
      </c>
    </row>
    <row r="1440" spans="2:18" x14ac:dyDescent="0.2">
      <c r="B1440" s="25">
        <v>1437</v>
      </c>
      <c r="C1440" s="18">
        <v>45267</v>
      </c>
      <c r="D1440" s="24">
        <f t="shared" si="110"/>
        <v>2023</v>
      </c>
      <c r="E1440" s="24" t="str">
        <f t="shared" si="111"/>
        <v>Q4</v>
      </c>
      <c r="F1440" s="24" t="str">
        <f t="shared" si="112"/>
        <v>Dec</v>
      </c>
      <c r="G1440" s="24">
        <f t="shared" si="113"/>
        <v>12</v>
      </c>
      <c r="H1440" s="19">
        <v>1041</v>
      </c>
      <c r="I1440" s="19" t="s">
        <v>7</v>
      </c>
      <c r="J1440" s="19" t="s">
        <v>1</v>
      </c>
      <c r="K1440" s="20">
        <v>1</v>
      </c>
      <c r="L1440" s="21">
        <v>220.86</v>
      </c>
      <c r="M1440" s="22">
        <v>0.14000000000000001</v>
      </c>
      <c r="N1440" s="21">
        <f t="shared" si="114"/>
        <v>189.93960000000001</v>
      </c>
      <c r="O1440" s="21">
        <v>189.94</v>
      </c>
      <c r="P1440" s="19" t="s">
        <v>4</v>
      </c>
      <c r="Q1440" s="23">
        <v>5</v>
      </c>
      <c r="R1440" s="45">
        <v>2.5</v>
      </c>
    </row>
    <row r="1441" spans="2:18" x14ac:dyDescent="0.2">
      <c r="B1441" s="25">
        <v>1438</v>
      </c>
      <c r="C1441" s="18">
        <v>45268</v>
      </c>
      <c r="D1441" s="24">
        <f t="shared" si="110"/>
        <v>2023</v>
      </c>
      <c r="E1441" s="24" t="str">
        <f t="shared" si="111"/>
        <v>Q4</v>
      </c>
      <c r="F1441" s="24" t="str">
        <f t="shared" si="112"/>
        <v>Dec</v>
      </c>
      <c r="G1441" s="24">
        <f t="shared" si="113"/>
        <v>12</v>
      </c>
      <c r="H1441" s="19">
        <v>1088</v>
      </c>
      <c r="I1441" s="19" t="s">
        <v>3</v>
      </c>
      <c r="J1441" s="19" t="s">
        <v>1</v>
      </c>
      <c r="K1441" s="20">
        <v>1</v>
      </c>
      <c r="L1441" s="21">
        <v>70.17</v>
      </c>
      <c r="M1441" s="22">
        <v>0.28999999999999998</v>
      </c>
      <c r="N1441" s="21">
        <f t="shared" si="114"/>
        <v>49.820700000000002</v>
      </c>
      <c r="O1441" s="21">
        <v>49.82</v>
      </c>
      <c r="P1441" s="19" t="s">
        <v>4</v>
      </c>
      <c r="Q1441" s="23">
        <v>9</v>
      </c>
      <c r="R1441" s="45">
        <v>2</v>
      </c>
    </row>
    <row r="1442" spans="2:18" x14ac:dyDescent="0.2">
      <c r="B1442" s="25">
        <v>1439</v>
      </c>
      <c r="C1442" s="18">
        <v>45269</v>
      </c>
      <c r="D1442" s="24">
        <f t="shared" si="110"/>
        <v>2023</v>
      </c>
      <c r="E1442" s="24" t="str">
        <f t="shared" si="111"/>
        <v>Q4</v>
      </c>
      <c r="F1442" s="24" t="str">
        <f t="shared" si="112"/>
        <v>Dec</v>
      </c>
      <c r="G1442" s="24">
        <f t="shared" si="113"/>
        <v>12</v>
      </c>
      <c r="H1442" s="19">
        <v>1401</v>
      </c>
      <c r="I1442" s="19" t="s">
        <v>3</v>
      </c>
      <c r="J1442" s="19" t="s">
        <v>9</v>
      </c>
      <c r="K1442" s="20">
        <v>1</v>
      </c>
      <c r="L1442" s="21">
        <v>265.45</v>
      </c>
      <c r="M1442" s="22">
        <v>0.3</v>
      </c>
      <c r="N1442" s="21">
        <f t="shared" si="114"/>
        <v>185.815</v>
      </c>
      <c r="O1442" s="21">
        <v>185.81</v>
      </c>
      <c r="P1442" s="19" t="s">
        <v>2</v>
      </c>
      <c r="Q1442" s="23">
        <v>6</v>
      </c>
      <c r="R1442" s="45">
        <v>3.5</v>
      </c>
    </row>
    <row r="1443" spans="2:18" x14ac:dyDescent="0.2">
      <c r="B1443" s="25">
        <v>1440</v>
      </c>
      <c r="C1443" s="18">
        <v>45270</v>
      </c>
      <c r="D1443" s="24">
        <f t="shared" si="110"/>
        <v>2023</v>
      </c>
      <c r="E1443" s="24" t="str">
        <f t="shared" si="111"/>
        <v>Q4</v>
      </c>
      <c r="F1443" s="24" t="str">
        <f t="shared" si="112"/>
        <v>Dec</v>
      </c>
      <c r="G1443" s="24">
        <f t="shared" si="113"/>
        <v>12</v>
      </c>
      <c r="H1443" s="19">
        <v>1295</v>
      </c>
      <c r="I1443" s="19" t="s">
        <v>10</v>
      </c>
      <c r="J1443" s="19" t="s">
        <v>8</v>
      </c>
      <c r="K1443" s="20">
        <v>2</v>
      </c>
      <c r="L1443" s="21">
        <v>590.21</v>
      </c>
      <c r="M1443" s="22">
        <v>0.26</v>
      </c>
      <c r="N1443" s="21">
        <f t="shared" si="114"/>
        <v>436.75540000000001</v>
      </c>
      <c r="O1443" s="21">
        <v>873.51</v>
      </c>
      <c r="P1443" s="19" t="s">
        <v>6</v>
      </c>
      <c r="Q1443" s="23">
        <v>5</v>
      </c>
      <c r="R1443" s="45">
        <v>3.1</v>
      </c>
    </row>
    <row r="1444" spans="2:18" x14ac:dyDescent="0.2">
      <c r="B1444" s="25">
        <v>1441</v>
      </c>
      <c r="C1444" s="18">
        <v>45271</v>
      </c>
      <c r="D1444" s="24">
        <f t="shared" si="110"/>
        <v>2023</v>
      </c>
      <c r="E1444" s="24" t="str">
        <f t="shared" si="111"/>
        <v>Q4</v>
      </c>
      <c r="F1444" s="24" t="str">
        <f t="shared" si="112"/>
        <v>Dec</v>
      </c>
      <c r="G1444" s="24">
        <f t="shared" si="113"/>
        <v>12</v>
      </c>
      <c r="H1444" s="19">
        <v>1839</v>
      </c>
      <c r="I1444" s="19" t="s">
        <v>7</v>
      </c>
      <c r="J1444" s="19" t="s">
        <v>5</v>
      </c>
      <c r="K1444" s="20">
        <v>2</v>
      </c>
      <c r="L1444" s="21">
        <v>207.37</v>
      </c>
      <c r="M1444" s="22">
        <v>0.31</v>
      </c>
      <c r="N1444" s="21">
        <f t="shared" si="114"/>
        <v>143.08530000000002</v>
      </c>
      <c r="O1444" s="21">
        <v>286.17</v>
      </c>
      <c r="P1444" s="19" t="s">
        <v>4</v>
      </c>
      <c r="Q1444" s="23">
        <v>10</v>
      </c>
      <c r="R1444" s="45">
        <v>2.4</v>
      </c>
    </row>
    <row r="1445" spans="2:18" x14ac:dyDescent="0.2">
      <c r="B1445" s="25">
        <v>1442</v>
      </c>
      <c r="C1445" s="18">
        <v>45272</v>
      </c>
      <c r="D1445" s="24">
        <f t="shared" si="110"/>
        <v>2023</v>
      </c>
      <c r="E1445" s="24" t="str">
        <f t="shared" si="111"/>
        <v>Q4</v>
      </c>
      <c r="F1445" s="24" t="str">
        <f t="shared" si="112"/>
        <v>Dec</v>
      </c>
      <c r="G1445" s="24">
        <f t="shared" si="113"/>
        <v>12</v>
      </c>
      <c r="H1445" s="19">
        <v>1294</v>
      </c>
      <c r="I1445" s="19" t="s">
        <v>7</v>
      </c>
      <c r="J1445" s="19" t="s">
        <v>9</v>
      </c>
      <c r="K1445" s="20">
        <v>3</v>
      </c>
      <c r="L1445" s="21">
        <v>527.71</v>
      </c>
      <c r="M1445" s="22">
        <v>0.11</v>
      </c>
      <c r="N1445" s="21">
        <f t="shared" si="114"/>
        <v>469.66190000000006</v>
      </c>
      <c r="O1445" s="21">
        <v>1408.99</v>
      </c>
      <c r="P1445" s="19" t="s">
        <v>6</v>
      </c>
      <c r="Q1445" s="23">
        <v>6</v>
      </c>
      <c r="R1445" s="45">
        <v>3.6</v>
      </c>
    </row>
    <row r="1446" spans="2:18" x14ac:dyDescent="0.2">
      <c r="B1446" s="25">
        <v>1443</v>
      </c>
      <c r="C1446" s="18">
        <v>45273</v>
      </c>
      <c r="D1446" s="24">
        <f t="shared" si="110"/>
        <v>2023</v>
      </c>
      <c r="E1446" s="24" t="str">
        <f t="shared" si="111"/>
        <v>Q4</v>
      </c>
      <c r="F1446" s="24" t="str">
        <f t="shared" si="112"/>
        <v>Dec</v>
      </c>
      <c r="G1446" s="24">
        <f t="shared" si="113"/>
        <v>12</v>
      </c>
      <c r="H1446" s="19">
        <v>1615</v>
      </c>
      <c r="I1446" s="19" t="s">
        <v>3</v>
      </c>
      <c r="J1446" s="19" t="s">
        <v>1</v>
      </c>
      <c r="K1446" s="20">
        <v>7</v>
      </c>
      <c r="L1446" s="21">
        <v>508.27</v>
      </c>
      <c r="M1446" s="22">
        <v>0.03</v>
      </c>
      <c r="N1446" s="21">
        <f t="shared" si="114"/>
        <v>493.02189999999996</v>
      </c>
      <c r="O1446" s="21">
        <v>3451.15</v>
      </c>
      <c r="P1446" s="19" t="s">
        <v>6</v>
      </c>
      <c r="Q1446" s="23">
        <v>11</v>
      </c>
      <c r="R1446" s="45">
        <v>3.3</v>
      </c>
    </row>
    <row r="1447" spans="2:18" x14ac:dyDescent="0.2">
      <c r="B1447" s="25">
        <v>1444</v>
      </c>
      <c r="C1447" s="18">
        <v>45274</v>
      </c>
      <c r="D1447" s="24">
        <f t="shared" si="110"/>
        <v>2023</v>
      </c>
      <c r="E1447" s="24" t="str">
        <f t="shared" si="111"/>
        <v>Q4</v>
      </c>
      <c r="F1447" s="24" t="str">
        <f t="shared" si="112"/>
        <v>Dec</v>
      </c>
      <c r="G1447" s="24">
        <f t="shared" si="113"/>
        <v>12</v>
      </c>
      <c r="H1447" s="19">
        <v>1525</v>
      </c>
      <c r="I1447" s="19" t="s">
        <v>10</v>
      </c>
      <c r="J1447" s="19" t="s">
        <v>8</v>
      </c>
      <c r="K1447" s="20">
        <v>1</v>
      </c>
      <c r="L1447" s="21">
        <v>571.95000000000005</v>
      </c>
      <c r="M1447" s="22">
        <v>0.02</v>
      </c>
      <c r="N1447" s="21">
        <f t="shared" si="114"/>
        <v>560.51100000000008</v>
      </c>
      <c r="O1447" s="21">
        <v>560.51</v>
      </c>
      <c r="P1447" s="19" t="s">
        <v>2</v>
      </c>
      <c r="Q1447" s="23">
        <v>9</v>
      </c>
      <c r="R1447" s="45">
        <v>4.5999999999999996</v>
      </c>
    </row>
    <row r="1448" spans="2:18" x14ac:dyDescent="0.2">
      <c r="B1448" s="25">
        <v>1445</v>
      </c>
      <c r="C1448" s="18">
        <v>45275</v>
      </c>
      <c r="D1448" s="24">
        <f t="shared" si="110"/>
        <v>2023</v>
      </c>
      <c r="E1448" s="24" t="str">
        <f t="shared" si="111"/>
        <v>Q4</v>
      </c>
      <c r="F1448" s="24" t="str">
        <f t="shared" si="112"/>
        <v>Dec</v>
      </c>
      <c r="G1448" s="24">
        <f t="shared" si="113"/>
        <v>12</v>
      </c>
      <c r="H1448" s="19">
        <v>1799</v>
      </c>
      <c r="I1448" s="19" t="s">
        <v>7</v>
      </c>
      <c r="J1448" s="19" t="s">
        <v>1</v>
      </c>
      <c r="K1448" s="20">
        <v>3</v>
      </c>
      <c r="L1448" s="21">
        <v>477.21</v>
      </c>
      <c r="M1448" s="22">
        <v>0.3</v>
      </c>
      <c r="N1448" s="21">
        <f t="shared" si="114"/>
        <v>334.04700000000003</v>
      </c>
      <c r="O1448" s="21">
        <v>1002.14</v>
      </c>
      <c r="P1448" s="19" t="s">
        <v>6</v>
      </c>
      <c r="Q1448" s="23">
        <v>7</v>
      </c>
      <c r="R1448" s="45">
        <v>3.4</v>
      </c>
    </row>
    <row r="1449" spans="2:18" x14ac:dyDescent="0.2">
      <c r="B1449" s="25">
        <v>1446</v>
      </c>
      <c r="C1449" s="18">
        <v>45276</v>
      </c>
      <c r="D1449" s="24">
        <f t="shared" si="110"/>
        <v>2023</v>
      </c>
      <c r="E1449" s="24" t="str">
        <f t="shared" si="111"/>
        <v>Q4</v>
      </c>
      <c r="F1449" s="24" t="str">
        <f t="shared" si="112"/>
        <v>Dec</v>
      </c>
      <c r="G1449" s="24">
        <f t="shared" si="113"/>
        <v>12</v>
      </c>
      <c r="H1449" s="19">
        <v>1690</v>
      </c>
      <c r="I1449" s="19" t="s">
        <v>3</v>
      </c>
      <c r="J1449" s="19" t="s">
        <v>8</v>
      </c>
      <c r="K1449" s="20">
        <v>7</v>
      </c>
      <c r="L1449" s="21">
        <v>400.86</v>
      </c>
      <c r="M1449" s="22">
        <v>0.26</v>
      </c>
      <c r="N1449" s="21">
        <f t="shared" si="114"/>
        <v>296.63639999999998</v>
      </c>
      <c r="O1449" s="21">
        <v>2076.4499999999998</v>
      </c>
      <c r="P1449" s="19" t="s">
        <v>2</v>
      </c>
      <c r="Q1449" s="23">
        <v>10</v>
      </c>
      <c r="R1449" s="45">
        <v>3</v>
      </c>
    </row>
    <row r="1450" spans="2:18" x14ac:dyDescent="0.2">
      <c r="B1450" s="25">
        <v>1447</v>
      </c>
      <c r="C1450" s="18">
        <v>45277</v>
      </c>
      <c r="D1450" s="24">
        <f t="shared" si="110"/>
        <v>2023</v>
      </c>
      <c r="E1450" s="24" t="str">
        <f t="shared" si="111"/>
        <v>Q4</v>
      </c>
      <c r="F1450" s="24" t="str">
        <f t="shared" si="112"/>
        <v>Dec</v>
      </c>
      <c r="G1450" s="24">
        <f t="shared" si="113"/>
        <v>12</v>
      </c>
      <c r="H1450" s="19">
        <v>1636</v>
      </c>
      <c r="I1450" s="19" t="s">
        <v>7</v>
      </c>
      <c r="J1450" s="19" t="s">
        <v>8</v>
      </c>
      <c r="K1450" s="20">
        <v>1</v>
      </c>
      <c r="L1450" s="21">
        <v>516.1</v>
      </c>
      <c r="M1450" s="22">
        <v>0.24</v>
      </c>
      <c r="N1450" s="21">
        <f t="shared" si="114"/>
        <v>392.23599999999999</v>
      </c>
      <c r="O1450" s="21">
        <v>392.24</v>
      </c>
      <c r="P1450" s="19" t="s">
        <v>4</v>
      </c>
      <c r="Q1450" s="23">
        <v>3</v>
      </c>
      <c r="R1450" s="45">
        <v>4.3</v>
      </c>
    </row>
    <row r="1451" spans="2:18" x14ac:dyDescent="0.2">
      <c r="B1451" s="25">
        <v>1448</v>
      </c>
      <c r="C1451" s="18">
        <v>45278</v>
      </c>
      <c r="D1451" s="24">
        <f t="shared" si="110"/>
        <v>2023</v>
      </c>
      <c r="E1451" s="24" t="str">
        <f t="shared" si="111"/>
        <v>Q4</v>
      </c>
      <c r="F1451" s="24" t="str">
        <f t="shared" si="112"/>
        <v>Dec</v>
      </c>
      <c r="G1451" s="24">
        <f t="shared" si="113"/>
        <v>12</v>
      </c>
      <c r="H1451" s="19">
        <v>1421</v>
      </c>
      <c r="I1451" s="19" t="s">
        <v>0</v>
      </c>
      <c r="J1451" s="19" t="s">
        <v>8</v>
      </c>
      <c r="K1451" s="20">
        <v>2</v>
      </c>
      <c r="L1451" s="21">
        <v>59.25</v>
      </c>
      <c r="M1451" s="22">
        <v>0.12</v>
      </c>
      <c r="N1451" s="21">
        <f t="shared" si="114"/>
        <v>52.14</v>
      </c>
      <c r="O1451" s="21">
        <v>104.28</v>
      </c>
      <c r="P1451" s="19" t="s">
        <v>6</v>
      </c>
      <c r="Q1451" s="23">
        <v>10</v>
      </c>
      <c r="R1451" s="45">
        <v>1.8</v>
      </c>
    </row>
    <row r="1452" spans="2:18" x14ac:dyDescent="0.2">
      <c r="B1452" s="25">
        <v>1449</v>
      </c>
      <c r="C1452" s="18">
        <v>45279</v>
      </c>
      <c r="D1452" s="24">
        <f t="shared" si="110"/>
        <v>2023</v>
      </c>
      <c r="E1452" s="24" t="str">
        <f t="shared" si="111"/>
        <v>Q4</v>
      </c>
      <c r="F1452" s="24" t="str">
        <f t="shared" si="112"/>
        <v>Dec</v>
      </c>
      <c r="G1452" s="24">
        <f t="shared" si="113"/>
        <v>12</v>
      </c>
      <c r="H1452" s="19">
        <v>1864</v>
      </c>
      <c r="I1452" s="19" t="s">
        <v>0</v>
      </c>
      <c r="J1452" s="19" t="s">
        <v>9</v>
      </c>
      <c r="K1452" s="20">
        <v>7</v>
      </c>
      <c r="L1452" s="21">
        <v>285.76</v>
      </c>
      <c r="M1452" s="22">
        <v>0.13</v>
      </c>
      <c r="N1452" s="21">
        <f t="shared" si="114"/>
        <v>248.6112</v>
      </c>
      <c r="O1452" s="21">
        <v>1740.28</v>
      </c>
      <c r="P1452" s="19" t="s">
        <v>4</v>
      </c>
      <c r="Q1452" s="23">
        <v>10</v>
      </c>
      <c r="R1452" s="45">
        <v>2</v>
      </c>
    </row>
    <row r="1453" spans="2:18" x14ac:dyDescent="0.2">
      <c r="B1453" s="25">
        <v>1450</v>
      </c>
      <c r="C1453" s="18">
        <v>45280</v>
      </c>
      <c r="D1453" s="24">
        <f t="shared" si="110"/>
        <v>2023</v>
      </c>
      <c r="E1453" s="24" t="str">
        <f t="shared" si="111"/>
        <v>Q4</v>
      </c>
      <c r="F1453" s="24" t="str">
        <f t="shared" si="112"/>
        <v>Dec</v>
      </c>
      <c r="G1453" s="24">
        <f t="shared" si="113"/>
        <v>12</v>
      </c>
      <c r="H1453" s="19">
        <v>1022</v>
      </c>
      <c r="I1453" s="19" t="s">
        <v>7</v>
      </c>
      <c r="J1453" s="19" t="s">
        <v>9</v>
      </c>
      <c r="K1453" s="20">
        <v>4</v>
      </c>
      <c r="L1453" s="21">
        <v>593.71</v>
      </c>
      <c r="M1453" s="22">
        <v>0.34</v>
      </c>
      <c r="N1453" s="21">
        <f t="shared" si="114"/>
        <v>391.84860000000003</v>
      </c>
      <c r="O1453" s="21">
        <v>1567.39</v>
      </c>
      <c r="P1453" s="19" t="s">
        <v>4</v>
      </c>
      <c r="Q1453" s="23">
        <v>5</v>
      </c>
      <c r="R1453" s="45">
        <v>4.0999999999999996</v>
      </c>
    </row>
    <row r="1454" spans="2:18" x14ac:dyDescent="0.2">
      <c r="B1454" s="25">
        <v>1451</v>
      </c>
      <c r="C1454" s="18">
        <v>45281</v>
      </c>
      <c r="D1454" s="24">
        <f t="shared" si="110"/>
        <v>2023</v>
      </c>
      <c r="E1454" s="24" t="str">
        <f t="shared" si="111"/>
        <v>Q4</v>
      </c>
      <c r="F1454" s="24" t="str">
        <f t="shared" si="112"/>
        <v>Dec</v>
      </c>
      <c r="G1454" s="24">
        <f t="shared" si="113"/>
        <v>12</v>
      </c>
      <c r="H1454" s="19">
        <v>1574</v>
      </c>
      <c r="I1454" s="19" t="s">
        <v>7</v>
      </c>
      <c r="J1454" s="19" t="s">
        <v>9</v>
      </c>
      <c r="K1454" s="20">
        <v>4</v>
      </c>
      <c r="L1454" s="21">
        <v>465.22</v>
      </c>
      <c r="M1454" s="22">
        <v>0.02</v>
      </c>
      <c r="N1454" s="21">
        <f t="shared" si="114"/>
        <v>455.91560000000004</v>
      </c>
      <c r="O1454" s="21">
        <v>1823.66</v>
      </c>
      <c r="P1454" s="19" t="s">
        <v>6</v>
      </c>
      <c r="Q1454" s="23">
        <v>4</v>
      </c>
      <c r="R1454" s="45">
        <v>2.8</v>
      </c>
    </row>
    <row r="1455" spans="2:18" x14ac:dyDescent="0.2">
      <c r="B1455" s="25">
        <v>1452</v>
      </c>
      <c r="C1455" s="18">
        <v>45282</v>
      </c>
      <c r="D1455" s="24">
        <f t="shared" si="110"/>
        <v>2023</v>
      </c>
      <c r="E1455" s="24" t="str">
        <f t="shared" si="111"/>
        <v>Q4</v>
      </c>
      <c r="F1455" s="24" t="str">
        <f t="shared" si="112"/>
        <v>Dec</v>
      </c>
      <c r="G1455" s="24">
        <f t="shared" si="113"/>
        <v>12</v>
      </c>
      <c r="H1455" s="19">
        <v>1142</v>
      </c>
      <c r="I1455" s="19" t="s">
        <v>3</v>
      </c>
      <c r="J1455" s="19" t="s">
        <v>8</v>
      </c>
      <c r="K1455" s="20">
        <v>4</v>
      </c>
      <c r="L1455" s="21">
        <v>577.80999999999995</v>
      </c>
      <c r="M1455" s="22">
        <v>0.27</v>
      </c>
      <c r="N1455" s="21">
        <f t="shared" si="114"/>
        <v>421.80129999999997</v>
      </c>
      <c r="O1455" s="21">
        <v>1687.21</v>
      </c>
      <c r="P1455" s="19" t="s">
        <v>4</v>
      </c>
      <c r="Q1455" s="23">
        <v>11</v>
      </c>
      <c r="R1455" s="45">
        <v>2.6</v>
      </c>
    </row>
    <row r="1456" spans="2:18" x14ac:dyDescent="0.2">
      <c r="B1456" s="25">
        <v>1453</v>
      </c>
      <c r="C1456" s="18">
        <v>45283</v>
      </c>
      <c r="D1456" s="24">
        <f t="shared" si="110"/>
        <v>2023</v>
      </c>
      <c r="E1456" s="24" t="str">
        <f t="shared" si="111"/>
        <v>Q4</v>
      </c>
      <c r="F1456" s="24" t="str">
        <f t="shared" si="112"/>
        <v>Dec</v>
      </c>
      <c r="G1456" s="24">
        <f t="shared" si="113"/>
        <v>12</v>
      </c>
      <c r="H1456" s="19">
        <v>1992</v>
      </c>
      <c r="I1456" s="19" t="s">
        <v>7</v>
      </c>
      <c r="J1456" s="19" t="s">
        <v>8</v>
      </c>
      <c r="K1456" s="20">
        <v>6</v>
      </c>
      <c r="L1456" s="21">
        <v>471.09</v>
      </c>
      <c r="M1456" s="22">
        <v>0.11</v>
      </c>
      <c r="N1456" s="21">
        <f t="shared" si="114"/>
        <v>419.27009999999996</v>
      </c>
      <c r="O1456" s="21">
        <v>2515.62</v>
      </c>
      <c r="P1456" s="19" t="s">
        <v>6</v>
      </c>
      <c r="Q1456" s="23">
        <v>5</v>
      </c>
      <c r="R1456" s="45">
        <v>4.5</v>
      </c>
    </row>
    <row r="1457" spans="2:18" x14ac:dyDescent="0.2">
      <c r="B1457" s="25">
        <v>1454</v>
      </c>
      <c r="C1457" s="18">
        <v>45284</v>
      </c>
      <c r="D1457" s="24">
        <f t="shared" si="110"/>
        <v>2023</v>
      </c>
      <c r="E1457" s="24" t="str">
        <f t="shared" si="111"/>
        <v>Q4</v>
      </c>
      <c r="F1457" s="24" t="str">
        <f t="shared" si="112"/>
        <v>Dec</v>
      </c>
      <c r="G1457" s="24">
        <f t="shared" si="113"/>
        <v>12</v>
      </c>
      <c r="H1457" s="19">
        <v>1664</v>
      </c>
      <c r="I1457" s="19" t="s">
        <v>10</v>
      </c>
      <c r="J1457" s="19" t="s">
        <v>1</v>
      </c>
      <c r="K1457" s="20">
        <v>4</v>
      </c>
      <c r="L1457" s="21">
        <v>526.80999999999995</v>
      </c>
      <c r="M1457" s="22">
        <v>0.01</v>
      </c>
      <c r="N1457" s="21">
        <f t="shared" si="114"/>
        <v>521.54189999999994</v>
      </c>
      <c r="O1457" s="21">
        <v>2086.17</v>
      </c>
      <c r="P1457" s="19" t="s">
        <v>2</v>
      </c>
      <c r="Q1457" s="23">
        <v>8</v>
      </c>
      <c r="R1457" s="45">
        <v>3.4</v>
      </c>
    </row>
    <row r="1458" spans="2:18" x14ac:dyDescent="0.2">
      <c r="B1458" s="25">
        <v>1455</v>
      </c>
      <c r="C1458" s="18">
        <v>45285</v>
      </c>
      <c r="D1458" s="24">
        <f t="shared" si="110"/>
        <v>2023</v>
      </c>
      <c r="E1458" s="24" t="str">
        <f t="shared" si="111"/>
        <v>Q4</v>
      </c>
      <c r="F1458" s="24" t="str">
        <f t="shared" si="112"/>
        <v>Dec</v>
      </c>
      <c r="G1458" s="24">
        <f t="shared" si="113"/>
        <v>12</v>
      </c>
      <c r="H1458" s="19">
        <v>1144</v>
      </c>
      <c r="I1458" s="19" t="s">
        <v>10</v>
      </c>
      <c r="J1458" s="19" t="s">
        <v>5</v>
      </c>
      <c r="K1458" s="20">
        <v>5</v>
      </c>
      <c r="L1458" s="21">
        <v>428.32</v>
      </c>
      <c r="M1458" s="22">
        <v>0.26</v>
      </c>
      <c r="N1458" s="21">
        <f t="shared" si="114"/>
        <v>316.95679999999999</v>
      </c>
      <c r="O1458" s="21">
        <v>1584.78</v>
      </c>
      <c r="P1458" s="19" t="s">
        <v>4</v>
      </c>
      <c r="Q1458" s="23">
        <v>11</v>
      </c>
      <c r="R1458" s="45">
        <v>4.2</v>
      </c>
    </row>
    <row r="1459" spans="2:18" x14ac:dyDescent="0.2">
      <c r="B1459" s="25">
        <v>1456</v>
      </c>
      <c r="C1459" s="18">
        <v>45286</v>
      </c>
      <c r="D1459" s="24">
        <f t="shared" si="110"/>
        <v>2023</v>
      </c>
      <c r="E1459" s="24" t="str">
        <f t="shared" si="111"/>
        <v>Q4</v>
      </c>
      <c r="F1459" s="24" t="str">
        <f t="shared" si="112"/>
        <v>Dec</v>
      </c>
      <c r="G1459" s="24">
        <f t="shared" si="113"/>
        <v>12</v>
      </c>
      <c r="H1459" s="19">
        <v>1224</v>
      </c>
      <c r="I1459" s="19" t="s">
        <v>10</v>
      </c>
      <c r="J1459" s="19" t="s">
        <v>9</v>
      </c>
      <c r="K1459" s="20">
        <v>1</v>
      </c>
      <c r="L1459" s="21">
        <v>459.89</v>
      </c>
      <c r="M1459" s="22">
        <v>0.12</v>
      </c>
      <c r="N1459" s="21">
        <f t="shared" si="114"/>
        <v>404.70319999999998</v>
      </c>
      <c r="O1459" s="21">
        <v>404.7</v>
      </c>
      <c r="P1459" s="19" t="s">
        <v>4</v>
      </c>
      <c r="Q1459" s="23">
        <v>6</v>
      </c>
      <c r="R1459" s="45">
        <v>4.2</v>
      </c>
    </row>
    <row r="1460" spans="2:18" x14ac:dyDescent="0.2">
      <c r="B1460" s="25">
        <v>1457</v>
      </c>
      <c r="C1460" s="18">
        <v>45287</v>
      </c>
      <c r="D1460" s="24">
        <f t="shared" si="110"/>
        <v>2023</v>
      </c>
      <c r="E1460" s="24" t="str">
        <f t="shared" si="111"/>
        <v>Q4</v>
      </c>
      <c r="F1460" s="24" t="str">
        <f t="shared" si="112"/>
        <v>Dec</v>
      </c>
      <c r="G1460" s="24">
        <f t="shared" si="113"/>
        <v>12</v>
      </c>
      <c r="H1460" s="19">
        <v>1502</v>
      </c>
      <c r="I1460" s="19" t="s">
        <v>10</v>
      </c>
      <c r="J1460" s="19" t="s">
        <v>8</v>
      </c>
      <c r="K1460" s="20">
        <v>4</v>
      </c>
      <c r="L1460" s="21">
        <v>321.06</v>
      </c>
      <c r="M1460" s="22">
        <v>0.25</v>
      </c>
      <c r="N1460" s="21">
        <f t="shared" si="114"/>
        <v>240.79500000000002</v>
      </c>
      <c r="O1460" s="21">
        <v>963.18</v>
      </c>
      <c r="P1460" s="19" t="s">
        <v>6</v>
      </c>
      <c r="Q1460" s="23">
        <v>4</v>
      </c>
      <c r="R1460" s="45">
        <v>1.5</v>
      </c>
    </row>
    <row r="1461" spans="2:18" x14ac:dyDescent="0.2">
      <c r="B1461" s="25">
        <v>1458</v>
      </c>
      <c r="C1461" s="18">
        <v>45288</v>
      </c>
      <c r="D1461" s="24">
        <f t="shared" si="110"/>
        <v>2023</v>
      </c>
      <c r="E1461" s="24" t="str">
        <f t="shared" si="111"/>
        <v>Q4</v>
      </c>
      <c r="F1461" s="24" t="str">
        <f t="shared" si="112"/>
        <v>Dec</v>
      </c>
      <c r="G1461" s="24">
        <f t="shared" si="113"/>
        <v>12</v>
      </c>
      <c r="H1461" s="19">
        <v>1961</v>
      </c>
      <c r="I1461" s="19" t="s">
        <v>3</v>
      </c>
      <c r="J1461" s="19" t="s">
        <v>1</v>
      </c>
      <c r="K1461" s="20">
        <v>7</v>
      </c>
      <c r="L1461" s="21">
        <v>555.67999999999995</v>
      </c>
      <c r="M1461" s="22">
        <v>0.25</v>
      </c>
      <c r="N1461" s="21">
        <f t="shared" si="114"/>
        <v>416.76</v>
      </c>
      <c r="O1461" s="21">
        <v>2917.32</v>
      </c>
      <c r="P1461" s="19" t="s">
        <v>2</v>
      </c>
      <c r="Q1461" s="23">
        <v>5</v>
      </c>
      <c r="R1461" s="45">
        <v>3.6</v>
      </c>
    </row>
    <row r="1462" spans="2:18" x14ac:dyDescent="0.2">
      <c r="B1462" s="25">
        <v>1459</v>
      </c>
      <c r="C1462" s="18">
        <v>45289</v>
      </c>
      <c r="D1462" s="24">
        <f t="shared" si="110"/>
        <v>2023</v>
      </c>
      <c r="E1462" s="24" t="str">
        <f t="shared" si="111"/>
        <v>Q4</v>
      </c>
      <c r="F1462" s="24" t="str">
        <f t="shared" si="112"/>
        <v>Dec</v>
      </c>
      <c r="G1462" s="24">
        <f t="shared" si="113"/>
        <v>12</v>
      </c>
      <c r="H1462" s="19">
        <v>1973</v>
      </c>
      <c r="I1462" s="19" t="s">
        <v>7</v>
      </c>
      <c r="J1462" s="19" t="s">
        <v>1</v>
      </c>
      <c r="K1462" s="20">
        <v>5</v>
      </c>
      <c r="L1462" s="21">
        <v>497.65</v>
      </c>
      <c r="M1462" s="22">
        <v>0.19</v>
      </c>
      <c r="N1462" s="21">
        <f t="shared" si="114"/>
        <v>403.09649999999999</v>
      </c>
      <c r="O1462" s="21">
        <v>2015.48</v>
      </c>
      <c r="P1462" s="19" t="s">
        <v>6</v>
      </c>
      <c r="Q1462" s="23">
        <v>11</v>
      </c>
      <c r="R1462" s="45">
        <v>4.8</v>
      </c>
    </row>
    <row r="1463" spans="2:18" x14ac:dyDescent="0.2">
      <c r="B1463" s="25">
        <v>1460</v>
      </c>
      <c r="C1463" s="18">
        <v>45290</v>
      </c>
      <c r="D1463" s="24">
        <f t="shared" si="110"/>
        <v>2023</v>
      </c>
      <c r="E1463" s="24" t="str">
        <f t="shared" si="111"/>
        <v>Q4</v>
      </c>
      <c r="F1463" s="24" t="str">
        <f t="shared" si="112"/>
        <v>Dec</v>
      </c>
      <c r="G1463" s="24">
        <f t="shared" si="113"/>
        <v>12</v>
      </c>
      <c r="H1463" s="19">
        <v>1820</v>
      </c>
      <c r="I1463" s="19" t="s">
        <v>10</v>
      </c>
      <c r="J1463" s="19" t="s">
        <v>1</v>
      </c>
      <c r="K1463" s="20">
        <v>5</v>
      </c>
      <c r="L1463" s="21">
        <v>508.67</v>
      </c>
      <c r="M1463" s="22">
        <v>0.27</v>
      </c>
      <c r="N1463" s="21">
        <f t="shared" si="114"/>
        <v>371.32910000000004</v>
      </c>
      <c r="O1463" s="21">
        <v>1856.65</v>
      </c>
      <c r="P1463" s="19" t="s">
        <v>6</v>
      </c>
      <c r="Q1463" s="23">
        <v>7</v>
      </c>
      <c r="R1463" s="45">
        <v>2.9</v>
      </c>
    </row>
    <row r="1464" spans="2:18" x14ac:dyDescent="0.2">
      <c r="B1464" s="25">
        <v>1461</v>
      </c>
      <c r="C1464" s="18">
        <v>45291</v>
      </c>
      <c r="D1464" s="24">
        <f t="shared" si="110"/>
        <v>2023</v>
      </c>
      <c r="E1464" s="24" t="str">
        <f t="shared" si="111"/>
        <v>Q4</v>
      </c>
      <c r="F1464" s="24" t="str">
        <f t="shared" si="112"/>
        <v>Dec</v>
      </c>
      <c r="G1464" s="24">
        <f t="shared" si="113"/>
        <v>12</v>
      </c>
      <c r="H1464" s="19">
        <v>1615</v>
      </c>
      <c r="I1464" s="19" t="s">
        <v>3</v>
      </c>
      <c r="J1464" s="19" t="s">
        <v>9</v>
      </c>
      <c r="K1464" s="20">
        <v>5</v>
      </c>
      <c r="L1464" s="21">
        <v>408.71</v>
      </c>
      <c r="M1464" s="22">
        <v>0.2</v>
      </c>
      <c r="N1464" s="21">
        <f t="shared" si="114"/>
        <v>326.96799999999996</v>
      </c>
      <c r="O1464" s="21">
        <v>1634.84</v>
      </c>
      <c r="P1464" s="19" t="s">
        <v>4</v>
      </c>
      <c r="Q1464" s="23">
        <v>8</v>
      </c>
      <c r="R1464" s="45">
        <v>3.9</v>
      </c>
    </row>
    <row r="1465" spans="2:18" x14ac:dyDescent="0.2">
      <c r="B1465" s="25">
        <v>1462</v>
      </c>
      <c r="C1465" s="18">
        <v>45292</v>
      </c>
      <c r="D1465" s="24">
        <f t="shared" si="110"/>
        <v>2024</v>
      </c>
      <c r="E1465" s="24" t="str">
        <f t="shared" si="111"/>
        <v>Q1</v>
      </c>
      <c r="F1465" s="24" t="str">
        <f t="shared" si="112"/>
        <v>Jan</v>
      </c>
      <c r="G1465" s="24">
        <f t="shared" si="113"/>
        <v>1</v>
      </c>
      <c r="H1465" s="19">
        <v>1103</v>
      </c>
      <c r="I1465" s="19" t="s">
        <v>10</v>
      </c>
      <c r="J1465" s="19" t="s">
        <v>9</v>
      </c>
      <c r="K1465" s="20">
        <v>3</v>
      </c>
      <c r="L1465" s="21">
        <v>193.18</v>
      </c>
      <c r="M1465" s="22">
        <v>0.1</v>
      </c>
      <c r="N1465" s="21">
        <f t="shared" si="114"/>
        <v>173.86199999999999</v>
      </c>
      <c r="O1465" s="21">
        <v>521.59</v>
      </c>
      <c r="P1465" s="19" t="s">
        <v>4</v>
      </c>
      <c r="Q1465" s="23">
        <v>5</v>
      </c>
      <c r="R1465" s="45">
        <v>3.3</v>
      </c>
    </row>
    <row r="1466" spans="2:18" x14ac:dyDescent="0.2">
      <c r="B1466" s="25">
        <v>1463</v>
      </c>
      <c r="C1466" s="18">
        <v>45293</v>
      </c>
      <c r="D1466" s="24">
        <f t="shared" si="110"/>
        <v>2024</v>
      </c>
      <c r="E1466" s="24" t="str">
        <f t="shared" si="111"/>
        <v>Q1</v>
      </c>
      <c r="F1466" s="24" t="str">
        <f t="shared" si="112"/>
        <v>Jan</v>
      </c>
      <c r="G1466" s="24">
        <f t="shared" si="113"/>
        <v>1</v>
      </c>
      <c r="H1466" s="19">
        <v>1946</v>
      </c>
      <c r="I1466" s="19" t="s">
        <v>7</v>
      </c>
      <c r="J1466" s="19" t="s">
        <v>5</v>
      </c>
      <c r="K1466" s="20">
        <v>7</v>
      </c>
      <c r="L1466" s="21">
        <v>35.840000000000003</v>
      </c>
      <c r="M1466" s="22">
        <v>0.26</v>
      </c>
      <c r="N1466" s="21">
        <f t="shared" si="114"/>
        <v>26.521600000000003</v>
      </c>
      <c r="O1466" s="21">
        <v>185.65</v>
      </c>
      <c r="P1466" s="19" t="s">
        <v>6</v>
      </c>
      <c r="Q1466" s="23">
        <v>2</v>
      </c>
      <c r="R1466" s="45">
        <v>1.8</v>
      </c>
    </row>
    <row r="1467" spans="2:18" x14ac:dyDescent="0.2">
      <c r="B1467" s="25">
        <v>1464</v>
      </c>
      <c r="C1467" s="18">
        <v>45294</v>
      </c>
      <c r="D1467" s="24">
        <f t="shared" si="110"/>
        <v>2024</v>
      </c>
      <c r="E1467" s="24" t="str">
        <f t="shared" si="111"/>
        <v>Q1</v>
      </c>
      <c r="F1467" s="24" t="str">
        <f t="shared" si="112"/>
        <v>Jan</v>
      </c>
      <c r="G1467" s="24">
        <f t="shared" si="113"/>
        <v>1</v>
      </c>
      <c r="H1467" s="19">
        <v>1038</v>
      </c>
      <c r="I1467" s="19" t="s">
        <v>7</v>
      </c>
      <c r="J1467" s="19" t="s">
        <v>1</v>
      </c>
      <c r="K1467" s="20">
        <v>3</v>
      </c>
      <c r="L1467" s="21">
        <v>562.36</v>
      </c>
      <c r="M1467" s="22">
        <v>0.21</v>
      </c>
      <c r="N1467" s="21">
        <f t="shared" si="114"/>
        <v>444.26440000000002</v>
      </c>
      <c r="O1467" s="21">
        <v>1332.79</v>
      </c>
      <c r="P1467" s="19" t="s">
        <v>4</v>
      </c>
      <c r="Q1467" s="23">
        <v>6</v>
      </c>
      <c r="R1467" s="45">
        <v>1.8</v>
      </c>
    </row>
    <row r="1468" spans="2:18" x14ac:dyDescent="0.2">
      <c r="B1468" s="25">
        <v>1465</v>
      </c>
      <c r="C1468" s="18">
        <v>45295</v>
      </c>
      <c r="D1468" s="24">
        <f t="shared" si="110"/>
        <v>2024</v>
      </c>
      <c r="E1468" s="24" t="str">
        <f t="shared" si="111"/>
        <v>Q1</v>
      </c>
      <c r="F1468" s="24" t="str">
        <f t="shared" si="112"/>
        <v>Jan</v>
      </c>
      <c r="G1468" s="24">
        <f t="shared" si="113"/>
        <v>1</v>
      </c>
      <c r="H1468" s="19">
        <v>1946</v>
      </c>
      <c r="I1468" s="19" t="s">
        <v>0</v>
      </c>
      <c r="J1468" s="19" t="s">
        <v>9</v>
      </c>
      <c r="K1468" s="20">
        <v>5</v>
      </c>
      <c r="L1468" s="21">
        <v>357.88</v>
      </c>
      <c r="M1468" s="22">
        <v>0</v>
      </c>
      <c r="N1468" s="21">
        <f t="shared" si="114"/>
        <v>357.88</v>
      </c>
      <c r="O1468" s="21">
        <v>1789.4</v>
      </c>
      <c r="P1468" s="19" t="s">
        <v>2</v>
      </c>
      <c r="Q1468" s="23">
        <v>9</v>
      </c>
      <c r="R1468" s="45">
        <v>2.7</v>
      </c>
    </row>
    <row r="1469" spans="2:18" x14ac:dyDescent="0.2">
      <c r="B1469" s="25">
        <v>1466</v>
      </c>
      <c r="C1469" s="18">
        <v>45296</v>
      </c>
      <c r="D1469" s="24">
        <f t="shared" si="110"/>
        <v>2024</v>
      </c>
      <c r="E1469" s="24" t="str">
        <f t="shared" si="111"/>
        <v>Q1</v>
      </c>
      <c r="F1469" s="24" t="str">
        <f t="shared" si="112"/>
        <v>Jan</v>
      </c>
      <c r="G1469" s="24">
        <f t="shared" si="113"/>
        <v>1</v>
      </c>
      <c r="H1469" s="19">
        <v>1197</v>
      </c>
      <c r="I1469" s="19" t="s">
        <v>7</v>
      </c>
      <c r="J1469" s="19" t="s">
        <v>1</v>
      </c>
      <c r="K1469" s="20">
        <v>6</v>
      </c>
      <c r="L1469" s="21">
        <v>189.41</v>
      </c>
      <c r="M1469" s="22">
        <v>0.32</v>
      </c>
      <c r="N1469" s="21">
        <f t="shared" si="114"/>
        <v>128.7988</v>
      </c>
      <c r="O1469" s="21">
        <v>772.79</v>
      </c>
      <c r="P1469" s="19" t="s">
        <v>6</v>
      </c>
      <c r="Q1469" s="23">
        <v>3</v>
      </c>
      <c r="R1469" s="45">
        <v>2.9</v>
      </c>
    </row>
    <row r="1470" spans="2:18" x14ac:dyDescent="0.2">
      <c r="B1470" s="25">
        <v>1467</v>
      </c>
      <c r="C1470" s="18">
        <v>45297</v>
      </c>
      <c r="D1470" s="24">
        <f t="shared" si="110"/>
        <v>2024</v>
      </c>
      <c r="E1470" s="24" t="str">
        <f t="shared" si="111"/>
        <v>Q1</v>
      </c>
      <c r="F1470" s="24" t="str">
        <f t="shared" si="112"/>
        <v>Jan</v>
      </c>
      <c r="G1470" s="24">
        <f t="shared" si="113"/>
        <v>1</v>
      </c>
      <c r="H1470" s="19">
        <v>1645</v>
      </c>
      <c r="I1470" s="19" t="s">
        <v>0</v>
      </c>
      <c r="J1470" s="19" t="s">
        <v>8</v>
      </c>
      <c r="K1470" s="20">
        <v>4</v>
      </c>
      <c r="L1470" s="21">
        <v>102.24</v>
      </c>
      <c r="M1470" s="22">
        <v>0.19</v>
      </c>
      <c r="N1470" s="21">
        <f t="shared" si="114"/>
        <v>82.814399999999992</v>
      </c>
      <c r="O1470" s="21">
        <v>331.26</v>
      </c>
      <c r="P1470" s="19" t="s">
        <v>6</v>
      </c>
      <c r="Q1470" s="23">
        <v>7</v>
      </c>
      <c r="R1470" s="45">
        <v>3</v>
      </c>
    </row>
    <row r="1471" spans="2:18" x14ac:dyDescent="0.2">
      <c r="B1471" s="25">
        <v>1468</v>
      </c>
      <c r="C1471" s="18">
        <v>45298</v>
      </c>
      <c r="D1471" s="24">
        <f t="shared" si="110"/>
        <v>2024</v>
      </c>
      <c r="E1471" s="24" t="str">
        <f t="shared" si="111"/>
        <v>Q1</v>
      </c>
      <c r="F1471" s="24" t="str">
        <f t="shared" si="112"/>
        <v>Jan</v>
      </c>
      <c r="G1471" s="24">
        <f t="shared" si="113"/>
        <v>1</v>
      </c>
      <c r="H1471" s="19">
        <v>1578</v>
      </c>
      <c r="I1471" s="19" t="s">
        <v>0</v>
      </c>
      <c r="J1471" s="19" t="s">
        <v>1</v>
      </c>
      <c r="K1471" s="20">
        <v>1</v>
      </c>
      <c r="L1471" s="21">
        <v>500.27</v>
      </c>
      <c r="M1471" s="22">
        <v>0.3</v>
      </c>
      <c r="N1471" s="21">
        <f t="shared" si="114"/>
        <v>350.18899999999996</v>
      </c>
      <c r="O1471" s="21">
        <v>350.19</v>
      </c>
      <c r="P1471" s="19" t="s">
        <v>6</v>
      </c>
      <c r="Q1471" s="23">
        <v>8</v>
      </c>
      <c r="R1471" s="45">
        <v>4.8</v>
      </c>
    </row>
    <row r="1472" spans="2:18" x14ac:dyDescent="0.2">
      <c r="B1472" s="25">
        <v>1469</v>
      </c>
      <c r="C1472" s="18">
        <v>45299</v>
      </c>
      <c r="D1472" s="24">
        <f t="shared" si="110"/>
        <v>2024</v>
      </c>
      <c r="E1472" s="24" t="str">
        <f t="shared" si="111"/>
        <v>Q1</v>
      </c>
      <c r="F1472" s="24" t="str">
        <f t="shared" si="112"/>
        <v>Jan</v>
      </c>
      <c r="G1472" s="24">
        <f t="shared" si="113"/>
        <v>1</v>
      </c>
      <c r="H1472" s="19">
        <v>1390</v>
      </c>
      <c r="I1472" s="19" t="s">
        <v>10</v>
      </c>
      <c r="J1472" s="19" t="s">
        <v>5</v>
      </c>
      <c r="K1472" s="20">
        <v>7</v>
      </c>
      <c r="L1472" s="21">
        <v>504.36</v>
      </c>
      <c r="M1472" s="22">
        <v>0.31</v>
      </c>
      <c r="N1472" s="21">
        <f t="shared" si="114"/>
        <v>348.00840000000005</v>
      </c>
      <c r="O1472" s="21">
        <v>2436.06</v>
      </c>
      <c r="P1472" s="19" t="s">
        <v>6</v>
      </c>
      <c r="Q1472" s="23">
        <v>6</v>
      </c>
      <c r="R1472" s="45">
        <v>1.4</v>
      </c>
    </row>
    <row r="1473" spans="2:18" x14ac:dyDescent="0.2">
      <c r="B1473" s="25">
        <v>1470</v>
      </c>
      <c r="C1473" s="18">
        <v>45300</v>
      </c>
      <c r="D1473" s="24">
        <f t="shared" si="110"/>
        <v>2024</v>
      </c>
      <c r="E1473" s="24" t="str">
        <f t="shared" si="111"/>
        <v>Q1</v>
      </c>
      <c r="F1473" s="24" t="str">
        <f t="shared" si="112"/>
        <v>Jan</v>
      </c>
      <c r="G1473" s="24">
        <f t="shared" si="113"/>
        <v>1</v>
      </c>
      <c r="H1473" s="19">
        <v>1178</v>
      </c>
      <c r="I1473" s="19" t="s">
        <v>10</v>
      </c>
      <c r="J1473" s="19" t="s">
        <v>9</v>
      </c>
      <c r="K1473" s="20">
        <v>6</v>
      </c>
      <c r="L1473" s="21">
        <v>491.49</v>
      </c>
      <c r="M1473" s="22">
        <v>0.16</v>
      </c>
      <c r="N1473" s="21">
        <f t="shared" si="114"/>
        <v>412.85160000000002</v>
      </c>
      <c r="O1473" s="21">
        <v>2477.11</v>
      </c>
      <c r="P1473" s="19" t="s">
        <v>6</v>
      </c>
      <c r="Q1473" s="23">
        <v>3</v>
      </c>
      <c r="R1473" s="45">
        <v>2.5</v>
      </c>
    </row>
    <row r="1474" spans="2:18" x14ac:dyDescent="0.2">
      <c r="B1474" s="25">
        <v>1471</v>
      </c>
      <c r="C1474" s="18">
        <v>45301</v>
      </c>
      <c r="D1474" s="24">
        <f t="shared" si="110"/>
        <v>2024</v>
      </c>
      <c r="E1474" s="24" t="str">
        <f t="shared" si="111"/>
        <v>Q1</v>
      </c>
      <c r="F1474" s="24" t="str">
        <f t="shared" si="112"/>
        <v>Jan</v>
      </c>
      <c r="G1474" s="24">
        <f t="shared" si="113"/>
        <v>1</v>
      </c>
      <c r="H1474" s="19">
        <v>1967</v>
      </c>
      <c r="I1474" s="19" t="s">
        <v>3</v>
      </c>
      <c r="J1474" s="19" t="s">
        <v>8</v>
      </c>
      <c r="K1474" s="20">
        <v>2</v>
      </c>
      <c r="L1474" s="21">
        <v>392.37</v>
      </c>
      <c r="M1474" s="22">
        <v>0.18</v>
      </c>
      <c r="N1474" s="21">
        <f t="shared" si="114"/>
        <v>321.74340000000001</v>
      </c>
      <c r="O1474" s="21">
        <v>643.49</v>
      </c>
      <c r="P1474" s="19" t="s">
        <v>2</v>
      </c>
      <c r="Q1474" s="23">
        <v>1</v>
      </c>
      <c r="R1474" s="45">
        <v>3.1</v>
      </c>
    </row>
    <row r="1475" spans="2:18" x14ac:dyDescent="0.2">
      <c r="B1475" s="25">
        <v>1472</v>
      </c>
      <c r="C1475" s="18">
        <v>45302</v>
      </c>
      <c r="D1475" s="24">
        <f t="shared" si="110"/>
        <v>2024</v>
      </c>
      <c r="E1475" s="24" t="str">
        <f t="shared" si="111"/>
        <v>Q1</v>
      </c>
      <c r="F1475" s="24" t="str">
        <f t="shared" si="112"/>
        <v>Jan</v>
      </c>
      <c r="G1475" s="24">
        <f t="shared" si="113"/>
        <v>1</v>
      </c>
      <c r="H1475" s="19">
        <v>1553</v>
      </c>
      <c r="I1475" s="19" t="s">
        <v>0</v>
      </c>
      <c r="J1475" s="19" t="s">
        <v>9</v>
      </c>
      <c r="K1475" s="20">
        <v>3</v>
      </c>
      <c r="L1475" s="21">
        <v>229.12</v>
      </c>
      <c r="M1475" s="22">
        <v>0.15</v>
      </c>
      <c r="N1475" s="21">
        <f t="shared" si="114"/>
        <v>194.75200000000001</v>
      </c>
      <c r="O1475" s="21">
        <v>584.26</v>
      </c>
      <c r="P1475" s="19" t="s">
        <v>2</v>
      </c>
      <c r="Q1475" s="23">
        <v>3</v>
      </c>
      <c r="R1475" s="45">
        <v>4.9000000000000004</v>
      </c>
    </row>
    <row r="1476" spans="2:18" x14ac:dyDescent="0.2">
      <c r="B1476" s="25">
        <v>1473</v>
      </c>
      <c r="C1476" s="18">
        <v>45303</v>
      </c>
      <c r="D1476" s="24">
        <f t="shared" ref="D1476:D1539" si="115">YEAR(C1476)</f>
        <v>2024</v>
      </c>
      <c r="E1476" s="24" t="str">
        <f t="shared" ref="E1476:E1539" si="116">"Q"&amp;ROUNDUP(MONTH(C1476)/3,0)</f>
        <v>Q1</v>
      </c>
      <c r="F1476" s="24" t="str">
        <f t="shared" ref="F1476:F1539" si="117">TEXT(C1476,"mmm")</f>
        <v>Jan</v>
      </c>
      <c r="G1476" s="24">
        <f t="shared" ref="G1476:G1539" si="118">MONTH(C1476)</f>
        <v>1</v>
      </c>
      <c r="H1476" s="19">
        <v>1447</v>
      </c>
      <c r="I1476" s="19" t="s">
        <v>7</v>
      </c>
      <c r="J1476" s="19" t="s">
        <v>8</v>
      </c>
      <c r="K1476" s="20">
        <v>4</v>
      </c>
      <c r="L1476" s="21">
        <v>192.88</v>
      </c>
      <c r="M1476" s="22">
        <v>0.16</v>
      </c>
      <c r="N1476" s="21">
        <f t="shared" si="114"/>
        <v>162.01919999999998</v>
      </c>
      <c r="O1476" s="21">
        <v>648.08000000000004</v>
      </c>
      <c r="P1476" s="19" t="s">
        <v>2</v>
      </c>
      <c r="Q1476" s="23">
        <v>11</v>
      </c>
      <c r="R1476" s="45">
        <v>3</v>
      </c>
    </row>
    <row r="1477" spans="2:18" x14ac:dyDescent="0.2">
      <c r="B1477" s="25">
        <v>1474</v>
      </c>
      <c r="C1477" s="18">
        <v>45304</v>
      </c>
      <c r="D1477" s="24">
        <f t="shared" si="115"/>
        <v>2024</v>
      </c>
      <c r="E1477" s="24" t="str">
        <f t="shared" si="116"/>
        <v>Q1</v>
      </c>
      <c r="F1477" s="24" t="str">
        <f t="shared" si="117"/>
        <v>Jan</v>
      </c>
      <c r="G1477" s="24">
        <f t="shared" si="118"/>
        <v>1</v>
      </c>
      <c r="H1477" s="19">
        <v>1499</v>
      </c>
      <c r="I1477" s="19" t="s">
        <v>3</v>
      </c>
      <c r="J1477" s="19" t="s">
        <v>1</v>
      </c>
      <c r="K1477" s="20">
        <v>4</v>
      </c>
      <c r="L1477" s="21">
        <v>20</v>
      </c>
      <c r="M1477" s="22">
        <v>0.31</v>
      </c>
      <c r="N1477" s="21">
        <f t="shared" ref="N1477:N1540" si="119">L1477-(L1477*M1477)</f>
        <v>13.8</v>
      </c>
      <c r="O1477" s="21">
        <v>55.2</v>
      </c>
      <c r="P1477" s="19" t="s">
        <v>2</v>
      </c>
      <c r="Q1477" s="23">
        <v>6</v>
      </c>
      <c r="R1477" s="45">
        <v>4.0999999999999996</v>
      </c>
    </row>
    <row r="1478" spans="2:18" x14ac:dyDescent="0.2">
      <c r="B1478" s="25">
        <v>1475</v>
      </c>
      <c r="C1478" s="18">
        <v>45305</v>
      </c>
      <c r="D1478" s="24">
        <f t="shared" si="115"/>
        <v>2024</v>
      </c>
      <c r="E1478" s="24" t="str">
        <f t="shared" si="116"/>
        <v>Q1</v>
      </c>
      <c r="F1478" s="24" t="str">
        <f t="shared" si="117"/>
        <v>Jan</v>
      </c>
      <c r="G1478" s="24">
        <f t="shared" si="118"/>
        <v>1</v>
      </c>
      <c r="H1478" s="19">
        <v>1014</v>
      </c>
      <c r="I1478" s="19" t="s">
        <v>3</v>
      </c>
      <c r="J1478" s="19" t="s">
        <v>1</v>
      </c>
      <c r="K1478" s="20">
        <v>2</v>
      </c>
      <c r="L1478" s="21">
        <v>502.66</v>
      </c>
      <c r="M1478" s="22">
        <v>0.28000000000000003</v>
      </c>
      <c r="N1478" s="21">
        <f t="shared" si="119"/>
        <v>361.91520000000003</v>
      </c>
      <c r="O1478" s="21">
        <v>723.83</v>
      </c>
      <c r="P1478" s="19" t="s">
        <v>6</v>
      </c>
      <c r="Q1478" s="23">
        <v>11</v>
      </c>
      <c r="R1478" s="45">
        <v>4</v>
      </c>
    </row>
    <row r="1479" spans="2:18" x14ac:dyDescent="0.2">
      <c r="B1479" s="25">
        <v>1476</v>
      </c>
      <c r="C1479" s="18">
        <v>45306</v>
      </c>
      <c r="D1479" s="24">
        <f t="shared" si="115"/>
        <v>2024</v>
      </c>
      <c r="E1479" s="24" t="str">
        <f t="shared" si="116"/>
        <v>Q1</v>
      </c>
      <c r="F1479" s="24" t="str">
        <f t="shared" si="117"/>
        <v>Jan</v>
      </c>
      <c r="G1479" s="24">
        <f t="shared" si="118"/>
        <v>1</v>
      </c>
      <c r="H1479" s="19">
        <v>1622</v>
      </c>
      <c r="I1479" s="19" t="s">
        <v>3</v>
      </c>
      <c r="J1479" s="19" t="s">
        <v>5</v>
      </c>
      <c r="K1479" s="20">
        <v>2</v>
      </c>
      <c r="L1479" s="21">
        <v>66.150000000000006</v>
      </c>
      <c r="M1479" s="22">
        <v>0.04</v>
      </c>
      <c r="N1479" s="21">
        <f t="shared" si="119"/>
        <v>63.504000000000005</v>
      </c>
      <c r="O1479" s="21">
        <v>127.01</v>
      </c>
      <c r="P1479" s="19" t="s">
        <v>6</v>
      </c>
      <c r="Q1479" s="23">
        <v>4</v>
      </c>
      <c r="R1479" s="45">
        <v>3.3</v>
      </c>
    </row>
    <row r="1480" spans="2:18" x14ac:dyDescent="0.2">
      <c r="B1480" s="25">
        <v>1477</v>
      </c>
      <c r="C1480" s="18">
        <v>45307</v>
      </c>
      <c r="D1480" s="24">
        <f t="shared" si="115"/>
        <v>2024</v>
      </c>
      <c r="E1480" s="24" t="str">
        <f t="shared" si="116"/>
        <v>Q1</v>
      </c>
      <c r="F1480" s="24" t="str">
        <f t="shared" si="117"/>
        <v>Jan</v>
      </c>
      <c r="G1480" s="24">
        <f t="shared" si="118"/>
        <v>1</v>
      </c>
      <c r="H1480" s="19">
        <v>1668</v>
      </c>
      <c r="I1480" s="19" t="s">
        <v>3</v>
      </c>
      <c r="J1480" s="19" t="s">
        <v>5</v>
      </c>
      <c r="K1480" s="20">
        <v>7</v>
      </c>
      <c r="L1480" s="21">
        <v>383.99</v>
      </c>
      <c r="M1480" s="22">
        <v>0.21</v>
      </c>
      <c r="N1480" s="21">
        <f t="shared" si="119"/>
        <v>303.35210000000001</v>
      </c>
      <c r="O1480" s="21">
        <v>2123.46</v>
      </c>
      <c r="P1480" s="19" t="s">
        <v>4</v>
      </c>
      <c r="Q1480" s="23">
        <v>1</v>
      </c>
      <c r="R1480" s="45">
        <v>1.5</v>
      </c>
    </row>
    <row r="1481" spans="2:18" x14ac:dyDescent="0.2">
      <c r="B1481" s="25">
        <v>1478</v>
      </c>
      <c r="C1481" s="18">
        <v>45308</v>
      </c>
      <c r="D1481" s="24">
        <f t="shared" si="115"/>
        <v>2024</v>
      </c>
      <c r="E1481" s="24" t="str">
        <f t="shared" si="116"/>
        <v>Q1</v>
      </c>
      <c r="F1481" s="24" t="str">
        <f t="shared" si="117"/>
        <v>Jan</v>
      </c>
      <c r="G1481" s="24">
        <f t="shared" si="118"/>
        <v>1</v>
      </c>
      <c r="H1481" s="19">
        <v>1288</v>
      </c>
      <c r="I1481" s="19" t="s">
        <v>7</v>
      </c>
      <c r="J1481" s="19" t="s">
        <v>8</v>
      </c>
      <c r="K1481" s="20">
        <v>4</v>
      </c>
      <c r="L1481" s="21">
        <v>309.88</v>
      </c>
      <c r="M1481" s="22">
        <v>0.35</v>
      </c>
      <c r="N1481" s="21">
        <f t="shared" si="119"/>
        <v>201.422</v>
      </c>
      <c r="O1481" s="21">
        <v>805.69</v>
      </c>
      <c r="P1481" s="19" t="s">
        <v>4</v>
      </c>
      <c r="Q1481" s="23">
        <v>6</v>
      </c>
      <c r="R1481" s="45">
        <v>1.9</v>
      </c>
    </row>
    <row r="1482" spans="2:18" x14ac:dyDescent="0.2">
      <c r="B1482" s="25">
        <v>1479</v>
      </c>
      <c r="C1482" s="18">
        <v>45309</v>
      </c>
      <c r="D1482" s="24">
        <f t="shared" si="115"/>
        <v>2024</v>
      </c>
      <c r="E1482" s="24" t="str">
        <f t="shared" si="116"/>
        <v>Q1</v>
      </c>
      <c r="F1482" s="24" t="str">
        <f t="shared" si="117"/>
        <v>Jan</v>
      </c>
      <c r="G1482" s="24">
        <f t="shared" si="118"/>
        <v>1</v>
      </c>
      <c r="H1482" s="19">
        <v>1477</v>
      </c>
      <c r="I1482" s="19" t="s">
        <v>3</v>
      </c>
      <c r="J1482" s="19" t="s">
        <v>5</v>
      </c>
      <c r="K1482" s="20">
        <v>2</v>
      </c>
      <c r="L1482" s="21">
        <v>323.11</v>
      </c>
      <c r="M1482" s="22">
        <v>0.21</v>
      </c>
      <c r="N1482" s="21">
        <f t="shared" si="119"/>
        <v>255.25690000000003</v>
      </c>
      <c r="O1482" s="21">
        <v>510.51</v>
      </c>
      <c r="P1482" s="19" t="s">
        <v>4</v>
      </c>
      <c r="Q1482" s="23">
        <v>1</v>
      </c>
      <c r="R1482" s="45">
        <v>2</v>
      </c>
    </row>
    <row r="1483" spans="2:18" x14ac:dyDescent="0.2">
      <c r="B1483" s="25">
        <v>1480</v>
      </c>
      <c r="C1483" s="18">
        <v>45310</v>
      </c>
      <c r="D1483" s="24">
        <f t="shared" si="115"/>
        <v>2024</v>
      </c>
      <c r="E1483" s="24" t="str">
        <f t="shared" si="116"/>
        <v>Q1</v>
      </c>
      <c r="F1483" s="24" t="str">
        <f t="shared" si="117"/>
        <v>Jan</v>
      </c>
      <c r="G1483" s="24">
        <f t="shared" si="118"/>
        <v>1</v>
      </c>
      <c r="H1483" s="19">
        <v>1230</v>
      </c>
      <c r="I1483" s="19" t="s">
        <v>0</v>
      </c>
      <c r="J1483" s="19" t="s">
        <v>5</v>
      </c>
      <c r="K1483" s="20">
        <v>4</v>
      </c>
      <c r="L1483" s="21">
        <v>557.13</v>
      </c>
      <c r="M1483" s="22">
        <v>0.28000000000000003</v>
      </c>
      <c r="N1483" s="21">
        <f t="shared" si="119"/>
        <v>401.1336</v>
      </c>
      <c r="O1483" s="21">
        <v>1604.53</v>
      </c>
      <c r="P1483" s="19" t="s">
        <v>4</v>
      </c>
      <c r="Q1483" s="23">
        <v>8</v>
      </c>
      <c r="R1483" s="45">
        <v>1.2</v>
      </c>
    </row>
    <row r="1484" spans="2:18" x14ac:dyDescent="0.2">
      <c r="B1484" s="25">
        <v>1481</v>
      </c>
      <c r="C1484" s="18">
        <v>45311</v>
      </c>
      <c r="D1484" s="24">
        <f t="shared" si="115"/>
        <v>2024</v>
      </c>
      <c r="E1484" s="24" t="str">
        <f t="shared" si="116"/>
        <v>Q1</v>
      </c>
      <c r="F1484" s="24" t="str">
        <f t="shared" si="117"/>
        <v>Jan</v>
      </c>
      <c r="G1484" s="24">
        <f t="shared" si="118"/>
        <v>1</v>
      </c>
      <c r="H1484" s="19">
        <v>1922</v>
      </c>
      <c r="I1484" s="19" t="s">
        <v>7</v>
      </c>
      <c r="J1484" s="19" t="s">
        <v>5</v>
      </c>
      <c r="K1484" s="20">
        <v>6</v>
      </c>
      <c r="L1484" s="21">
        <v>33.49</v>
      </c>
      <c r="M1484" s="22">
        <v>0.27</v>
      </c>
      <c r="N1484" s="21">
        <f t="shared" si="119"/>
        <v>24.447700000000001</v>
      </c>
      <c r="O1484" s="21">
        <v>146.69</v>
      </c>
      <c r="P1484" s="19" t="s">
        <v>4</v>
      </c>
      <c r="Q1484" s="23">
        <v>3</v>
      </c>
      <c r="R1484" s="45">
        <v>2.5</v>
      </c>
    </row>
    <row r="1485" spans="2:18" x14ac:dyDescent="0.2">
      <c r="B1485" s="25">
        <v>1482</v>
      </c>
      <c r="C1485" s="18">
        <v>45312</v>
      </c>
      <c r="D1485" s="24">
        <f t="shared" si="115"/>
        <v>2024</v>
      </c>
      <c r="E1485" s="24" t="str">
        <f t="shared" si="116"/>
        <v>Q1</v>
      </c>
      <c r="F1485" s="24" t="str">
        <f t="shared" si="117"/>
        <v>Jan</v>
      </c>
      <c r="G1485" s="24">
        <f t="shared" si="118"/>
        <v>1</v>
      </c>
      <c r="H1485" s="19">
        <v>1419</v>
      </c>
      <c r="I1485" s="19" t="s">
        <v>0</v>
      </c>
      <c r="J1485" s="19" t="s">
        <v>5</v>
      </c>
      <c r="K1485" s="20">
        <v>7</v>
      </c>
      <c r="L1485" s="21">
        <v>467.43</v>
      </c>
      <c r="M1485" s="22">
        <v>0.12</v>
      </c>
      <c r="N1485" s="21">
        <f t="shared" si="119"/>
        <v>411.33839999999998</v>
      </c>
      <c r="O1485" s="21">
        <v>2879.37</v>
      </c>
      <c r="P1485" s="19" t="s">
        <v>4</v>
      </c>
      <c r="Q1485" s="23">
        <v>3</v>
      </c>
      <c r="R1485" s="45">
        <v>3.4</v>
      </c>
    </row>
    <row r="1486" spans="2:18" x14ac:dyDescent="0.2">
      <c r="B1486" s="25">
        <v>1483</v>
      </c>
      <c r="C1486" s="18">
        <v>45313</v>
      </c>
      <c r="D1486" s="24">
        <f t="shared" si="115"/>
        <v>2024</v>
      </c>
      <c r="E1486" s="24" t="str">
        <f t="shared" si="116"/>
        <v>Q1</v>
      </c>
      <c r="F1486" s="24" t="str">
        <f t="shared" si="117"/>
        <v>Jan</v>
      </c>
      <c r="G1486" s="24">
        <f t="shared" si="118"/>
        <v>1</v>
      </c>
      <c r="H1486" s="19">
        <v>1156</v>
      </c>
      <c r="I1486" s="19" t="s">
        <v>10</v>
      </c>
      <c r="J1486" s="19" t="s">
        <v>1</v>
      </c>
      <c r="K1486" s="20">
        <v>2</v>
      </c>
      <c r="L1486" s="21">
        <v>45.45</v>
      </c>
      <c r="M1486" s="22">
        <v>0.13</v>
      </c>
      <c r="N1486" s="21">
        <f t="shared" si="119"/>
        <v>39.541499999999999</v>
      </c>
      <c r="O1486" s="21">
        <v>79.08</v>
      </c>
      <c r="P1486" s="19" t="s">
        <v>2</v>
      </c>
      <c r="Q1486" s="23">
        <v>1</v>
      </c>
      <c r="R1486" s="45">
        <v>1.6</v>
      </c>
    </row>
    <row r="1487" spans="2:18" x14ac:dyDescent="0.2">
      <c r="B1487" s="25">
        <v>1484</v>
      </c>
      <c r="C1487" s="18">
        <v>45314</v>
      </c>
      <c r="D1487" s="24">
        <f t="shared" si="115"/>
        <v>2024</v>
      </c>
      <c r="E1487" s="24" t="str">
        <f t="shared" si="116"/>
        <v>Q1</v>
      </c>
      <c r="F1487" s="24" t="str">
        <f t="shared" si="117"/>
        <v>Jan</v>
      </c>
      <c r="G1487" s="24">
        <f t="shared" si="118"/>
        <v>1</v>
      </c>
      <c r="H1487" s="19">
        <v>1549</v>
      </c>
      <c r="I1487" s="19" t="s">
        <v>10</v>
      </c>
      <c r="J1487" s="19" t="s">
        <v>5</v>
      </c>
      <c r="K1487" s="20">
        <v>6</v>
      </c>
      <c r="L1487" s="21">
        <v>37.32</v>
      </c>
      <c r="M1487" s="22">
        <v>0.25</v>
      </c>
      <c r="N1487" s="21">
        <f t="shared" si="119"/>
        <v>27.990000000000002</v>
      </c>
      <c r="O1487" s="21">
        <v>167.94</v>
      </c>
      <c r="P1487" s="19" t="s">
        <v>2</v>
      </c>
      <c r="Q1487" s="23">
        <v>3</v>
      </c>
      <c r="R1487" s="45">
        <v>1.7</v>
      </c>
    </row>
    <row r="1488" spans="2:18" x14ac:dyDescent="0.2">
      <c r="B1488" s="25">
        <v>1485</v>
      </c>
      <c r="C1488" s="18">
        <v>45315</v>
      </c>
      <c r="D1488" s="24">
        <f t="shared" si="115"/>
        <v>2024</v>
      </c>
      <c r="E1488" s="24" t="str">
        <f t="shared" si="116"/>
        <v>Q1</v>
      </c>
      <c r="F1488" s="24" t="str">
        <f t="shared" si="117"/>
        <v>Jan</v>
      </c>
      <c r="G1488" s="24">
        <f t="shared" si="118"/>
        <v>1</v>
      </c>
      <c r="H1488" s="19">
        <v>1440</v>
      </c>
      <c r="I1488" s="19" t="s">
        <v>3</v>
      </c>
      <c r="J1488" s="19" t="s">
        <v>1</v>
      </c>
      <c r="K1488" s="20">
        <v>6</v>
      </c>
      <c r="L1488" s="21">
        <v>266.44</v>
      </c>
      <c r="M1488" s="22">
        <v>0.17</v>
      </c>
      <c r="N1488" s="21">
        <f t="shared" si="119"/>
        <v>221.14519999999999</v>
      </c>
      <c r="O1488" s="21">
        <v>1326.87</v>
      </c>
      <c r="P1488" s="19" t="s">
        <v>4</v>
      </c>
      <c r="Q1488" s="23">
        <v>7</v>
      </c>
      <c r="R1488" s="45">
        <v>3.8</v>
      </c>
    </row>
    <row r="1489" spans="2:18" x14ac:dyDescent="0.2">
      <c r="B1489" s="25">
        <v>1486</v>
      </c>
      <c r="C1489" s="18">
        <v>45316</v>
      </c>
      <c r="D1489" s="24">
        <f t="shared" si="115"/>
        <v>2024</v>
      </c>
      <c r="E1489" s="24" t="str">
        <f t="shared" si="116"/>
        <v>Q1</v>
      </c>
      <c r="F1489" s="24" t="str">
        <f t="shared" si="117"/>
        <v>Jan</v>
      </c>
      <c r="G1489" s="24">
        <f t="shared" si="118"/>
        <v>1</v>
      </c>
      <c r="H1489" s="19">
        <v>1096</v>
      </c>
      <c r="I1489" s="19" t="s">
        <v>10</v>
      </c>
      <c r="J1489" s="19" t="s">
        <v>1</v>
      </c>
      <c r="K1489" s="20">
        <v>2</v>
      </c>
      <c r="L1489" s="21">
        <v>51.9</v>
      </c>
      <c r="M1489" s="22">
        <v>0.2</v>
      </c>
      <c r="N1489" s="21">
        <f t="shared" si="119"/>
        <v>41.519999999999996</v>
      </c>
      <c r="O1489" s="21">
        <v>83.04</v>
      </c>
      <c r="P1489" s="19" t="s">
        <v>4</v>
      </c>
      <c r="Q1489" s="23">
        <v>10</v>
      </c>
      <c r="R1489" s="45">
        <v>1.7</v>
      </c>
    </row>
    <row r="1490" spans="2:18" x14ac:dyDescent="0.2">
      <c r="B1490" s="25">
        <v>1487</v>
      </c>
      <c r="C1490" s="18">
        <v>45317</v>
      </c>
      <c r="D1490" s="24">
        <f t="shared" si="115"/>
        <v>2024</v>
      </c>
      <c r="E1490" s="24" t="str">
        <f t="shared" si="116"/>
        <v>Q1</v>
      </c>
      <c r="F1490" s="24" t="str">
        <f t="shared" si="117"/>
        <v>Jan</v>
      </c>
      <c r="G1490" s="24">
        <f t="shared" si="118"/>
        <v>1</v>
      </c>
      <c r="H1490" s="19">
        <v>1996</v>
      </c>
      <c r="I1490" s="19" t="s">
        <v>7</v>
      </c>
      <c r="J1490" s="19" t="s">
        <v>9</v>
      </c>
      <c r="K1490" s="20">
        <v>7</v>
      </c>
      <c r="L1490" s="21">
        <v>476.65</v>
      </c>
      <c r="M1490" s="22">
        <v>0.25</v>
      </c>
      <c r="N1490" s="21">
        <f t="shared" si="119"/>
        <v>357.48749999999995</v>
      </c>
      <c r="O1490" s="21">
        <v>2502.41</v>
      </c>
      <c r="P1490" s="19" t="s">
        <v>2</v>
      </c>
      <c r="Q1490" s="23">
        <v>8</v>
      </c>
      <c r="R1490" s="45">
        <v>1.5</v>
      </c>
    </row>
    <row r="1491" spans="2:18" x14ac:dyDescent="0.2">
      <c r="B1491" s="25">
        <v>1488</v>
      </c>
      <c r="C1491" s="18">
        <v>45318</v>
      </c>
      <c r="D1491" s="24">
        <f t="shared" si="115"/>
        <v>2024</v>
      </c>
      <c r="E1491" s="24" t="str">
        <f t="shared" si="116"/>
        <v>Q1</v>
      </c>
      <c r="F1491" s="24" t="str">
        <f t="shared" si="117"/>
        <v>Jan</v>
      </c>
      <c r="G1491" s="24">
        <f t="shared" si="118"/>
        <v>1</v>
      </c>
      <c r="H1491" s="19">
        <v>1410</v>
      </c>
      <c r="I1491" s="19" t="s">
        <v>10</v>
      </c>
      <c r="J1491" s="19" t="s">
        <v>1</v>
      </c>
      <c r="K1491" s="20">
        <v>4</v>
      </c>
      <c r="L1491" s="21">
        <v>324.79000000000002</v>
      </c>
      <c r="M1491" s="22">
        <v>0.27</v>
      </c>
      <c r="N1491" s="21">
        <f t="shared" si="119"/>
        <v>237.0967</v>
      </c>
      <c r="O1491" s="21">
        <v>948.39</v>
      </c>
      <c r="P1491" s="19" t="s">
        <v>2</v>
      </c>
      <c r="Q1491" s="23">
        <v>11</v>
      </c>
      <c r="R1491" s="45">
        <v>4.9000000000000004</v>
      </c>
    </row>
    <row r="1492" spans="2:18" x14ac:dyDescent="0.2">
      <c r="B1492" s="25">
        <v>1489</v>
      </c>
      <c r="C1492" s="18">
        <v>45319</v>
      </c>
      <c r="D1492" s="24">
        <f t="shared" si="115"/>
        <v>2024</v>
      </c>
      <c r="E1492" s="24" t="str">
        <f t="shared" si="116"/>
        <v>Q1</v>
      </c>
      <c r="F1492" s="24" t="str">
        <f t="shared" si="117"/>
        <v>Jan</v>
      </c>
      <c r="G1492" s="24">
        <f t="shared" si="118"/>
        <v>1</v>
      </c>
      <c r="H1492" s="19">
        <v>1950</v>
      </c>
      <c r="I1492" s="19" t="s">
        <v>7</v>
      </c>
      <c r="J1492" s="19" t="s">
        <v>1</v>
      </c>
      <c r="K1492" s="20">
        <v>5</v>
      </c>
      <c r="L1492" s="21">
        <v>31.99</v>
      </c>
      <c r="M1492" s="22">
        <v>0.1</v>
      </c>
      <c r="N1492" s="21">
        <f t="shared" si="119"/>
        <v>28.790999999999997</v>
      </c>
      <c r="O1492" s="21">
        <v>143.94999999999999</v>
      </c>
      <c r="P1492" s="19" t="s">
        <v>2</v>
      </c>
      <c r="Q1492" s="23">
        <v>8</v>
      </c>
      <c r="R1492" s="45">
        <v>1.1000000000000001</v>
      </c>
    </row>
    <row r="1493" spans="2:18" x14ac:dyDescent="0.2">
      <c r="B1493" s="25">
        <v>1490</v>
      </c>
      <c r="C1493" s="18">
        <v>45320</v>
      </c>
      <c r="D1493" s="24">
        <f t="shared" si="115"/>
        <v>2024</v>
      </c>
      <c r="E1493" s="24" t="str">
        <f t="shared" si="116"/>
        <v>Q1</v>
      </c>
      <c r="F1493" s="24" t="str">
        <f t="shared" si="117"/>
        <v>Jan</v>
      </c>
      <c r="G1493" s="24">
        <f t="shared" si="118"/>
        <v>1</v>
      </c>
      <c r="H1493" s="19">
        <v>1288</v>
      </c>
      <c r="I1493" s="19" t="s">
        <v>0</v>
      </c>
      <c r="J1493" s="19" t="s">
        <v>5</v>
      </c>
      <c r="K1493" s="20">
        <v>4</v>
      </c>
      <c r="L1493" s="21">
        <v>38.69</v>
      </c>
      <c r="M1493" s="22">
        <v>0.05</v>
      </c>
      <c r="N1493" s="21">
        <f t="shared" si="119"/>
        <v>36.755499999999998</v>
      </c>
      <c r="O1493" s="21">
        <v>147.02000000000001</v>
      </c>
      <c r="P1493" s="19" t="s">
        <v>2</v>
      </c>
      <c r="Q1493" s="23">
        <v>3</v>
      </c>
      <c r="R1493" s="45">
        <v>2.2999999999999998</v>
      </c>
    </row>
    <row r="1494" spans="2:18" x14ac:dyDescent="0.2">
      <c r="B1494" s="25">
        <v>1491</v>
      </c>
      <c r="C1494" s="18">
        <v>45321</v>
      </c>
      <c r="D1494" s="24">
        <f t="shared" si="115"/>
        <v>2024</v>
      </c>
      <c r="E1494" s="24" t="str">
        <f t="shared" si="116"/>
        <v>Q1</v>
      </c>
      <c r="F1494" s="24" t="str">
        <f t="shared" si="117"/>
        <v>Jan</v>
      </c>
      <c r="G1494" s="24">
        <f t="shared" si="118"/>
        <v>1</v>
      </c>
      <c r="H1494" s="19">
        <v>1253</v>
      </c>
      <c r="I1494" s="19" t="s">
        <v>0</v>
      </c>
      <c r="J1494" s="19" t="s">
        <v>1</v>
      </c>
      <c r="K1494" s="20">
        <v>1</v>
      </c>
      <c r="L1494" s="21">
        <v>373.41</v>
      </c>
      <c r="M1494" s="22">
        <v>0.1</v>
      </c>
      <c r="N1494" s="21">
        <f t="shared" si="119"/>
        <v>336.06900000000002</v>
      </c>
      <c r="O1494" s="21">
        <v>336.07</v>
      </c>
      <c r="P1494" s="19" t="s">
        <v>2</v>
      </c>
      <c r="Q1494" s="23">
        <v>5</v>
      </c>
      <c r="R1494" s="45">
        <v>1.1000000000000001</v>
      </c>
    </row>
    <row r="1495" spans="2:18" x14ac:dyDescent="0.2">
      <c r="B1495" s="25">
        <v>1492</v>
      </c>
      <c r="C1495" s="18">
        <v>45322</v>
      </c>
      <c r="D1495" s="24">
        <f t="shared" si="115"/>
        <v>2024</v>
      </c>
      <c r="E1495" s="24" t="str">
        <f t="shared" si="116"/>
        <v>Q1</v>
      </c>
      <c r="F1495" s="24" t="str">
        <f t="shared" si="117"/>
        <v>Jan</v>
      </c>
      <c r="G1495" s="24">
        <f t="shared" si="118"/>
        <v>1</v>
      </c>
      <c r="H1495" s="19">
        <v>1195</v>
      </c>
      <c r="I1495" s="19" t="s">
        <v>7</v>
      </c>
      <c r="J1495" s="19" t="s">
        <v>8</v>
      </c>
      <c r="K1495" s="20">
        <v>2</v>
      </c>
      <c r="L1495" s="21">
        <v>486.58</v>
      </c>
      <c r="M1495" s="22">
        <v>0.18</v>
      </c>
      <c r="N1495" s="21">
        <f t="shared" si="119"/>
        <v>398.99559999999997</v>
      </c>
      <c r="O1495" s="21">
        <v>797.99</v>
      </c>
      <c r="P1495" s="19" t="s">
        <v>4</v>
      </c>
      <c r="Q1495" s="23">
        <v>1</v>
      </c>
      <c r="R1495" s="45">
        <v>4.4000000000000004</v>
      </c>
    </row>
    <row r="1496" spans="2:18" x14ac:dyDescent="0.2">
      <c r="B1496" s="25">
        <v>1493</v>
      </c>
      <c r="C1496" s="18">
        <v>45323</v>
      </c>
      <c r="D1496" s="24">
        <f t="shared" si="115"/>
        <v>2024</v>
      </c>
      <c r="E1496" s="24" t="str">
        <f t="shared" si="116"/>
        <v>Q1</v>
      </c>
      <c r="F1496" s="24" t="str">
        <f t="shared" si="117"/>
        <v>Feb</v>
      </c>
      <c r="G1496" s="24">
        <f t="shared" si="118"/>
        <v>2</v>
      </c>
      <c r="H1496" s="19">
        <v>1597</v>
      </c>
      <c r="I1496" s="19" t="s">
        <v>7</v>
      </c>
      <c r="J1496" s="19" t="s">
        <v>5</v>
      </c>
      <c r="K1496" s="20">
        <v>3</v>
      </c>
      <c r="L1496" s="21">
        <v>271.11</v>
      </c>
      <c r="M1496" s="22">
        <v>0.12</v>
      </c>
      <c r="N1496" s="21">
        <f t="shared" si="119"/>
        <v>238.57680000000002</v>
      </c>
      <c r="O1496" s="21">
        <v>715.73</v>
      </c>
      <c r="P1496" s="19" t="s">
        <v>4</v>
      </c>
      <c r="Q1496" s="23">
        <v>9</v>
      </c>
      <c r="R1496" s="45">
        <v>3.3</v>
      </c>
    </row>
    <row r="1497" spans="2:18" x14ac:dyDescent="0.2">
      <c r="B1497" s="25">
        <v>1494</v>
      </c>
      <c r="C1497" s="18">
        <v>45324</v>
      </c>
      <c r="D1497" s="24">
        <f t="shared" si="115"/>
        <v>2024</v>
      </c>
      <c r="E1497" s="24" t="str">
        <f t="shared" si="116"/>
        <v>Q1</v>
      </c>
      <c r="F1497" s="24" t="str">
        <f t="shared" si="117"/>
        <v>Feb</v>
      </c>
      <c r="G1497" s="24">
        <f t="shared" si="118"/>
        <v>2</v>
      </c>
      <c r="H1497" s="19">
        <v>1833</v>
      </c>
      <c r="I1497" s="19" t="s">
        <v>10</v>
      </c>
      <c r="J1497" s="19" t="s">
        <v>5</v>
      </c>
      <c r="K1497" s="20">
        <v>7</v>
      </c>
      <c r="L1497" s="21">
        <v>339.43</v>
      </c>
      <c r="M1497" s="22">
        <v>0.2</v>
      </c>
      <c r="N1497" s="21">
        <f t="shared" si="119"/>
        <v>271.54399999999998</v>
      </c>
      <c r="O1497" s="21">
        <v>1900.81</v>
      </c>
      <c r="P1497" s="19" t="s">
        <v>6</v>
      </c>
      <c r="Q1497" s="23">
        <v>8</v>
      </c>
      <c r="R1497" s="45">
        <v>1.2</v>
      </c>
    </row>
    <row r="1498" spans="2:18" x14ac:dyDescent="0.2">
      <c r="B1498" s="25">
        <v>1495</v>
      </c>
      <c r="C1498" s="18">
        <v>45325</v>
      </c>
      <c r="D1498" s="24">
        <f t="shared" si="115"/>
        <v>2024</v>
      </c>
      <c r="E1498" s="24" t="str">
        <f t="shared" si="116"/>
        <v>Q1</v>
      </c>
      <c r="F1498" s="24" t="str">
        <f t="shared" si="117"/>
        <v>Feb</v>
      </c>
      <c r="G1498" s="24">
        <f t="shared" si="118"/>
        <v>2</v>
      </c>
      <c r="H1498" s="19">
        <v>1521</v>
      </c>
      <c r="I1498" s="19" t="s">
        <v>7</v>
      </c>
      <c r="J1498" s="19" t="s">
        <v>5</v>
      </c>
      <c r="K1498" s="20">
        <v>2</v>
      </c>
      <c r="L1498" s="21">
        <v>482.9</v>
      </c>
      <c r="M1498" s="22">
        <v>0.02</v>
      </c>
      <c r="N1498" s="21">
        <f t="shared" si="119"/>
        <v>473.24199999999996</v>
      </c>
      <c r="O1498" s="21">
        <v>946.48</v>
      </c>
      <c r="P1498" s="19" t="s">
        <v>4</v>
      </c>
      <c r="Q1498" s="23">
        <v>10</v>
      </c>
      <c r="R1498" s="45">
        <v>3.5</v>
      </c>
    </row>
    <row r="1499" spans="2:18" x14ac:dyDescent="0.2">
      <c r="B1499" s="25">
        <v>1496</v>
      </c>
      <c r="C1499" s="18">
        <v>45326</v>
      </c>
      <c r="D1499" s="24">
        <f t="shared" si="115"/>
        <v>2024</v>
      </c>
      <c r="E1499" s="24" t="str">
        <f t="shared" si="116"/>
        <v>Q1</v>
      </c>
      <c r="F1499" s="24" t="str">
        <f t="shared" si="117"/>
        <v>Feb</v>
      </c>
      <c r="G1499" s="24">
        <f t="shared" si="118"/>
        <v>2</v>
      </c>
      <c r="H1499" s="19">
        <v>1516</v>
      </c>
      <c r="I1499" s="19" t="s">
        <v>0</v>
      </c>
      <c r="J1499" s="19" t="s">
        <v>9</v>
      </c>
      <c r="K1499" s="20">
        <v>1</v>
      </c>
      <c r="L1499" s="21">
        <v>372.15</v>
      </c>
      <c r="M1499" s="22">
        <v>0.18</v>
      </c>
      <c r="N1499" s="21">
        <f t="shared" si="119"/>
        <v>305.16300000000001</v>
      </c>
      <c r="O1499" s="21">
        <v>305.16000000000003</v>
      </c>
      <c r="P1499" s="19" t="s">
        <v>2</v>
      </c>
      <c r="Q1499" s="23">
        <v>2</v>
      </c>
      <c r="R1499" s="45">
        <v>1.5</v>
      </c>
    </row>
    <row r="1500" spans="2:18" x14ac:dyDescent="0.2">
      <c r="B1500" s="25">
        <v>1497</v>
      </c>
      <c r="C1500" s="18">
        <v>45327</v>
      </c>
      <c r="D1500" s="24">
        <f t="shared" si="115"/>
        <v>2024</v>
      </c>
      <c r="E1500" s="24" t="str">
        <f t="shared" si="116"/>
        <v>Q1</v>
      </c>
      <c r="F1500" s="24" t="str">
        <f t="shared" si="117"/>
        <v>Feb</v>
      </c>
      <c r="G1500" s="24">
        <f t="shared" si="118"/>
        <v>2</v>
      </c>
      <c r="H1500" s="19">
        <v>1634</v>
      </c>
      <c r="I1500" s="19" t="s">
        <v>7</v>
      </c>
      <c r="J1500" s="19" t="s">
        <v>5</v>
      </c>
      <c r="K1500" s="20">
        <v>6</v>
      </c>
      <c r="L1500" s="21">
        <v>146.47999999999999</v>
      </c>
      <c r="M1500" s="22">
        <v>0.13</v>
      </c>
      <c r="N1500" s="21">
        <f t="shared" si="119"/>
        <v>127.43759999999999</v>
      </c>
      <c r="O1500" s="21">
        <v>764.63</v>
      </c>
      <c r="P1500" s="19" t="s">
        <v>6</v>
      </c>
      <c r="Q1500" s="23">
        <v>10</v>
      </c>
      <c r="R1500" s="45">
        <v>3</v>
      </c>
    </row>
    <row r="1501" spans="2:18" x14ac:dyDescent="0.2">
      <c r="B1501" s="25">
        <v>1498</v>
      </c>
      <c r="C1501" s="18">
        <v>45328</v>
      </c>
      <c r="D1501" s="24">
        <f t="shared" si="115"/>
        <v>2024</v>
      </c>
      <c r="E1501" s="24" t="str">
        <f t="shared" si="116"/>
        <v>Q1</v>
      </c>
      <c r="F1501" s="24" t="str">
        <f t="shared" si="117"/>
        <v>Feb</v>
      </c>
      <c r="G1501" s="24">
        <f t="shared" si="118"/>
        <v>2</v>
      </c>
      <c r="H1501" s="19">
        <v>1841</v>
      </c>
      <c r="I1501" s="19" t="s">
        <v>7</v>
      </c>
      <c r="J1501" s="19" t="s">
        <v>1</v>
      </c>
      <c r="K1501" s="20">
        <v>3</v>
      </c>
      <c r="L1501" s="21">
        <v>373.64</v>
      </c>
      <c r="M1501" s="22">
        <v>0.19</v>
      </c>
      <c r="N1501" s="21">
        <f t="shared" si="119"/>
        <v>302.64839999999998</v>
      </c>
      <c r="O1501" s="21">
        <v>907.95</v>
      </c>
      <c r="P1501" s="19" t="s">
        <v>6</v>
      </c>
      <c r="Q1501" s="23">
        <v>1</v>
      </c>
      <c r="R1501" s="45">
        <v>3.7</v>
      </c>
    </row>
    <row r="1502" spans="2:18" x14ac:dyDescent="0.2">
      <c r="B1502" s="25">
        <v>1499</v>
      </c>
      <c r="C1502" s="18">
        <v>45329</v>
      </c>
      <c r="D1502" s="24">
        <f t="shared" si="115"/>
        <v>2024</v>
      </c>
      <c r="E1502" s="24" t="str">
        <f t="shared" si="116"/>
        <v>Q1</v>
      </c>
      <c r="F1502" s="24" t="str">
        <f t="shared" si="117"/>
        <v>Feb</v>
      </c>
      <c r="G1502" s="24">
        <f t="shared" si="118"/>
        <v>2</v>
      </c>
      <c r="H1502" s="19">
        <v>1864</v>
      </c>
      <c r="I1502" s="19" t="s">
        <v>0</v>
      </c>
      <c r="J1502" s="19" t="s">
        <v>8</v>
      </c>
      <c r="K1502" s="20">
        <v>3</v>
      </c>
      <c r="L1502" s="21">
        <v>382.54</v>
      </c>
      <c r="M1502" s="22">
        <v>0.15</v>
      </c>
      <c r="N1502" s="21">
        <f t="shared" si="119"/>
        <v>325.15899999999999</v>
      </c>
      <c r="O1502" s="21">
        <v>975.48</v>
      </c>
      <c r="P1502" s="19" t="s">
        <v>4</v>
      </c>
      <c r="Q1502" s="23">
        <v>4</v>
      </c>
      <c r="R1502" s="45">
        <v>1.6</v>
      </c>
    </row>
    <row r="1503" spans="2:18" x14ac:dyDescent="0.2">
      <c r="B1503" s="25">
        <v>1500</v>
      </c>
      <c r="C1503" s="18">
        <v>45330</v>
      </c>
      <c r="D1503" s="24">
        <f t="shared" si="115"/>
        <v>2024</v>
      </c>
      <c r="E1503" s="24" t="str">
        <f t="shared" si="116"/>
        <v>Q1</v>
      </c>
      <c r="F1503" s="24" t="str">
        <f t="shared" si="117"/>
        <v>Feb</v>
      </c>
      <c r="G1503" s="24">
        <f t="shared" si="118"/>
        <v>2</v>
      </c>
      <c r="H1503" s="19">
        <v>1117</v>
      </c>
      <c r="I1503" s="19" t="s">
        <v>10</v>
      </c>
      <c r="J1503" s="19" t="s">
        <v>5</v>
      </c>
      <c r="K1503" s="20">
        <v>4</v>
      </c>
      <c r="L1503" s="21">
        <v>444.45</v>
      </c>
      <c r="M1503" s="22">
        <v>0.1</v>
      </c>
      <c r="N1503" s="21">
        <f t="shared" si="119"/>
        <v>400.005</v>
      </c>
      <c r="O1503" s="21">
        <v>1600.02</v>
      </c>
      <c r="P1503" s="19" t="s">
        <v>6</v>
      </c>
      <c r="Q1503" s="23">
        <v>9</v>
      </c>
      <c r="R1503" s="45">
        <v>3</v>
      </c>
    </row>
    <row r="1504" spans="2:18" x14ac:dyDescent="0.2">
      <c r="B1504" s="25">
        <v>1501</v>
      </c>
      <c r="C1504" s="18">
        <v>45331</v>
      </c>
      <c r="D1504" s="24">
        <f t="shared" si="115"/>
        <v>2024</v>
      </c>
      <c r="E1504" s="24" t="str">
        <f t="shared" si="116"/>
        <v>Q1</v>
      </c>
      <c r="F1504" s="24" t="str">
        <f t="shared" si="117"/>
        <v>Feb</v>
      </c>
      <c r="G1504" s="24">
        <f t="shared" si="118"/>
        <v>2</v>
      </c>
      <c r="H1504" s="19">
        <v>1805</v>
      </c>
      <c r="I1504" s="19" t="s">
        <v>10</v>
      </c>
      <c r="J1504" s="19" t="s">
        <v>5</v>
      </c>
      <c r="K1504" s="20">
        <v>5</v>
      </c>
      <c r="L1504" s="21">
        <v>378.21</v>
      </c>
      <c r="M1504" s="22">
        <v>0.32</v>
      </c>
      <c r="N1504" s="21">
        <f t="shared" si="119"/>
        <v>257.18279999999999</v>
      </c>
      <c r="O1504" s="21">
        <v>1285.9100000000001</v>
      </c>
      <c r="P1504" s="19" t="s">
        <v>6</v>
      </c>
      <c r="Q1504" s="23">
        <v>8</v>
      </c>
      <c r="R1504" s="45">
        <v>2.8</v>
      </c>
    </row>
    <row r="1505" spans="2:18" x14ac:dyDescent="0.2">
      <c r="B1505" s="25">
        <v>1502</v>
      </c>
      <c r="C1505" s="18">
        <v>45332</v>
      </c>
      <c r="D1505" s="24">
        <f t="shared" si="115"/>
        <v>2024</v>
      </c>
      <c r="E1505" s="24" t="str">
        <f t="shared" si="116"/>
        <v>Q1</v>
      </c>
      <c r="F1505" s="24" t="str">
        <f t="shared" si="117"/>
        <v>Feb</v>
      </c>
      <c r="G1505" s="24">
        <f t="shared" si="118"/>
        <v>2</v>
      </c>
      <c r="H1505" s="19">
        <v>1908</v>
      </c>
      <c r="I1505" s="19" t="s">
        <v>7</v>
      </c>
      <c r="J1505" s="19" t="s">
        <v>8</v>
      </c>
      <c r="K1505" s="20">
        <v>4</v>
      </c>
      <c r="L1505" s="21">
        <v>582.01</v>
      </c>
      <c r="M1505" s="22">
        <v>0.06</v>
      </c>
      <c r="N1505" s="21">
        <f t="shared" si="119"/>
        <v>547.08939999999996</v>
      </c>
      <c r="O1505" s="21">
        <v>2188.36</v>
      </c>
      <c r="P1505" s="19" t="s">
        <v>2</v>
      </c>
      <c r="Q1505" s="23">
        <v>3</v>
      </c>
      <c r="R1505" s="45">
        <v>4.7</v>
      </c>
    </row>
    <row r="1506" spans="2:18" x14ac:dyDescent="0.2">
      <c r="B1506" s="25">
        <v>1503</v>
      </c>
      <c r="C1506" s="18">
        <v>45333</v>
      </c>
      <c r="D1506" s="24">
        <f t="shared" si="115"/>
        <v>2024</v>
      </c>
      <c r="E1506" s="24" t="str">
        <f t="shared" si="116"/>
        <v>Q1</v>
      </c>
      <c r="F1506" s="24" t="str">
        <f t="shared" si="117"/>
        <v>Feb</v>
      </c>
      <c r="G1506" s="24">
        <f t="shared" si="118"/>
        <v>2</v>
      </c>
      <c r="H1506" s="19">
        <v>1158</v>
      </c>
      <c r="I1506" s="19" t="s">
        <v>10</v>
      </c>
      <c r="J1506" s="19" t="s">
        <v>5</v>
      </c>
      <c r="K1506" s="20">
        <v>7</v>
      </c>
      <c r="L1506" s="21">
        <v>130.41</v>
      </c>
      <c r="M1506" s="22">
        <v>0.24</v>
      </c>
      <c r="N1506" s="21">
        <f t="shared" si="119"/>
        <v>99.111599999999996</v>
      </c>
      <c r="O1506" s="21">
        <v>693.78</v>
      </c>
      <c r="P1506" s="19" t="s">
        <v>4</v>
      </c>
      <c r="Q1506" s="23">
        <v>10</v>
      </c>
      <c r="R1506" s="45">
        <v>5</v>
      </c>
    </row>
    <row r="1507" spans="2:18" x14ac:dyDescent="0.2">
      <c r="B1507" s="25">
        <v>1504</v>
      </c>
      <c r="C1507" s="18">
        <v>45334</v>
      </c>
      <c r="D1507" s="24">
        <f t="shared" si="115"/>
        <v>2024</v>
      </c>
      <c r="E1507" s="24" t="str">
        <f t="shared" si="116"/>
        <v>Q1</v>
      </c>
      <c r="F1507" s="24" t="str">
        <f t="shared" si="117"/>
        <v>Feb</v>
      </c>
      <c r="G1507" s="24">
        <f t="shared" si="118"/>
        <v>2</v>
      </c>
      <c r="H1507" s="19">
        <v>1814</v>
      </c>
      <c r="I1507" s="19" t="s">
        <v>3</v>
      </c>
      <c r="J1507" s="19" t="s">
        <v>9</v>
      </c>
      <c r="K1507" s="20">
        <v>3</v>
      </c>
      <c r="L1507" s="21">
        <v>571.39</v>
      </c>
      <c r="M1507" s="22">
        <v>0.32</v>
      </c>
      <c r="N1507" s="21">
        <f t="shared" si="119"/>
        <v>388.54520000000002</v>
      </c>
      <c r="O1507" s="21">
        <v>1165.6400000000001</v>
      </c>
      <c r="P1507" s="19" t="s">
        <v>2</v>
      </c>
      <c r="Q1507" s="23">
        <v>6</v>
      </c>
      <c r="R1507" s="45">
        <v>3.6</v>
      </c>
    </row>
    <row r="1508" spans="2:18" x14ac:dyDescent="0.2">
      <c r="B1508" s="25">
        <v>1505</v>
      </c>
      <c r="C1508" s="18">
        <v>45335</v>
      </c>
      <c r="D1508" s="24">
        <f t="shared" si="115"/>
        <v>2024</v>
      </c>
      <c r="E1508" s="24" t="str">
        <f t="shared" si="116"/>
        <v>Q1</v>
      </c>
      <c r="F1508" s="24" t="str">
        <f t="shared" si="117"/>
        <v>Feb</v>
      </c>
      <c r="G1508" s="24">
        <f t="shared" si="118"/>
        <v>2</v>
      </c>
      <c r="H1508" s="19">
        <v>1227</v>
      </c>
      <c r="I1508" s="19" t="s">
        <v>3</v>
      </c>
      <c r="J1508" s="19" t="s">
        <v>1</v>
      </c>
      <c r="K1508" s="20">
        <v>3</v>
      </c>
      <c r="L1508" s="21">
        <v>329.93</v>
      </c>
      <c r="M1508" s="22">
        <v>0.19</v>
      </c>
      <c r="N1508" s="21">
        <f t="shared" si="119"/>
        <v>267.24329999999998</v>
      </c>
      <c r="O1508" s="21">
        <v>801.73</v>
      </c>
      <c r="P1508" s="19" t="s">
        <v>2</v>
      </c>
      <c r="Q1508" s="23">
        <v>9</v>
      </c>
      <c r="R1508" s="45">
        <v>4.4000000000000004</v>
      </c>
    </row>
    <row r="1509" spans="2:18" x14ac:dyDescent="0.2">
      <c r="B1509" s="25">
        <v>1506</v>
      </c>
      <c r="C1509" s="18">
        <v>45336</v>
      </c>
      <c r="D1509" s="24">
        <f t="shared" si="115"/>
        <v>2024</v>
      </c>
      <c r="E1509" s="24" t="str">
        <f t="shared" si="116"/>
        <v>Q1</v>
      </c>
      <c r="F1509" s="24" t="str">
        <f t="shared" si="117"/>
        <v>Feb</v>
      </c>
      <c r="G1509" s="24">
        <f t="shared" si="118"/>
        <v>2</v>
      </c>
      <c r="H1509" s="19">
        <v>1876</v>
      </c>
      <c r="I1509" s="19" t="s">
        <v>10</v>
      </c>
      <c r="J1509" s="19" t="s">
        <v>8</v>
      </c>
      <c r="K1509" s="20">
        <v>5</v>
      </c>
      <c r="L1509" s="21">
        <v>408.09</v>
      </c>
      <c r="M1509" s="22">
        <v>0.31</v>
      </c>
      <c r="N1509" s="21">
        <f t="shared" si="119"/>
        <v>281.58209999999997</v>
      </c>
      <c r="O1509" s="21">
        <v>1407.91</v>
      </c>
      <c r="P1509" s="19" t="s">
        <v>6</v>
      </c>
      <c r="Q1509" s="23">
        <v>10</v>
      </c>
      <c r="R1509" s="45">
        <v>3.6</v>
      </c>
    </row>
    <row r="1510" spans="2:18" x14ac:dyDescent="0.2">
      <c r="B1510" s="25">
        <v>1507</v>
      </c>
      <c r="C1510" s="18">
        <v>45337</v>
      </c>
      <c r="D1510" s="24">
        <f t="shared" si="115"/>
        <v>2024</v>
      </c>
      <c r="E1510" s="24" t="str">
        <f t="shared" si="116"/>
        <v>Q1</v>
      </c>
      <c r="F1510" s="24" t="str">
        <f t="shared" si="117"/>
        <v>Feb</v>
      </c>
      <c r="G1510" s="24">
        <f t="shared" si="118"/>
        <v>2</v>
      </c>
      <c r="H1510" s="19">
        <v>1215</v>
      </c>
      <c r="I1510" s="19" t="s">
        <v>3</v>
      </c>
      <c r="J1510" s="19" t="s">
        <v>8</v>
      </c>
      <c r="K1510" s="20">
        <v>7</v>
      </c>
      <c r="L1510" s="21">
        <v>73.19</v>
      </c>
      <c r="M1510" s="22">
        <v>0.04</v>
      </c>
      <c r="N1510" s="21">
        <f t="shared" si="119"/>
        <v>70.2624</v>
      </c>
      <c r="O1510" s="21">
        <v>491.84</v>
      </c>
      <c r="P1510" s="19" t="s">
        <v>6</v>
      </c>
      <c r="Q1510" s="23">
        <v>8</v>
      </c>
      <c r="R1510" s="45">
        <v>4.5</v>
      </c>
    </row>
    <row r="1511" spans="2:18" x14ac:dyDescent="0.2">
      <c r="B1511" s="25">
        <v>1508</v>
      </c>
      <c r="C1511" s="18">
        <v>45338</v>
      </c>
      <c r="D1511" s="24">
        <f t="shared" si="115"/>
        <v>2024</v>
      </c>
      <c r="E1511" s="24" t="str">
        <f t="shared" si="116"/>
        <v>Q1</v>
      </c>
      <c r="F1511" s="24" t="str">
        <f t="shared" si="117"/>
        <v>Feb</v>
      </c>
      <c r="G1511" s="24">
        <f t="shared" si="118"/>
        <v>2</v>
      </c>
      <c r="H1511" s="19">
        <v>1947</v>
      </c>
      <c r="I1511" s="19" t="s">
        <v>3</v>
      </c>
      <c r="J1511" s="19" t="s">
        <v>9</v>
      </c>
      <c r="K1511" s="20">
        <v>2</v>
      </c>
      <c r="L1511" s="21">
        <v>237.64</v>
      </c>
      <c r="M1511" s="22">
        <v>0.17</v>
      </c>
      <c r="N1511" s="21">
        <f t="shared" si="119"/>
        <v>197.24119999999999</v>
      </c>
      <c r="O1511" s="21">
        <v>394.48</v>
      </c>
      <c r="P1511" s="19" t="s">
        <v>6</v>
      </c>
      <c r="Q1511" s="23">
        <v>10</v>
      </c>
      <c r="R1511" s="45">
        <v>2.7</v>
      </c>
    </row>
    <row r="1512" spans="2:18" x14ac:dyDescent="0.2">
      <c r="B1512" s="25">
        <v>1509</v>
      </c>
      <c r="C1512" s="18">
        <v>45339</v>
      </c>
      <c r="D1512" s="24">
        <f t="shared" si="115"/>
        <v>2024</v>
      </c>
      <c r="E1512" s="24" t="str">
        <f t="shared" si="116"/>
        <v>Q1</v>
      </c>
      <c r="F1512" s="24" t="str">
        <f t="shared" si="117"/>
        <v>Feb</v>
      </c>
      <c r="G1512" s="24">
        <f t="shared" si="118"/>
        <v>2</v>
      </c>
      <c r="H1512" s="19">
        <v>1695</v>
      </c>
      <c r="I1512" s="19" t="s">
        <v>7</v>
      </c>
      <c r="J1512" s="19" t="s">
        <v>1</v>
      </c>
      <c r="K1512" s="20">
        <v>5</v>
      </c>
      <c r="L1512" s="21">
        <v>465.09</v>
      </c>
      <c r="M1512" s="22">
        <v>0.16</v>
      </c>
      <c r="N1512" s="21">
        <f t="shared" si="119"/>
        <v>390.67559999999997</v>
      </c>
      <c r="O1512" s="21">
        <v>1953.38</v>
      </c>
      <c r="P1512" s="19" t="s">
        <v>4</v>
      </c>
      <c r="Q1512" s="23">
        <v>5</v>
      </c>
      <c r="R1512" s="45">
        <v>3.4</v>
      </c>
    </row>
    <row r="1513" spans="2:18" x14ac:dyDescent="0.2">
      <c r="B1513" s="25">
        <v>1510</v>
      </c>
      <c r="C1513" s="18">
        <v>45340</v>
      </c>
      <c r="D1513" s="24">
        <f t="shared" si="115"/>
        <v>2024</v>
      </c>
      <c r="E1513" s="24" t="str">
        <f t="shared" si="116"/>
        <v>Q1</v>
      </c>
      <c r="F1513" s="24" t="str">
        <f t="shared" si="117"/>
        <v>Feb</v>
      </c>
      <c r="G1513" s="24">
        <f t="shared" si="118"/>
        <v>2</v>
      </c>
      <c r="H1513" s="19">
        <v>1014</v>
      </c>
      <c r="I1513" s="19" t="s">
        <v>10</v>
      </c>
      <c r="J1513" s="19" t="s">
        <v>9</v>
      </c>
      <c r="K1513" s="20">
        <v>6</v>
      </c>
      <c r="L1513" s="21">
        <v>428.54</v>
      </c>
      <c r="M1513" s="22">
        <v>0</v>
      </c>
      <c r="N1513" s="21">
        <f t="shared" si="119"/>
        <v>428.54</v>
      </c>
      <c r="O1513" s="21">
        <v>2571.2399999999998</v>
      </c>
      <c r="P1513" s="19" t="s">
        <v>4</v>
      </c>
      <c r="Q1513" s="23">
        <v>9</v>
      </c>
      <c r="R1513" s="45">
        <v>4.4000000000000004</v>
      </c>
    </row>
    <row r="1514" spans="2:18" x14ac:dyDescent="0.2">
      <c r="B1514" s="25">
        <v>1511</v>
      </c>
      <c r="C1514" s="18">
        <v>45341</v>
      </c>
      <c r="D1514" s="24">
        <f t="shared" si="115"/>
        <v>2024</v>
      </c>
      <c r="E1514" s="24" t="str">
        <f t="shared" si="116"/>
        <v>Q1</v>
      </c>
      <c r="F1514" s="24" t="str">
        <f t="shared" si="117"/>
        <v>Feb</v>
      </c>
      <c r="G1514" s="24">
        <f t="shared" si="118"/>
        <v>2</v>
      </c>
      <c r="H1514" s="19">
        <v>1156</v>
      </c>
      <c r="I1514" s="19" t="s">
        <v>7</v>
      </c>
      <c r="J1514" s="19" t="s">
        <v>1</v>
      </c>
      <c r="K1514" s="20">
        <v>4</v>
      </c>
      <c r="L1514" s="21">
        <v>38.479999999999997</v>
      </c>
      <c r="M1514" s="22">
        <v>0.16</v>
      </c>
      <c r="N1514" s="21">
        <f t="shared" si="119"/>
        <v>32.3232</v>
      </c>
      <c r="O1514" s="21">
        <v>129.29</v>
      </c>
      <c r="P1514" s="19" t="s">
        <v>2</v>
      </c>
      <c r="Q1514" s="23">
        <v>9</v>
      </c>
      <c r="R1514" s="45">
        <v>4.7</v>
      </c>
    </row>
    <row r="1515" spans="2:18" x14ac:dyDescent="0.2">
      <c r="B1515" s="25">
        <v>1512</v>
      </c>
      <c r="C1515" s="18">
        <v>45342</v>
      </c>
      <c r="D1515" s="24">
        <f t="shared" si="115"/>
        <v>2024</v>
      </c>
      <c r="E1515" s="24" t="str">
        <f t="shared" si="116"/>
        <v>Q1</v>
      </c>
      <c r="F1515" s="24" t="str">
        <f t="shared" si="117"/>
        <v>Feb</v>
      </c>
      <c r="G1515" s="24">
        <f t="shared" si="118"/>
        <v>2</v>
      </c>
      <c r="H1515" s="19">
        <v>1647</v>
      </c>
      <c r="I1515" s="19" t="s">
        <v>10</v>
      </c>
      <c r="J1515" s="19" t="s">
        <v>9</v>
      </c>
      <c r="K1515" s="20">
        <v>2</v>
      </c>
      <c r="L1515" s="21">
        <v>334.76</v>
      </c>
      <c r="M1515" s="22">
        <v>0.13</v>
      </c>
      <c r="N1515" s="21">
        <f t="shared" si="119"/>
        <v>291.24119999999999</v>
      </c>
      <c r="O1515" s="21">
        <v>582.48</v>
      </c>
      <c r="P1515" s="19" t="s">
        <v>6</v>
      </c>
      <c r="Q1515" s="23">
        <v>3</v>
      </c>
      <c r="R1515" s="45">
        <v>1.1000000000000001</v>
      </c>
    </row>
    <row r="1516" spans="2:18" x14ac:dyDescent="0.2">
      <c r="B1516" s="25">
        <v>1513</v>
      </c>
      <c r="C1516" s="18">
        <v>45343</v>
      </c>
      <c r="D1516" s="24">
        <f t="shared" si="115"/>
        <v>2024</v>
      </c>
      <c r="E1516" s="24" t="str">
        <f t="shared" si="116"/>
        <v>Q1</v>
      </c>
      <c r="F1516" s="24" t="str">
        <f t="shared" si="117"/>
        <v>Feb</v>
      </c>
      <c r="G1516" s="24">
        <f t="shared" si="118"/>
        <v>2</v>
      </c>
      <c r="H1516" s="19">
        <v>1260</v>
      </c>
      <c r="I1516" s="19" t="s">
        <v>7</v>
      </c>
      <c r="J1516" s="19" t="s">
        <v>5</v>
      </c>
      <c r="K1516" s="20">
        <v>4</v>
      </c>
      <c r="L1516" s="21">
        <v>66.64</v>
      </c>
      <c r="M1516" s="22">
        <v>0.23</v>
      </c>
      <c r="N1516" s="21">
        <f t="shared" si="119"/>
        <v>51.312799999999996</v>
      </c>
      <c r="O1516" s="21">
        <v>205.25</v>
      </c>
      <c r="P1516" s="19" t="s">
        <v>4</v>
      </c>
      <c r="Q1516" s="23">
        <v>8</v>
      </c>
      <c r="R1516" s="45">
        <v>1.4</v>
      </c>
    </row>
    <row r="1517" spans="2:18" x14ac:dyDescent="0.2">
      <c r="B1517" s="25">
        <v>1514</v>
      </c>
      <c r="C1517" s="18">
        <v>45344</v>
      </c>
      <c r="D1517" s="24">
        <f t="shared" si="115"/>
        <v>2024</v>
      </c>
      <c r="E1517" s="24" t="str">
        <f t="shared" si="116"/>
        <v>Q1</v>
      </c>
      <c r="F1517" s="24" t="str">
        <f t="shared" si="117"/>
        <v>Feb</v>
      </c>
      <c r="G1517" s="24">
        <f t="shared" si="118"/>
        <v>2</v>
      </c>
      <c r="H1517" s="19">
        <v>1156</v>
      </c>
      <c r="I1517" s="19" t="s">
        <v>3</v>
      </c>
      <c r="J1517" s="19" t="s">
        <v>9</v>
      </c>
      <c r="K1517" s="20">
        <v>5</v>
      </c>
      <c r="L1517" s="21">
        <v>597.58000000000004</v>
      </c>
      <c r="M1517" s="22">
        <v>0.33</v>
      </c>
      <c r="N1517" s="21">
        <f t="shared" si="119"/>
        <v>400.37860000000001</v>
      </c>
      <c r="O1517" s="21">
        <v>2001.89</v>
      </c>
      <c r="P1517" s="19" t="s">
        <v>6</v>
      </c>
      <c r="Q1517" s="23">
        <v>4</v>
      </c>
      <c r="R1517" s="45">
        <v>4.7</v>
      </c>
    </row>
    <row r="1518" spans="2:18" x14ac:dyDescent="0.2">
      <c r="B1518" s="25">
        <v>1515</v>
      </c>
      <c r="C1518" s="18">
        <v>45345</v>
      </c>
      <c r="D1518" s="24">
        <f t="shared" si="115"/>
        <v>2024</v>
      </c>
      <c r="E1518" s="24" t="str">
        <f t="shared" si="116"/>
        <v>Q1</v>
      </c>
      <c r="F1518" s="24" t="str">
        <f t="shared" si="117"/>
        <v>Feb</v>
      </c>
      <c r="G1518" s="24">
        <f t="shared" si="118"/>
        <v>2</v>
      </c>
      <c r="H1518" s="19">
        <v>1046</v>
      </c>
      <c r="I1518" s="19" t="s">
        <v>10</v>
      </c>
      <c r="J1518" s="19" t="s">
        <v>8</v>
      </c>
      <c r="K1518" s="20">
        <v>2</v>
      </c>
      <c r="L1518" s="21">
        <v>539.91999999999996</v>
      </c>
      <c r="M1518" s="22">
        <v>0.03</v>
      </c>
      <c r="N1518" s="21">
        <f t="shared" si="119"/>
        <v>523.72239999999999</v>
      </c>
      <c r="O1518" s="21">
        <v>1047.44</v>
      </c>
      <c r="P1518" s="19" t="s">
        <v>4</v>
      </c>
      <c r="Q1518" s="23">
        <v>10</v>
      </c>
      <c r="R1518" s="45">
        <v>3.3</v>
      </c>
    </row>
    <row r="1519" spans="2:18" x14ac:dyDescent="0.2">
      <c r="B1519" s="25">
        <v>1516</v>
      </c>
      <c r="C1519" s="18">
        <v>45346</v>
      </c>
      <c r="D1519" s="24">
        <f t="shared" si="115"/>
        <v>2024</v>
      </c>
      <c r="E1519" s="24" t="str">
        <f t="shared" si="116"/>
        <v>Q1</v>
      </c>
      <c r="F1519" s="24" t="str">
        <f t="shared" si="117"/>
        <v>Feb</v>
      </c>
      <c r="G1519" s="24">
        <f t="shared" si="118"/>
        <v>2</v>
      </c>
      <c r="H1519" s="19">
        <v>1323</v>
      </c>
      <c r="I1519" s="19" t="s">
        <v>7</v>
      </c>
      <c r="J1519" s="19" t="s">
        <v>8</v>
      </c>
      <c r="K1519" s="20">
        <v>5</v>
      </c>
      <c r="L1519" s="21">
        <v>27.33</v>
      </c>
      <c r="M1519" s="22">
        <v>0.11</v>
      </c>
      <c r="N1519" s="21">
        <f t="shared" si="119"/>
        <v>24.323699999999999</v>
      </c>
      <c r="O1519" s="21">
        <v>121.62</v>
      </c>
      <c r="P1519" s="19" t="s">
        <v>4</v>
      </c>
      <c r="Q1519" s="23">
        <v>7</v>
      </c>
      <c r="R1519" s="45">
        <v>5</v>
      </c>
    </row>
    <row r="1520" spans="2:18" x14ac:dyDescent="0.2">
      <c r="B1520" s="25">
        <v>1517</v>
      </c>
      <c r="C1520" s="18">
        <v>45347</v>
      </c>
      <c r="D1520" s="24">
        <f t="shared" si="115"/>
        <v>2024</v>
      </c>
      <c r="E1520" s="24" t="str">
        <f t="shared" si="116"/>
        <v>Q1</v>
      </c>
      <c r="F1520" s="24" t="str">
        <f t="shared" si="117"/>
        <v>Feb</v>
      </c>
      <c r="G1520" s="24">
        <f t="shared" si="118"/>
        <v>2</v>
      </c>
      <c r="H1520" s="19">
        <v>1843</v>
      </c>
      <c r="I1520" s="19" t="s">
        <v>7</v>
      </c>
      <c r="J1520" s="19" t="s">
        <v>8</v>
      </c>
      <c r="K1520" s="20">
        <v>6</v>
      </c>
      <c r="L1520" s="21">
        <v>517.30999999999995</v>
      </c>
      <c r="M1520" s="22">
        <v>0.16</v>
      </c>
      <c r="N1520" s="21">
        <f t="shared" si="119"/>
        <v>434.54039999999998</v>
      </c>
      <c r="O1520" s="21">
        <v>2607.2399999999998</v>
      </c>
      <c r="P1520" s="19" t="s">
        <v>6</v>
      </c>
      <c r="Q1520" s="23">
        <v>10</v>
      </c>
      <c r="R1520" s="45">
        <v>4.2</v>
      </c>
    </row>
    <row r="1521" spans="2:18" x14ac:dyDescent="0.2">
      <c r="B1521" s="25">
        <v>1518</v>
      </c>
      <c r="C1521" s="18">
        <v>45348</v>
      </c>
      <c r="D1521" s="24">
        <f t="shared" si="115"/>
        <v>2024</v>
      </c>
      <c r="E1521" s="24" t="str">
        <f t="shared" si="116"/>
        <v>Q1</v>
      </c>
      <c r="F1521" s="24" t="str">
        <f t="shared" si="117"/>
        <v>Feb</v>
      </c>
      <c r="G1521" s="24">
        <f t="shared" si="118"/>
        <v>2</v>
      </c>
      <c r="H1521" s="19">
        <v>1684</v>
      </c>
      <c r="I1521" s="19" t="s">
        <v>7</v>
      </c>
      <c r="J1521" s="19" t="s">
        <v>9</v>
      </c>
      <c r="K1521" s="20">
        <v>1</v>
      </c>
      <c r="L1521" s="21">
        <v>552.87</v>
      </c>
      <c r="M1521" s="22">
        <v>0.16</v>
      </c>
      <c r="N1521" s="21">
        <f t="shared" si="119"/>
        <v>464.41079999999999</v>
      </c>
      <c r="O1521" s="21">
        <v>464.41</v>
      </c>
      <c r="P1521" s="19" t="s">
        <v>4</v>
      </c>
      <c r="Q1521" s="23">
        <v>8</v>
      </c>
      <c r="R1521" s="45">
        <v>4.3</v>
      </c>
    </row>
    <row r="1522" spans="2:18" x14ac:dyDescent="0.2">
      <c r="B1522" s="25">
        <v>1519</v>
      </c>
      <c r="C1522" s="18">
        <v>45349</v>
      </c>
      <c r="D1522" s="24">
        <f t="shared" si="115"/>
        <v>2024</v>
      </c>
      <c r="E1522" s="24" t="str">
        <f t="shared" si="116"/>
        <v>Q1</v>
      </c>
      <c r="F1522" s="24" t="str">
        <f t="shared" si="117"/>
        <v>Feb</v>
      </c>
      <c r="G1522" s="24">
        <f t="shared" si="118"/>
        <v>2</v>
      </c>
      <c r="H1522" s="19">
        <v>1129</v>
      </c>
      <c r="I1522" s="19" t="s">
        <v>3</v>
      </c>
      <c r="J1522" s="19" t="s">
        <v>8</v>
      </c>
      <c r="K1522" s="20">
        <v>3</v>
      </c>
      <c r="L1522" s="21">
        <v>221.83</v>
      </c>
      <c r="M1522" s="22">
        <v>0.27</v>
      </c>
      <c r="N1522" s="21">
        <f t="shared" si="119"/>
        <v>161.9359</v>
      </c>
      <c r="O1522" s="21">
        <v>485.81</v>
      </c>
      <c r="P1522" s="19" t="s">
        <v>4</v>
      </c>
      <c r="Q1522" s="23">
        <v>7</v>
      </c>
      <c r="R1522" s="45">
        <v>2.5</v>
      </c>
    </row>
    <row r="1523" spans="2:18" x14ac:dyDescent="0.2">
      <c r="B1523" s="25">
        <v>1520</v>
      </c>
      <c r="C1523" s="18">
        <v>45350</v>
      </c>
      <c r="D1523" s="24">
        <f t="shared" si="115"/>
        <v>2024</v>
      </c>
      <c r="E1523" s="24" t="str">
        <f t="shared" si="116"/>
        <v>Q1</v>
      </c>
      <c r="F1523" s="24" t="str">
        <f t="shared" si="117"/>
        <v>Feb</v>
      </c>
      <c r="G1523" s="24">
        <f t="shared" si="118"/>
        <v>2</v>
      </c>
      <c r="H1523" s="19">
        <v>1410</v>
      </c>
      <c r="I1523" s="19" t="s">
        <v>10</v>
      </c>
      <c r="J1523" s="19" t="s">
        <v>8</v>
      </c>
      <c r="K1523" s="20">
        <v>7</v>
      </c>
      <c r="L1523" s="21">
        <v>435.91</v>
      </c>
      <c r="M1523" s="22">
        <v>0.16</v>
      </c>
      <c r="N1523" s="21">
        <f t="shared" si="119"/>
        <v>366.1644</v>
      </c>
      <c r="O1523" s="21">
        <v>2563.15</v>
      </c>
      <c r="P1523" s="19" t="s">
        <v>6</v>
      </c>
      <c r="Q1523" s="23">
        <v>5</v>
      </c>
      <c r="R1523" s="45">
        <v>2</v>
      </c>
    </row>
    <row r="1524" spans="2:18" x14ac:dyDescent="0.2">
      <c r="B1524" s="25">
        <v>1521</v>
      </c>
      <c r="C1524" s="18">
        <v>45351</v>
      </c>
      <c r="D1524" s="24">
        <f t="shared" si="115"/>
        <v>2024</v>
      </c>
      <c r="E1524" s="24" t="str">
        <f t="shared" si="116"/>
        <v>Q1</v>
      </c>
      <c r="F1524" s="24" t="str">
        <f t="shared" si="117"/>
        <v>Feb</v>
      </c>
      <c r="G1524" s="24">
        <f t="shared" si="118"/>
        <v>2</v>
      </c>
      <c r="H1524" s="19">
        <v>1094</v>
      </c>
      <c r="I1524" s="19" t="s">
        <v>7</v>
      </c>
      <c r="J1524" s="19" t="s">
        <v>5</v>
      </c>
      <c r="K1524" s="20">
        <v>2</v>
      </c>
      <c r="L1524" s="21">
        <v>273.63</v>
      </c>
      <c r="M1524" s="22">
        <v>0.01</v>
      </c>
      <c r="N1524" s="21">
        <f t="shared" si="119"/>
        <v>270.89369999999997</v>
      </c>
      <c r="O1524" s="21">
        <v>541.79</v>
      </c>
      <c r="P1524" s="19" t="s">
        <v>6</v>
      </c>
      <c r="Q1524" s="23">
        <v>11</v>
      </c>
      <c r="R1524" s="45">
        <v>3.4</v>
      </c>
    </row>
    <row r="1525" spans="2:18" x14ac:dyDescent="0.2">
      <c r="B1525" s="25">
        <v>1522</v>
      </c>
      <c r="C1525" s="18">
        <v>45352</v>
      </c>
      <c r="D1525" s="24">
        <f t="shared" si="115"/>
        <v>2024</v>
      </c>
      <c r="E1525" s="24" t="str">
        <f t="shared" si="116"/>
        <v>Q1</v>
      </c>
      <c r="F1525" s="24" t="str">
        <f t="shared" si="117"/>
        <v>Mar</v>
      </c>
      <c r="G1525" s="24">
        <f t="shared" si="118"/>
        <v>3</v>
      </c>
      <c r="H1525" s="19">
        <v>1626</v>
      </c>
      <c r="I1525" s="19" t="s">
        <v>10</v>
      </c>
      <c r="J1525" s="19" t="s">
        <v>5</v>
      </c>
      <c r="K1525" s="20">
        <v>3</v>
      </c>
      <c r="L1525" s="21">
        <v>398.31</v>
      </c>
      <c r="M1525" s="22">
        <v>0.25</v>
      </c>
      <c r="N1525" s="21">
        <f t="shared" si="119"/>
        <v>298.73250000000002</v>
      </c>
      <c r="O1525" s="21">
        <v>896.2</v>
      </c>
      <c r="P1525" s="19" t="s">
        <v>4</v>
      </c>
      <c r="Q1525" s="23">
        <v>1</v>
      </c>
      <c r="R1525" s="45">
        <v>4.5</v>
      </c>
    </row>
    <row r="1526" spans="2:18" x14ac:dyDescent="0.2">
      <c r="B1526" s="25">
        <v>1523</v>
      </c>
      <c r="C1526" s="18">
        <v>45353</v>
      </c>
      <c r="D1526" s="24">
        <f t="shared" si="115"/>
        <v>2024</v>
      </c>
      <c r="E1526" s="24" t="str">
        <f t="shared" si="116"/>
        <v>Q1</v>
      </c>
      <c r="F1526" s="24" t="str">
        <f t="shared" si="117"/>
        <v>Mar</v>
      </c>
      <c r="G1526" s="24">
        <f t="shared" si="118"/>
        <v>3</v>
      </c>
      <c r="H1526" s="19">
        <v>1754</v>
      </c>
      <c r="I1526" s="19" t="s">
        <v>7</v>
      </c>
      <c r="J1526" s="19" t="s">
        <v>1</v>
      </c>
      <c r="K1526" s="20">
        <v>1</v>
      </c>
      <c r="L1526" s="21">
        <v>214.09</v>
      </c>
      <c r="M1526" s="22">
        <v>0.31</v>
      </c>
      <c r="N1526" s="21">
        <f t="shared" si="119"/>
        <v>147.72210000000001</v>
      </c>
      <c r="O1526" s="21">
        <v>147.72</v>
      </c>
      <c r="P1526" s="19" t="s">
        <v>4</v>
      </c>
      <c r="Q1526" s="23">
        <v>8</v>
      </c>
      <c r="R1526" s="45">
        <v>3.9</v>
      </c>
    </row>
    <row r="1527" spans="2:18" x14ac:dyDescent="0.2">
      <c r="B1527" s="25">
        <v>1524</v>
      </c>
      <c r="C1527" s="18">
        <v>45354</v>
      </c>
      <c r="D1527" s="24">
        <f t="shared" si="115"/>
        <v>2024</v>
      </c>
      <c r="E1527" s="24" t="str">
        <f t="shared" si="116"/>
        <v>Q1</v>
      </c>
      <c r="F1527" s="24" t="str">
        <f t="shared" si="117"/>
        <v>Mar</v>
      </c>
      <c r="G1527" s="24">
        <f t="shared" si="118"/>
        <v>3</v>
      </c>
      <c r="H1527" s="19">
        <v>1931</v>
      </c>
      <c r="I1527" s="19" t="s">
        <v>3</v>
      </c>
      <c r="J1527" s="19" t="s">
        <v>1</v>
      </c>
      <c r="K1527" s="20">
        <v>2</v>
      </c>
      <c r="L1527" s="21">
        <v>203.7</v>
      </c>
      <c r="M1527" s="22">
        <v>0.18</v>
      </c>
      <c r="N1527" s="21">
        <f t="shared" si="119"/>
        <v>167.03399999999999</v>
      </c>
      <c r="O1527" s="21">
        <v>334.07</v>
      </c>
      <c r="P1527" s="19" t="s">
        <v>4</v>
      </c>
      <c r="Q1527" s="23">
        <v>5</v>
      </c>
      <c r="R1527" s="45">
        <v>2.9</v>
      </c>
    </row>
    <row r="1528" spans="2:18" x14ac:dyDescent="0.2">
      <c r="B1528" s="25">
        <v>1525</v>
      </c>
      <c r="C1528" s="18">
        <v>45355</v>
      </c>
      <c r="D1528" s="24">
        <f t="shared" si="115"/>
        <v>2024</v>
      </c>
      <c r="E1528" s="24" t="str">
        <f t="shared" si="116"/>
        <v>Q1</v>
      </c>
      <c r="F1528" s="24" t="str">
        <f t="shared" si="117"/>
        <v>Mar</v>
      </c>
      <c r="G1528" s="24">
        <f t="shared" si="118"/>
        <v>3</v>
      </c>
      <c r="H1528" s="19">
        <v>1291</v>
      </c>
      <c r="I1528" s="19" t="s">
        <v>0</v>
      </c>
      <c r="J1528" s="19" t="s">
        <v>1</v>
      </c>
      <c r="K1528" s="20">
        <v>3</v>
      </c>
      <c r="L1528" s="21">
        <v>263.29000000000002</v>
      </c>
      <c r="M1528" s="22">
        <v>0.2</v>
      </c>
      <c r="N1528" s="21">
        <f t="shared" si="119"/>
        <v>210.63200000000001</v>
      </c>
      <c r="O1528" s="21">
        <v>631.9</v>
      </c>
      <c r="P1528" s="19" t="s">
        <v>4</v>
      </c>
      <c r="Q1528" s="23">
        <v>3</v>
      </c>
      <c r="R1528" s="45">
        <v>4</v>
      </c>
    </row>
    <row r="1529" spans="2:18" x14ac:dyDescent="0.2">
      <c r="B1529" s="25">
        <v>1526</v>
      </c>
      <c r="C1529" s="18">
        <v>45356</v>
      </c>
      <c r="D1529" s="24">
        <f t="shared" si="115"/>
        <v>2024</v>
      </c>
      <c r="E1529" s="24" t="str">
        <f t="shared" si="116"/>
        <v>Q1</v>
      </c>
      <c r="F1529" s="24" t="str">
        <f t="shared" si="117"/>
        <v>Mar</v>
      </c>
      <c r="G1529" s="24">
        <f t="shared" si="118"/>
        <v>3</v>
      </c>
      <c r="H1529" s="19">
        <v>1793</v>
      </c>
      <c r="I1529" s="19" t="s">
        <v>7</v>
      </c>
      <c r="J1529" s="19" t="s">
        <v>9</v>
      </c>
      <c r="K1529" s="20">
        <v>3</v>
      </c>
      <c r="L1529" s="21">
        <v>100.16</v>
      </c>
      <c r="M1529" s="22">
        <v>0.06</v>
      </c>
      <c r="N1529" s="21">
        <f t="shared" si="119"/>
        <v>94.150399999999991</v>
      </c>
      <c r="O1529" s="21">
        <v>282.45</v>
      </c>
      <c r="P1529" s="19" t="s">
        <v>4</v>
      </c>
      <c r="Q1529" s="23">
        <v>2</v>
      </c>
      <c r="R1529" s="45">
        <v>3.8</v>
      </c>
    </row>
    <row r="1530" spans="2:18" x14ac:dyDescent="0.2">
      <c r="B1530" s="25">
        <v>1527</v>
      </c>
      <c r="C1530" s="18">
        <v>45357</v>
      </c>
      <c r="D1530" s="24">
        <f t="shared" si="115"/>
        <v>2024</v>
      </c>
      <c r="E1530" s="24" t="str">
        <f t="shared" si="116"/>
        <v>Q1</v>
      </c>
      <c r="F1530" s="24" t="str">
        <f t="shared" si="117"/>
        <v>Mar</v>
      </c>
      <c r="G1530" s="24">
        <f t="shared" si="118"/>
        <v>3</v>
      </c>
      <c r="H1530" s="19">
        <v>1810</v>
      </c>
      <c r="I1530" s="19" t="s">
        <v>3</v>
      </c>
      <c r="J1530" s="19" t="s">
        <v>1</v>
      </c>
      <c r="K1530" s="20">
        <v>2</v>
      </c>
      <c r="L1530" s="21">
        <v>501.22</v>
      </c>
      <c r="M1530" s="22">
        <v>0.08</v>
      </c>
      <c r="N1530" s="21">
        <f t="shared" si="119"/>
        <v>461.12240000000003</v>
      </c>
      <c r="O1530" s="21">
        <v>922.24</v>
      </c>
      <c r="P1530" s="19" t="s">
        <v>4</v>
      </c>
      <c r="Q1530" s="23">
        <v>3</v>
      </c>
      <c r="R1530" s="45">
        <v>4.7</v>
      </c>
    </row>
    <row r="1531" spans="2:18" x14ac:dyDescent="0.2">
      <c r="B1531" s="25">
        <v>1528</v>
      </c>
      <c r="C1531" s="18">
        <v>45358</v>
      </c>
      <c r="D1531" s="24">
        <f t="shared" si="115"/>
        <v>2024</v>
      </c>
      <c r="E1531" s="24" t="str">
        <f t="shared" si="116"/>
        <v>Q1</v>
      </c>
      <c r="F1531" s="24" t="str">
        <f t="shared" si="117"/>
        <v>Mar</v>
      </c>
      <c r="G1531" s="24">
        <f t="shared" si="118"/>
        <v>3</v>
      </c>
      <c r="H1531" s="19">
        <v>1282</v>
      </c>
      <c r="I1531" s="19" t="s">
        <v>7</v>
      </c>
      <c r="J1531" s="19" t="s">
        <v>9</v>
      </c>
      <c r="K1531" s="20">
        <v>3</v>
      </c>
      <c r="L1531" s="21">
        <v>218.99</v>
      </c>
      <c r="M1531" s="22">
        <v>0.08</v>
      </c>
      <c r="N1531" s="21">
        <f t="shared" si="119"/>
        <v>201.4708</v>
      </c>
      <c r="O1531" s="21">
        <v>604.41</v>
      </c>
      <c r="P1531" s="19" t="s">
        <v>4</v>
      </c>
      <c r="Q1531" s="23">
        <v>9</v>
      </c>
      <c r="R1531" s="45">
        <v>2.1</v>
      </c>
    </row>
    <row r="1532" spans="2:18" x14ac:dyDescent="0.2">
      <c r="B1532" s="25">
        <v>1529</v>
      </c>
      <c r="C1532" s="18">
        <v>45359</v>
      </c>
      <c r="D1532" s="24">
        <f t="shared" si="115"/>
        <v>2024</v>
      </c>
      <c r="E1532" s="24" t="str">
        <f t="shared" si="116"/>
        <v>Q1</v>
      </c>
      <c r="F1532" s="24" t="str">
        <f t="shared" si="117"/>
        <v>Mar</v>
      </c>
      <c r="G1532" s="24">
        <f t="shared" si="118"/>
        <v>3</v>
      </c>
      <c r="H1532" s="19">
        <v>1068</v>
      </c>
      <c r="I1532" s="19" t="s">
        <v>7</v>
      </c>
      <c r="J1532" s="19" t="s">
        <v>9</v>
      </c>
      <c r="K1532" s="20">
        <v>3</v>
      </c>
      <c r="L1532" s="21">
        <v>249.09</v>
      </c>
      <c r="M1532" s="22">
        <v>0.15</v>
      </c>
      <c r="N1532" s="21">
        <f t="shared" si="119"/>
        <v>211.72649999999999</v>
      </c>
      <c r="O1532" s="21">
        <v>635.17999999999995</v>
      </c>
      <c r="P1532" s="19" t="s">
        <v>2</v>
      </c>
      <c r="Q1532" s="23">
        <v>2</v>
      </c>
      <c r="R1532" s="45">
        <v>1.5</v>
      </c>
    </row>
    <row r="1533" spans="2:18" x14ac:dyDescent="0.2">
      <c r="B1533" s="25">
        <v>1530</v>
      </c>
      <c r="C1533" s="18">
        <v>45360</v>
      </c>
      <c r="D1533" s="24">
        <f t="shared" si="115"/>
        <v>2024</v>
      </c>
      <c r="E1533" s="24" t="str">
        <f t="shared" si="116"/>
        <v>Q1</v>
      </c>
      <c r="F1533" s="24" t="str">
        <f t="shared" si="117"/>
        <v>Mar</v>
      </c>
      <c r="G1533" s="24">
        <f t="shared" si="118"/>
        <v>3</v>
      </c>
      <c r="H1533" s="19">
        <v>1659</v>
      </c>
      <c r="I1533" s="19" t="s">
        <v>7</v>
      </c>
      <c r="J1533" s="19" t="s">
        <v>1</v>
      </c>
      <c r="K1533" s="20">
        <v>2</v>
      </c>
      <c r="L1533" s="21">
        <v>538.02</v>
      </c>
      <c r="M1533" s="22">
        <v>0.32</v>
      </c>
      <c r="N1533" s="21">
        <f t="shared" si="119"/>
        <v>365.85359999999997</v>
      </c>
      <c r="O1533" s="21">
        <v>731.71</v>
      </c>
      <c r="P1533" s="19" t="s">
        <v>4</v>
      </c>
      <c r="Q1533" s="23">
        <v>10</v>
      </c>
      <c r="R1533" s="45">
        <v>2.9</v>
      </c>
    </row>
    <row r="1534" spans="2:18" x14ac:dyDescent="0.2">
      <c r="B1534" s="25">
        <v>1531</v>
      </c>
      <c r="C1534" s="18">
        <v>45361</v>
      </c>
      <c r="D1534" s="24">
        <f t="shared" si="115"/>
        <v>2024</v>
      </c>
      <c r="E1534" s="24" t="str">
        <f t="shared" si="116"/>
        <v>Q1</v>
      </c>
      <c r="F1534" s="24" t="str">
        <f t="shared" si="117"/>
        <v>Mar</v>
      </c>
      <c r="G1534" s="24">
        <f t="shared" si="118"/>
        <v>3</v>
      </c>
      <c r="H1534" s="19">
        <v>1010</v>
      </c>
      <c r="I1534" s="19" t="s">
        <v>7</v>
      </c>
      <c r="J1534" s="19" t="s">
        <v>1</v>
      </c>
      <c r="K1534" s="20">
        <v>7</v>
      </c>
      <c r="L1534" s="21">
        <v>305.52</v>
      </c>
      <c r="M1534" s="22">
        <v>0.18</v>
      </c>
      <c r="N1534" s="21">
        <f t="shared" si="119"/>
        <v>250.5264</v>
      </c>
      <c r="O1534" s="21">
        <v>1753.68</v>
      </c>
      <c r="P1534" s="19" t="s">
        <v>4</v>
      </c>
      <c r="Q1534" s="23">
        <v>1</v>
      </c>
      <c r="R1534" s="45">
        <v>2.4</v>
      </c>
    </row>
    <row r="1535" spans="2:18" x14ac:dyDescent="0.2">
      <c r="B1535" s="25">
        <v>1532</v>
      </c>
      <c r="C1535" s="18">
        <v>45362</v>
      </c>
      <c r="D1535" s="24">
        <f t="shared" si="115"/>
        <v>2024</v>
      </c>
      <c r="E1535" s="24" t="str">
        <f t="shared" si="116"/>
        <v>Q1</v>
      </c>
      <c r="F1535" s="24" t="str">
        <f t="shared" si="117"/>
        <v>Mar</v>
      </c>
      <c r="G1535" s="24">
        <f t="shared" si="118"/>
        <v>3</v>
      </c>
      <c r="H1535" s="19">
        <v>1253</v>
      </c>
      <c r="I1535" s="19" t="s">
        <v>3</v>
      </c>
      <c r="J1535" s="19" t="s">
        <v>9</v>
      </c>
      <c r="K1535" s="20">
        <v>3</v>
      </c>
      <c r="L1535" s="21">
        <v>333.39</v>
      </c>
      <c r="M1535" s="22">
        <v>7.0000000000000007E-2</v>
      </c>
      <c r="N1535" s="21">
        <f t="shared" si="119"/>
        <v>310.05269999999996</v>
      </c>
      <c r="O1535" s="21">
        <v>930.16</v>
      </c>
      <c r="P1535" s="19" t="s">
        <v>4</v>
      </c>
      <c r="Q1535" s="23">
        <v>2</v>
      </c>
      <c r="R1535" s="45">
        <v>4.9000000000000004</v>
      </c>
    </row>
    <row r="1536" spans="2:18" x14ac:dyDescent="0.2">
      <c r="B1536" s="25">
        <v>1533</v>
      </c>
      <c r="C1536" s="18">
        <v>45363</v>
      </c>
      <c r="D1536" s="24">
        <f t="shared" si="115"/>
        <v>2024</v>
      </c>
      <c r="E1536" s="24" t="str">
        <f t="shared" si="116"/>
        <v>Q1</v>
      </c>
      <c r="F1536" s="24" t="str">
        <f t="shared" si="117"/>
        <v>Mar</v>
      </c>
      <c r="G1536" s="24">
        <f t="shared" si="118"/>
        <v>3</v>
      </c>
      <c r="H1536" s="19">
        <v>1841</v>
      </c>
      <c r="I1536" s="19" t="s">
        <v>3</v>
      </c>
      <c r="J1536" s="19" t="s">
        <v>5</v>
      </c>
      <c r="K1536" s="20">
        <v>3</v>
      </c>
      <c r="L1536" s="21">
        <v>574.54999999999995</v>
      </c>
      <c r="M1536" s="22">
        <v>0.09</v>
      </c>
      <c r="N1536" s="21">
        <f t="shared" si="119"/>
        <v>522.84050000000002</v>
      </c>
      <c r="O1536" s="21">
        <v>1568.52</v>
      </c>
      <c r="P1536" s="19" t="s">
        <v>4</v>
      </c>
      <c r="Q1536" s="23">
        <v>2</v>
      </c>
      <c r="R1536" s="45">
        <v>1</v>
      </c>
    </row>
    <row r="1537" spans="2:18" x14ac:dyDescent="0.2">
      <c r="B1537" s="25">
        <v>1534</v>
      </c>
      <c r="C1537" s="18">
        <v>45364</v>
      </c>
      <c r="D1537" s="24">
        <f t="shared" si="115"/>
        <v>2024</v>
      </c>
      <c r="E1537" s="24" t="str">
        <f t="shared" si="116"/>
        <v>Q1</v>
      </c>
      <c r="F1537" s="24" t="str">
        <f t="shared" si="117"/>
        <v>Mar</v>
      </c>
      <c r="G1537" s="24">
        <f t="shared" si="118"/>
        <v>3</v>
      </c>
      <c r="H1537" s="19">
        <v>1871</v>
      </c>
      <c r="I1537" s="19" t="s">
        <v>3</v>
      </c>
      <c r="J1537" s="19" t="s">
        <v>8</v>
      </c>
      <c r="K1537" s="20">
        <v>7</v>
      </c>
      <c r="L1537" s="21">
        <v>533.73</v>
      </c>
      <c r="M1537" s="22">
        <v>0.13</v>
      </c>
      <c r="N1537" s="21">
        <f t="shared" si="119"/>
        <v>464.3451</v>
      </c>
      <c r="O1537" s="21">
        <v>3250.42</v>
      </c>
      <c r="P1537" s="19" t="s">
        <v>6</v>
      </c>
      <c r="Q1537" s="23">
        <v>11</v>
      </c>
      <c r="R1537" s="45">
        <v>4.7</v>
      </c>
    </row>
    <row r="1538" spans="2:18" x14ac:dyDescent="0.2">
      <c r="B1538" s="25">
        <v>1535</v>
      </c>
      <c r="C1538" s="18">
        <v>45365</v>
      </c>
      <c r="D1538" s="24">
        <f t="shared" si="115"/>
        <v>2024</v>
      </c>
      <c r="E1538" s="24" t="str">
        <f t="shared" si="116"/>
        <v>Q1</v>
      </c>
      <c r="F1538" s="24" t="str">
        <f t="shared" si="117"/>
        <v>Mar</v>
      </c>
      <c r="G1538" s="24">
        <f t="shared" si="118"/>
        <v>3</v>
      </c>
      <c r="H1538" s="19">
        <v>1549</v>
      </c>
      <c r="I1538" s="19" t="s">
        <v>7</v>
      </c>
      <c r="J1538" s="19" t="s">
        <v>8</v>
      </c>
      <c r="K1538" s="20">
        <v>4</v>
      </c>
      <c r="L1538" s="21">
        <v>114.14</v>
      </c>
      <c r="M1538" s="22">
        <v>0.22</v>
      </c>
      <c r="N1538" s="21">
        <f t="shared" si="119"/>
        <v>89.029200000000003</v>
      </c>
      <c r="O1538" s="21">
        <v>356.12</v>
      </c>
      <c r="P1538" s="19" t="s">
        <v>4</v>
      </c>
      <c r="Q1538" s="23">
        <v>5</v>
      </c>
      <c r="R1538" s="45">
        <v>4.8</v>
      </c>
    </row>
    <row r="1539" spans="2:18" x14ac:dyDescent="0.2">
      <c r="B1539" s="25">
        <v>1536</v>
      </c>
      <c r="C1539" s="18">
        <v>45366</v>
      </c>
      <c r="D1539" s="24">
        <f t="shared" si="115"/>
        <v>2024</v>
      </c>
      <c r="E1539" s="24" t="str">
        <f t="shared" si="116"/>
        <v>Q1</v>
      </c>
      <c r="F1539" s="24" t="str">
        <f t="shared" si="117"/>
        <v>Mar</v>
      </c>
      <c r="G1539" s="24">
        <f t="shared" si="118"/>
        <v>3</v>
      </c>
      <c r="H1539" s="19">
        <v>1133</v>
      </c>
      <c r="I1539" s="19" t="s">
        <v>7</v>
      </c>
      <c r="J1539" s="19" t="s">
        <v>8</v>
      </c>
      <c r="K1539" s="20">
        <v>6</v>
      </c>
      <c r="L1539" s="21">
        <v>291.83</v>
      </c>
      <c r="M1539" s="22">
        <v>0.15</v>
      </c>
      <c r="N1539" s="21">
        <f t="shared" si="119"/>
        <v>248.05549999999999</v>
      </c>
      <c r="O1539" s="21">
        <v>1488.33</v>
      </c>
      <c r="P1539" s="19" t="s">
        <v>4</v>
      </c>
      <c r="Q1539" s="23">
        <v>1</v>
      </c>
      <c r="R1539" s="45">
        <v>1.2</v>
      </c>
    </row>
    <row r="1540" spans="2:18" x14ac:dyDescent="0.2">
      <c r="B1540" s="25">
        <v>1537</v>
      </c>
      <c r="C1540" s="18">
        <v>45367</v>
      </c>
      <c r="D1540" s="24">
        <f t="shared" ref="D1540:D1603" si="120">YEAR(C1540)</f>
        <v>2024</v>
      </c>
      <c r="E1540" s="24" t="str">
        <f t="shared" ref="E1540:E1603" si="121">"Q"&amp;ROUNDUP(MONTH(C1540)/3,0)</f>
        <v>Q1</v>
      </c>
      <c r="F1540" s="24" t="str">
        <f t="shared" ref="F1540:F1603" si="122">TEXT(C1540,"mmm")</f>
        <v>Mar</v>
      </c>
      <c r="G1540" s="24">
        <f t="shared" ref="G1540:G1603" si="123">MONTH(C1540)</f>
        <v>3</v>
      </c>
      <c r="H1540" s="19">
        <v>1711</v>
      </c>
      <c r="I1540" s="19" t="s">
        <v>10</v>
      </c>
      <c r="J1540" s="19" t="s">
        <v>5</v>
      </c>
      <c r="K1540" s="20">
        <v>4</v>
      </c>
      <c r="L1540" s="21">
        <v>583.21</v>
      </c>
      <c r="M1540" s="22">
        <v>0.14000000000000001</v>
      </c>
      <c r="N1540" s="21">
        <f t="shared" si="119"/>
        <v>501.56060000000002</v>
      </c>
      <c r="O1540" s="21">
        <v>2006.24</v>
      </c>
      <c r="P1540" s="19" t="s">
        <v>4</v>
      </c>
      <c r="Q1540" s="23">
        <v>10</v>
      </c>
      <c r="R1540" s="45">
        <v>4.5999999999999996</v>
      </c>
    </row>
    <row r="1541" spans="2:18" x14ac:dyDescent="0.2">
      <c r="B1541" s="25">
        <v>1538</v>
      </c>
      <c r="C1541" s="18">
        <v>45368</v>
      </c>
      <c r="D1541" s="24">
        <f t="shared" si="120"/>
        <v>2024</v>
      </c>
      <c r="E1541" s="24" t="str">
        <f t="shared" si="121"/>
        <v>Q1</v>
      </c>
      <c r="F1541" s="24" t="str">
        <f t="shared" si="122"/>
        <v>Mar</v>
      </c>
      <c r="G1541" s="24">
        <f t="shared" si="123"/>
        <v>3</v>
      </c>
      <c r="H1541" s="19">
        <v>1022</v>
      </c>
      <c r="I1541" s="19" t="s">
        <v>0</v>
      </c>
      <c r="J1541" s="19" t="s">
        <v>9</v>
      </c>
      <c r="K1541" s="20">
        <v>1</v>
      </c>
      <c r="L1541" s="21">
        <v>232.83</v>
      </c>
      <c r="M1541" s="22">
        <v>0.2</v>
      </c>
      <c r="N1541" s="21">
        <f t="shared" ref="N1541:N1604" si="124">L1541-(L1541*M1541)</f>
        <v>186.26400000000001</v>
      </c>
      <c r="O1541" s="21">
        <v>186.26</v>
      </c>
      <c r="P1541" s="19" t="s">
        <v>6</v>
      </c>
      <c r="Q1541" s="23">
        <v>8</v>
      </c>
      <c r="R1541" s="45">
        <v>2.9</v>
      </c>
    </row>
    <row r="1542" spans="2:18" x14ac:dyDescent="0.2">
      <c r="B1542" s="25">
        <v>1539</v>
      </c>
      <c r="C1542" s="18">
        <v>45369</v>
      </c>
      <c r="D1542" s="24">
        <f t="shared" si="120"/>
        <v>2024</v>
      </c>
      <c r="E1542" s="24" t="str">
        <f t="shared" si="121"/>
        <v>Q1</v>
      </c>
      <c r="F1542" s="24" t="str">
        <f t="shared" si="122"/>
        <v>Mar</v>
      </c>
      <c r="G1542" s="24">
        <f t="shared" si="123"/>
        <v>3</v>
      </c>
      <c r="H1542" s="19">
        <v>1814</v>
      </c>
      <c r="I1542" s="19" t="s">
        <v>7</v>
      </c>
      <c r="J1542" s="19" t="s">
        <v>1</v>
      </c>
      <c r="K1542" s="20">
        <v>4</v>
      </c>
      <c r="L1542" s="21">
        <v>232.37</v>
      </c>
      <c r="M1542" s="22">
        <v>0.08</v>
      </c>
      <c r="N1542" s="21">
        <f t="shared" si="124"/>
        <v>213.78040000000001</v>
      </c>
      <c r="O1542" s="21">
        <v>855.12</v>
      </c>
      <c r="P1542" s="19" t="s">
        <v>4</v>
      </c>
      <c r="Q1542" s="23">
        <v>2</v>
      </c>
      <c r="R1542" s="45">
        <v>4.0999999999999996</v>
      </c>
    </row>
    <row r="1543" spans="2:18" x14ac:dyDescent="0.2">
      <c r="B1543" s="25">
        <v>1540</v>
      </c>
      <c r="C1543" s="18">
        <v>45370</v>
      </c>
      <c r="D1543" s="24">
        <f t="shared" si="120"/>
        <v>2024</v>
      </c>
      <c r="E1543" s="24" t="str">
        <f t="shared" si="121"/>
        <v>Q1</v>
      </c>
      <c r="F1543" s="24" t="str">
        <f t="shared" si="122"/>
        <v>Mar</v>
      </c>
      <c r="G1543" s="24">
        <f t="shared" si="123"/>
        <v>3</v>
      </c>
      <c r="H1543" s="19">
        <v>1345</v>
      </c>
      <c r="I1543" s="19" t="s">
        <v>0</v>
      </c>
      <c r="J1543" s="19" t="s">
        <v>9</v>
      </c>
      <c r="K1543" s="20">
        <v>4</v>
      </c>
      <c r="L1543" s="21">
        <v>129.09</v>
      </c>
      <c r="M1543" s="22">
        <v>0.03</v>
      </c>
      <c r="N1543" s="21">
        <f t="shared" si="124"/>
        <v>125.21730000000001</v>
      </c>
      <c r="O1543" s="21">
        <v>500.87</v>
      </c>
      <c r="P1543" s="19" t="s">
        <v>6</v>
      </c>
      <c r="Q1543" s="23">
        <v>6</v>
      </c>
      <c r="R1543" s="45">
        <v>1.3</v>
      </c>
    </row>
    <row r="1544" spans="2:18" x14ac:dyDescent="0.2">
      <c r="B1544" s="25">
        <v>1541</v>
      </c>
      <c r="C1544" s="18">
        <v>45371</v>
      </c>
      <c r="D1544" s="24">
        <f t="shared" si="120"/>
        <v>2024</v>
      </c>
      <c r="E1544" s="24" t="str">
        <f t="shared" si="121"/>
        <v>Q1</v>
      </c>
      <c r="F1544" s="24" t="str">
        <f t="shared" si="122"/>
        <v>Mar</v>
      </c>
      <c r="G1544" s="24">
        <f t="shared" si="123"/>
        <v>3</v>
      </c>
      <c r="H1544" s="19">
        <v>1301</v>
      </c>
      <c r="I1544" s="19" t="s">
        <v>3</v>
      </c>
      <c r="J1544" s="19" t="s">
        <v>9</v>
      </c>
      <c r="K1544" s="20">
        <v>1</v>
      </c>
      <c r="L1544" s="21">
        <v>81.88</v>
      </c>
      <c r="M1544" s="22">
        <v>0.01</v>
      </c>
      <c r="N1544" s="21">
        <f t="shared" si="124"/>
        <v>81.061199999999999</v>
      </c>
      <c r="O1544" s="21">
        <v>81.06</v>
      </c>
      <c r="P1544" s="19" t="s">
        <v>4</v>
      </c>
      <c r="Q1544" s="23">
        <v>5</v>
      </c>
      <c r="R1544" s="45">
        <v>4.8</v>
      </c>
    </row>
    <row r="1545" spans="2:18" x14ac:dyDescent="0.2">
      <c r="B1545" s="25">
        <v>1542</v>
      </c>
      <c r="C1545" s="18">
        <v>45372</v>
      </c>
      <c r="D1545" s="24">
        <f t="shared" si="120"/>
        <v>2024</v>
      </c>
      <c r="E1545" s="24" t="str">
        <f t="shared" si="121"/>
        <v>Q1</v>
      </c>
      <c r="F1545" s="24" t="str">
        <f t="shared" si="122"/>
        <v>Mar</v>
      </c>
      <c r="G1545" s="24">
        <f t="shared" si="123"/>
        <v>3</v>
      </c>
      <c r="H1545" s="19">
        <v>1362</v>
      </c>
      <c r="I1545" s="19" t="s">
        <v>3</v>
      </c>
      <c r="J1545" s="19" t="s">
        <v>1</v>
      </c>
      <c r="K1545" s="20">
        <v>3</v>
      </c>
      <c r="L1545" s="21">
        <v>448.08</v>
      </c>
      <c r="M1545" s="22">
        <v>0.09</v>
      </c>
      <c r="N1545" s="21">
        <f t="shared" si="124"/>
        <v>407.75279999999998</v>
      </c>
      <c r="O1545" s="21">
        <v>1223.26</v>
      </c>
      <c r="P1545" s="19" t="s">
        <v>4</v>
      </c>
      <c r="Q1545" s="23">
        <v>2</v>
      </c>
      <c r="R1545" s="45">
        <v>3.4</v>
      </c>
    </row>
    <row r="1546" spans="2:18" x14ac:dyDescent="0.2">
      <c r="B1546" s="25">
        <v>1543</v>
      </c>
      <c r="C1546" s="18">
        <v>45373</v>
      </c>
      <c r="D1546" s="24">
        <f t="shared" si="120"/>
        <v>2024</v>
      </c>
      <c r="E1546" s="24" t="str">
        <f t="shared" si="121"/>
        <v>Q1</v>
      </c>
      <c r="F1546" s="24" t="str">
        <f t="shared" si="122"/>
        <v>Mar</v>
      </c>
      <c r="G1546" s="24">
        <f t="shared" si="123"/>
        <v>3</v>
      </c>
      <c r="H1546" s="19">
        <v>1395</v>
      </c>
      <c r="I1546" s="19" t="s">
        <v>3</v>
      </c>
      <c r="J1546" s="19" t="s">
        <v>5</v>
      </c>
      <c r="K1546" s="20">
        <v>3</v>
      </c>
      <c r="L1546" s="21">
        <v>465.47</v>
      </c>
      <c r="M1546" s="22">
        <v>0.03</v>
      </c>
      <c r="N1546" s="21">
        <f t="shared" si="124"/>
        <v>451.50590000000005</v>
      </c>
      <c r="O1546" s="21">
        <v>1354.52</v>
      </c>
      <c r="P1546" s="19" t="s">
        <v>6</v>
      </c>
      <c r="Q1546" s="23">
        <v>10</v>
      </c>
      <c r="R1546" s="45">
        <v>4.5999999999999996</v>
      </c>
    </row>
    <row r="1547" spans="2:18" x14ac:dyDescent="0.2">
      <c r="B1547" s="25">
        <v>1544</v>
      </c>
      <c r="C1547" s="18">
        <v>45374</v>
      </c>
      <c r="D1547" s="24">
        <f t="shared" si="120"/>
        <v>2024</v>
      </c>
      <c r="E1547" s="24" t="str">
        <f t="shared" si="121"/>
        <v>Q1</v>
      </c>
      <c r="F1547" s="24" t="str">
        <f t="shared" si="122"/>
        <v>Mar</v>
      </c>
      <c r="G1547" s="24">
        <f t="shared" si="123"/>
        <v>3</v>
      </c>
      <c r="H1547" s="19">
        <v>1217</v>
      </c>
      <c r="I1547" s="19" t="s">
        <v>7</v>
      </c>
      <c r="J1547" s="19" t="s">
        <v>8</v>
      </c>
      <c r="K1547" s="20">
        <v>4</v>
      </c>
      <c r="L1547" s="21">
        <v>581.87</v>
      </c>
      <c r="M1547" s="22">
        <v>0.12</v>
      </c>
      <c r="N1547" s="21">
        <f t="shared" si="124"/>
        <v>512.04560000000004</v>
      </c>
      <c r="O1547" s="21">
        <v>2048.1799999999998</v>
      </c>
      <c r="P1547" s="19" t="s">
        <v>6</v>
      </c>
      <c r="Q1547" s="23">
        <v>1</v>
      </c>
      <c r="R1547" s="45">
        <v>3.7</v>
      </c>
    </row>
    <row r="1548" spans="2:18" x14ac:dyDescent="0.2">
      <c r="B1548" s="25">
        <v>1545</v>
      </c>
      <c r="C1548" s="18">
        <v>45375</v>
      </c>
      <c r="D1548" s="24">
        <f t="shared" si="120"/>
        <v>2024</v>
      </c>
      <c r="E1548" s="24" t="str">
        <f t="shared" si="121"/>
        <v>Q1</v>
      </c>
      <c r="F1548" s="24" t="str">
        <f t="shared" si="122"/>
        <v>Mar</v>
      </c>
      <c r="G1548" s="24">
        <f t="shared" si="123"/>
        <v>3</v>
      </c>
      <c r="H1548" s="19">
        <v>1140</v>
      </c>
      <c r="I1548" s="19" t="s">
        <v>7</v>
      </c>
      <c r="J1548" s="19" t="s">
        <v>8</v>
      </c>
      <c r="K1548" s="20">
        <v>1</v>
      </c>
      <c r="L1548" s="21">
        <v>467.45</v>
      </c>
      <c r="M1548" s="22">
        <v>0.27</v>
      </c>
      <c r="N1548" s="21">
        <f t="shared" si="124"/>
        <v>341.23849999999999</v>
      </c>
      <c r="O1548" s="21">
        <v>341.24</v>
      </c>
      <c r="P1548" s="19" t="s">
        <v>6</v>
      </c>
      <c r="Q1548" s="23">
        <v>6</v>
      </c>
      <c r="R1548" s="45">
        <v>3.1</v>
      </c>
    </row>
    <row r="1549" spans="2:18" x14ac:dyDescent="0.2">
      <c r="B1549" s="25">
        <v>1546</v>
      </c>
      <c r="C1549" s="18">
        <v>45376</v>
      </c>
      <c r="D1549" s="24">
        <f t="shared" si="120"/>
        <v>2024</v>
      </c>
      <c r="E1549" s="24" t="str">
        <f t="shared" si="121"/>
        <v>Q1</v>
      </c>
      <c r="F1549" s="24" t="str">
        <f t="shared" si="122"/>
        <v>Mar</v>
      </c>
      <c r="G1549" s="24">
        <f t="shared" si="123"/>
        <v>3</v>
      </c>
      <c r="H1549" s="19">
        <v>1615</v>
      </c>
      <c r="I1549" s="19" t="s">
        <v>3</v>
      </c>
      <c r="J1549" s="19" t="s">
        <v>9</v>
      </c>
      <c r="K1549" s="20">
        <v>3</v>
      </c>
      <c r="L1549" s="21">
        <v>157.36000000000001</v>
      </c>
      <c r="M1549" s="22">
        <v>0.25</v>
      </c>
      <c r="N1549" s="21">
        <f t="shared" si="124"/>
        <v>118.02000000000001</v>
      </c>
      <c r="O1549" s="21">
        <v>354.06</v>
      </c>
      <c r="P1549" s="19" t="s">
        <v>4</v>
      </c>
      <c r="Q1549" s="23">
        <v>6</v>
      </c>
      <c r="R1549" s="45">
        <v>1.7</v>
      </c>
    </row>
    <row r="1550" spans="2:18" x14ac:dyDescent="0.2">
      <c r="B1550" s="25">
        <v>1547</v>
      </c>
      <c r="C1550" s="18">
        <v>45377</v>
      </c>
      <c r="D1550" s="24">
        <f t="shared" si="120"/>
        <v>2024</v>
      </c>
      <c r="E1550" s="24" t="str">
        <f t="shared" si="121"/>
        <v>Q1</v>
      </c>
      <c r="F1550" s="24" t="str">
        <f t="shared" si="122"/>
        <v>Mar</v>
      </c>
      <c r="G1550" s="24">
        <f t="shared" si="123"/>
        <v>3</v>
      </c>
      <c r="H1550" s="19">
        <v>1957</v>
      </c>
      <c r="I1550" s="19" t="s">
        <v>7</v>
      </c>
      <c r="J1550" s="19" t="s">
        <v>5</v>
      </c>
      <c r="K1550" s="20">
        <v>5</v>
      </c>
      <c r="L1550" s="21">
        <v>38.47</v>
      </c>
      <c r="M1550" s="22">
        <v>0.21</v>
      </c>
      <c r="N1550" s="21">
        <f t="shared" si="124"/>
        <v>30.391300000000001</v>
      </c>
      <c r="O1550" s="21">
        <v>151.96</v>
      </c>
      <c r="P1550" s="19" t="s">
        <v>6</v>
      </c>
      <c r="Q1550" s="23">
        <v>3</v>
      </c>
      <c r="R1550" s="45">
        <v>1.7</v>
      </c>
    </row>
    <row r="1551" spans="2:18" x14ac:dyDescent="0.2">
      <c r="B1551" s="25">
        <v>1548</v>
      </c>
      <c r="C1551" s="18">
        <v>45378</v>
      </c>
      <c r="D1551" s="24">
        <f t="shared" si="120"/>
        <v>2024</v>
      </c>
      <c r="E1551" s="24" t="str">
        <f t="shared" si="121"/>
        <v>Q1</v>
      </c>
      <c r="F1551" s="24" t="str">
        <f t="shared" si="122"/>
        <v>Mar</v>
      </c>
      <c r="G1551" s="24">
        <f t="shared" si="123"/>
        <v>3</v>
      </c>
      <c r="H1551" s="19">
        <v>1209</v>
      </c>
      <c r="I1551" s="19" t="s">
        <v>0</v>
      </c>
      <c r="J1551" s="19" t="s">
        <v>8</v>
      </c>
      <c r="K1551" s="20">
        <v>2</v>
      </c>
      <c r="L1551" s="21">
        <v>591.48</v>
      </c>
      <c r="M1551" s="22">
        <v>0.3</v>
      </c>
      <c r="N1551" s="21">
        <f t="shared" si="124"/>
        <v>414.03600000000006</v>
      </c>
      <c r="O1551" s="21">
        <v>828.07</v>
      </c>
      <c r="P1551" s="19" t="s">
        <v>4</v>
      </c>
      <c r="Q1551" s="23">
        <v>8</v>
      </c>
      <c r="R1551" s="45">
        <v>2.9</v>
      </c>
    </row>
    <row r="1552" spans="2:18" x14ac:dyDescent="0.2">
      <c r="B1552" s="25">
        <v>1549</v>
      </c>
      <c r="C1552" s="18">
        <v>45379</v>
      </c>
      <c r="D1552" s="24">
        <f t="shared" si="120"/>
        <v>2024</v>
      </c>
      <c r="E1552" s="24" t="str">
        <f t="shared" si="121"/>
        <v>Q1</v>
      </c>
      <c r="F1552" s="24" t="str">
        <f t="shared" si="122"/>
        <v>Mar</v>
      </c>
      <c r="G1552" s="24">
        <f t="shared" si="123"/>
        <v>3</v>
      </c>
      <c r="H1552" s="19">
        <v>1984</v>
      </c>
      <c r="I1552" s="19" t="s">
        <v>3</v>
      </c>
      <c r="J1552" s="19" t="s">
        <v>5</v>
      </c>
      <c r="K1552" s="20">
        <v>2</v>
      </c>
      <c r="L1552" s="21">
        <v>214.16</v>
      </c>
      <c r="M1552" s="22">
        <v>0.1</v>
      </c>
      <c r="N1552" s="21">
        <f t="shared" si="124"/>
        <v>192.744</v>
      </c>
      <c r="O1552" s="21">
        <v>385.49</v>
      </c>
      <c r="P1552" s="19" t="s">
        <v>6</v>
      </c>
      <c r="Q1552" s="23">
        <v>9</v>
      </c>
      <c r="R1552" s="45">
        <v>4.5</v>
      </c>
    </row>
    <row r="1553" spans="2:18" x14ac:dyDescent="0.2">
      <c r="B1553" s="25">
        <v>1550</v>
      </c>
      <c r="C1553" s="18">
        <v>45380</v>
      </c>
      <c r="D1553" s="24">
        <f t="shared" si="120"/>
        <v>2024</v>
      </c>
      <c r="E1553" s="24" t="str">
        <f t="shared" si="121"/>
        <v>Q1</v>
      </c>
      <c r="F1553" s="24" t="str">
        <f t="shared" si="122"/>
        <v>Mar</v>
      </c>
      <c r="G1553" s="24">
        <f t="shared" si="123"/>
        <v>3</v>
      </c>
      <c r="H1553" s="19">
        <v>1992</v>
      </c>
      <c r="I1553" s="19" t="s">
        <v>7</v>
      </c>
      <c r="J1553" s="19" t="s">
        <v>1</v>
      </c>
      <c r="K1553" s="20">
        <v>6</v>
      </c>
      <c r="L1553" s="21">
        <v>197.5</v>
      </c>
      <c r="M1553" s="22">
        <v>0.31</v>
      </c>
      <c r="N1553" s="21">
        <f t="shared" si="124"/>
        <v>136.27500000000001</v>
      </c>
      <c r="O1553" s="21">
        <v>817.65</v>
      </c>
      <c r="P1553" s="19" t="s">
        <v>6</v>
      </c>
      <c r="Q1553" s="23">
        <v>3</v>
      </c>
      <c r="R1553" s="45">
        <v>1.5</v>
      </c>
    </row>
    <row r="1554" spans="2:18" x14ac:dyDescent="0.2">
      <c r="B1554" s="25">
        <v>1551</v>
      </c>
      <c r="C1554" s="18">
        <v>45381</v>
      </c>
      <c r="D1554" s="24">
        <f t="shared" si="120"/>
        <v>2024</v>
      </c>
      <c r="E1554" s="24" t="str">
        <f t="shared" si="121"/>
        <v>Q1</v>
      </c>
      <c r="F1554" s="24" t="str">
        <f t="shared" si="122"/>
        <v>Mar</v>
      </c>
      <c r="G1554" s="24">
        <f t="shared" si="123"/>
        <v>3</v>
      </c>
      <c r="H1554" s="19">
        <v>1622</v>
      </c>
      <c r="I1554" s="19" t="s">
        <v>10</v>
      </c>
      <c r="J1554" s="19" t="s">
        <v>9</v>
      </c>
      <c r="K1554" s="20">
        <v>2</v>
      </c>
      <c r="L1554" s="21">
        <v>544.98</v>
      </c>
      <c r="M1554" s="22">
        <v>0.14000000000000001</v>
      </c>
      <c r="N1554" s="21">
        <f t="shared" si="124"/>
        <v>468.68280000000004</v>
      </c>
      <c r="O1554" s="21">
        <v>937.37</v>
      </c>
      <c r="P1554" s="19" t="s">
        <v>4</v>
      </c>
      <c r="Q1554" s="23">
        <v>9</v>
      </c>
      <c r="R1554" s="45">
        <v>5</v>
      </c>
    </row>
    <row r="1555" spans="2:18" x14ac:dyDescent="0.2">
      <c r="B1555" s="25">
        <v>1552</v>
      </c>
      <c r="C1555" s="18">
        <v>45382</v>
      </c>
      <c r="D1555" s="24">
        <f t="shared" si="120"/>
        <v>2024</v>
      </c>
      <c r="E1555" s="24" t="str">
        <f t="shared" si="121"/>
        <v>Q1</v>
      </c>
      <c r="F1555" s="24" t="str">
        <f t="shared" si="122"/>
        <v>Mar</v>
      </c>
      <c r="G1555" s="24">
        <f t="shared" si="123"/>
        <v>3</v>
      </c>
      <c r="H1555" s="19">
        <v>1615</v>
      </c>
      <c r="I1555" s="19" t="s">
        <v>7</v>
      </c>
      <c r="J1555" s="19" t="s">
        <v>9</v>
      </c>
      <c r="K1555" s="20">
        <v>4</v>
      </c>
      <c r="L1555" s="21">
        <v>357.28</v>
      </c>
      <c r="M1555" s="22">
        <v>0.14000000000000001</v>
      </c>
      <c r="N1555" s="21">
        <f t="shared" si="124"/>
        <v>307.26079999999996</v>
      </c>
      <c r="O1555" s="21">
        <v>1229.04</v>
      </c>
      <c r="P1555" s="19" t="s">
        <v>6</v>
      </c>
      <c r="Q1555" s="23">
        <v>8</v>
      </c>
      <c r="R1555" s="45">
        <v>4.5</v>
      </c>
    </row>
    <row r="1556" spans="2:18" x14ac:dyDescent="0.2">
      <c r="B1556" s="25">
        <v>1553</v>
      </c>
      <c r="C1556" s="18">
        <v>45383</v>
      </c>
      <c r="D1556" s="24">
        <f t="shared" si="120"/>
        <v>2024</v>
      </c>
      <c r="E1556" s="24" t="str">
        <f t="shared" si="121"/>
        <v>Q2</v>
      </c>
      <c r="F1556" s="24" t="str">
        <f t="shared" si="122"/>
        <v>Apr</v>
      </c>
      <c r="G1556" s="24">
        <f t="shared" si="123"/>
        <v>4</v>
      </c>
      <c r="H1556" s="19">
        <v>1827</v>
      </c>
      <c r="I1556" s="19" t="s">
        <v>3</v>
      </c>
      <c r="J1556" s="19" t="s">
        <v>5</v>
      </c>
      <c r="K1556" s="20">
        <v>2</v>
      </c>
      <c r="L1556" s="21">
        <v>140.69999999999999</v>
      </c>
      <c r="M1556" s="22">
        <v>0.14000000000000001</v>
      </c>
      <c r="N1556" s="21">
        <f t="shared" si="124"/>
        <v>121.00199999999998</v>
      </c>
      <c r="O1556" s="21">
        <v>242</v>
      </c>
      <c r="P1556" s="19" t="s">
        <v>6</v>
      </c>
      <c r="Q1556" s="23">
        <v>5</v>
      </c>
      <c r="R1556" s="45">
        <v>2.6</v>
      </c>
    </row>
    <row r="1557" spans="2:18" x14ac:dyDescent="0.2">
      <c r="B1557" s="25">
        <v>1554</v>
      </c>
      <c r="C1557" s="18">
        <v>45384</v>
      </c>
      <c r="D1557" s="24">
        <f t="shared" si="120"/>
        <v>2024</v>
      </c>
      <c r="E1557" s="24" t="str">
        <f t="shared" si="121"/>
        <v>Q2</v>
      </c>
      <c r="F1557" s="24" t="str">
        <f t="shared" si="122"/>
        <v>Apr</v>
      </c>
      <c r="G1557" s="24">
        <f t="shared" si="123"/>
        <v>4</v>
      </c>
      <c r="H1557" s="19">
        <v>1682</v>
      </c>
      <c r="I1557" s="19" t="s">
        <v>10</v>
      </c>
      <c r="J1557" s="19" t="s">
        <v>8</v>
      </c>
      <c r="K1557" s="20">
        <v>2</v>
      </c>
      <c r="L1557" s="21">
        <v>535.12</v>
      </c>
      <c r="M1557" s="22">
        <v>0.03</v>
      </c>
      <c r="N1557" s="21">
        <f t="shared" si="124"/>
        <v>519.06640000000004</v>
      </c>
      <c r="O1557" s="21">
        <v>1038.1300000000001</v>
      </c>
      <c r="P1557" s="19" t="s">
        <v>4</v>
      </c>
      <c r="Q1557" s="23">
        <v>6</v>
      </c>
      <c r="R1557" s="45">
        <v>2</v>
      </c>
    </row>
    <row r="1558" spans="2:18" x14ac:dyDescent="0.2">
      <c r="B1558" s="25">
        <v>1555</v>
      </c>
      <c r="C1558" s="18">
        <v>45385</v>
      </c>
      <c r="D1558" s="24">
        <f t="shared" si="120"/>
        <v>2024</v>
      </c>
      <c r="E1558" s="24" t="str">
        <f t="shared" si="121"/>
        <v>Q2</v>
      </c>
      <c r="F1558" s="24" t="str">
        <f t="shared" si="122"/>
        <v>Apr</v>
      </c>
      <c r="G1558" s="24">
        <f t="shared" si="123"/>
        <v>4</v>
      </c>
      <c r="H1558" s="19">
        <v>1459</v>
      </c>
      <c r="I1558" s="19" t="s">
        <v>0</v>
      </c>
      <c r="J1558" s="19" t="s">
        <v>5</v>
      </c>
      <c r="K1558" s="20">
        <v>5</v>
      </c>
      <c r="L1558" s="21">
        <v>596.12</v>
      </c>
      <c r="M1558" s="22">
        <v>0.34</v>
      </c>
      <c r="N1558" s="21">
        <f t="shared" si="124"/>
        <v>393.43920000000003</v>
      </c>
      <c r="O1558" s="21">
        <v>1967.2</v>
      </c>
      <c r="P1558" s="19" t="s">
        <v>2</v>
      </c>
      <c r="Q1558" s="23">
        <v>1</v>
      </c>
      <c r="R1558" s="45">
        <v>4.7</v>
      </c>
    </row>
    <row r="1559" spans="2:18" x14ac:dyDescent="0.2">
      <c r="B1559" s="25">
        <v>1556</v>
      </c>
      <c r="C1559" s="18">
        <v>45386</v>
      </c>
      <c r="D1559" s="24">
        <f t="shared" si="120"/>
        <v>2024</v>
      </c>
      <c r="E1559" s="24" t="str">
        <f t="shared" si="121"/>
        <v>Q2</v>
      </c>
      <c r="F1559" s="24" t="str">
        <f t="shared" si="122"/>
        <v>Apr</v>
      </c>
      <c r="G1559" s="24">
        <f t="shared" si="123"/>
        <v>4</v>
      </c>
      <c r="H1559" s="19">
        <v>1355</v>
      </c>
      <c r="I1559" s="19" t="s">
        <v>10</v>
      </c>
      <c r="J1559" s="19" t="s">
        <v>1</v>
      </c>
      <c r="K1559" s="20">
        <v>3</v>
      </c>
      <c r="L1559" s="21">
        <v>65.709999999999994</v>
      </c>
      <c r="M1559" s="22">
        <v>0.05</v>
      </c>
      <c r="N1559" s="21">
        <f t="shared" si="124"/>
        <v>62.424499999999995</v>
      </c>
      <c r="O1559" s="21">
        <v>187.27</v>
      </c>
      <c r="P1559" s="19" t="s">
        <v>2</v>
      </c>
      <c r="Q1559" s="23">
        <v>5</v>
      </c>
      <c r="R1559" s="45">
        <v>1.5</v>
      </c>
    </row>
    <row r="1560" spans="2:18" x14ac:dyDescent="0.2">
      <c r="B1560" s="25">
        <v>1557</v>
      </c>
      <c r="C1560" s="18">
        <v>45387</v>
      </c>
      <c r="D1560" s="24">
        <f t="shared" si="120"/>
        <v>2024</v>
      </c>
      <c r="E1560" s="24" t="str">
        <f t="shared" si="121"/>
        <v>Q2</v>
      </c>
      <c r="F1560" s="24" t="str">
        <f t="shared" si="122"/>
        <v>Apr</v>
      </c>
      <c r="G1560" s="24">
        <f t="shared" si="123"/>
        <v>4</v>
      </c>
      <c r="H1560" s="19">
        <v>1323</v>
      </c>
      <c r="I1560" s="19" t="s">
        <v>10</v>
      </c>
      <c r="J1560" s="19" t="s">
        <v>8</v>
      </c>
      <c r="K1560" s="20">
        <v>5</v>
      </c>
      <c r="L1560" s="21">
        <v>519.41999999999996</v>
      </c>
      <c r="M1560" s="22">
        <v>0.12</v>
      </c>
      <c r="N1560" s="21">
        <f t="shared" si="124"/>
        <v>457.08959999999996</v>
      </c>
      <c r="O1560" s="21">
        <v>2285.4499999999998</v>
      </c>
      <c r="P1560" s="19" t="s">
        <v>4</v>
      </c>
      <c r="Q1560" s="23">
        <v>10</v>
      </c>
      <c r="R1560" s="45">
        <v>2.4</v>
      </c>
    </row>
    <row r="1561" spans="2:18" x14ac:dyDescent="0.2">
      <c r="B1561" s="25">
        <v>1558</v>
      </c>
      <c r="C1561" s="18">
        <v>45388</v>
      </c>
      <c r="D1561" s="24">
        <f t="shared" si="120"/>
        <v>2024</v>
      </c>
      <c r="E1561" s="24" t="str">
        <f t="shared" si="121"/>
        <v>Q2</v>
      </c>
      <c r="F1561" s="24" t="str">
        <f t="shared" si="122"/>
        <v>Apr</v>
      </c>
      <c r="G1561" s="24">
        <f t="shared" si="123"/>
        <v>4</v>
      </c>
      <c r="H1561" s="19">
        <v>1132</v>
      </c>
      <c r="I1561" s="19" t="s">
        <v>10</v>
      </c>
      <c r="J1561" s="19" t="s">
        <v>8</v>
      </c>
      <c r="K1561" s="20">
        <v>4</v>
      </c>
      <c r="L1561" s="21">
        <v>243.45</v>
      </c>
      <c r="M1561" s="22">
        <v>0.11</v>
      </c>
      <c r="N1561" s="21">
        <f t="shared" si="124"/>
        <v>216.6705</v>
      </c>
      <c r="O1561" s="21">
        <v>866.68</v>
      </c>
      <c r="P1561" s="19" t="s">
        <v>2</v>
      </c>
      <c r="Q1561" s="23">
        <v>10</v>
      </c>
      <c r="R1561" s="45">
        <v>1.3</v>
      </c>
    </row>
    <row r="1562" spans="2:18" x14ac:dyDescent="0.2">
      <c r="B1562" s="25">
        <v>1559</v>
      </c>
      <c r="C1562" s="18">
        <v>45389</v>
      </c>
      <c r="D1562" s="24">
        <f t="shared" si="120"/>
        <v>2024</v>
      </c>
      <c r="E1562" s="24" t="str">
        <f t="shared" si="121"/>
        <v>Q2</v>
      </c>
      <c r="F1562" s="24" t="str">
        <f t="shared" si="122"/>
        <v>Apr</v>
      </c>
      <c r="G1562" s="24">
        <f t="shared" si="123"/>
        <v>4</v>
      </c>
      <c r="H1562" s="19">
        <v>1887</v>
      </c>
      <c r="I1562" s="19" t="s">
        <v>0</v>
      </c>
      <c r="J1562" s="19" t="s">
        <v>5</v>
      </c>
      <c r="K1562" s="20">
        <v>2</v>
      </c>
      <c r="L1562" s="21">
        <v>321.58</v>
      </c>
      <c r="M1562" s="22">
        <v>0.03</v>
      </c>
      <c r="N1562" s="21">
        <f t="shared" si="124"/>
        <v>311.93259999999998</v>
      </c>
      <c r="O1562" s="21">
        <v>623.87</v>
      </c>
      <c r="P1562" s="19" t="s">
        <v>4</v>
      </c>
      <c r="Q1562" s="23">
        <v>7</v>
      </c>
      <c r="R1562" s="45">
        <v>4.8</v>
      </c>
    </row>
    <row r="1563" spans="2:18" x14ac:dyDescent="0.2">
      <c r="B1563" s="25">
        <v>1560</v>
      </c>
      <c r="C1563" s="18">
        <v>45390</v>
      </c>
      <c r="D1563" s="24">
        <f t="shared" si="120"/>
        <v>2024</v>
      </c>
      <c r="E1563" s="24" t="str">
        <f t="shared" si="121"/>
        <v>Q2</v>
      </c>
      <c r="F1563" s="24" t="str">
        <f t="shared" si="122"/>
        <v>Apr</v>
      </c>
      <c r="G1563" s="24">
        <f t="shared" si="123"/>
        <v>4</v>
      </c>
      <c r="H1563" s="19">
        <v>1804</v>
      </c>
      <c r="I1563" s="19" t="s">
        <v>7</v>
      </c>
      <c r="J1563" s="19" t="s">
        <v>1</v>
      </c>
      <c r="K1563" s="20">
        <v>7</v>
      </c>
      <c r="L1563" s="21">
        <v>550.16999999999996</v>
      </c>
      <c r="M1563" s="22">
        <v>0.05</v>
      </c>
      <c r="N1563" s="21">
        <f t="shared" si="124"/>
        <v>522.66149999999993</v>
      </c>
      <c r="O1563" s="21">
        <v>3658.63</v>
      </c>
      <c r="P1563" s="19" t="s">
        <v>6</v>
      </c>
      <c r="Q1563" s="23">
        <v>1</v>
      </c>
      <c r="R1563" s="45">
        <v>3.5</v>
      </c>
    </row>
    <row r="1564" spans="2:18" x14ac:dyDescent="0.2">
      <c r="B1564" s="25">
        <v>1561</v>
      </c>
      <c r="C1564" s="18">
        <v>45391</v>
      </c>
      <c r="D1564" s="24">
        <f t="shared" si="120"/>
        <v>2024</v>
      </c>
      <c r="E1564" s="24" t="str">
        <f t="shared" si="121"/>
        <v>Q2</v>
      </c>
      <c r="F1564" s="24" t="str">
        <f t="shared" si="122"/>
        <v>Apr</v>
      </c>
      <c r="G1564" s="24">
        <f t="shared" si="123"/>
        <v>4</v>
      </c>
      <c r="H1564" s="19">
        <v>1839</v>
      </c>
      <c r="I1564" s="19" t="s">
        <v>7</v>
      </c>
      <c r="J1564" s="19" t="s">
        <v>8</v>
      </c>
      <c r="K1564" s="20">
        <v>3</v>
      </c>
      <c r="L1564" s="21">
        <v>584.42999999999995</v>
      </c>
      <c r="M1564" s="22">
        <v>0.02</v>
      </c>
      <c r="N1564" s="21">
        <f t="shared" si="124"/>
        <v>572.7414</v>
      </c>
      <c r="O1564" s="21">
        <v>1718.22</v>
      </c>
      <c r="P1564" s="19" t="s">
        <v>2</v>
      </c>
      <c r="Q1564" s="23">
        <v>10</v>
      </c>
      <c r="R1564" s="45">
        <v>2.2999999999999998</v>
      </c>
    </row>
    <row r="1565" spans="2:18" x14ac:dyDescent="0.2">
      <c r="B1565" s="25">
        <v>1562</v>
      </c>
      <c r="C1565" s="18">
        <v>45392</v>
      </c>
      <c r="D1565" s="24">
        <f t="shared" si="120"/>
        <v>2024</v>
      </c>
      <c r="E1565" s="24" t="str">
        <f t="shared" si="121"/>
        <v>Q2</v>
      </c>
      <c r="F1565" s="24" t="str">
        <f t="shared" si="122"/>
        <v>Apr</v>
      </c>
      <c r="G1565" s="24">
        <f t="shared" si="123"/>
        <v>4</v>
      </c>
      <c r="H1565" s="19">
        <v>1126</v>
      </c>
      <c r="I1565" s="19" t="s">
        <v>7</v>
      </c>
      <c r="J1565" s="19" t="s">
        <v>9</v>
      </c>
      <c r="K1565" s="20">
        <v>6</v>
      </c>
      <c r="L1565" s="21">
        <v>168.37</v>
      </c>
      <c r="M1565" s="22">
        <v>0.1</v>
      </c>
      <c r="N1565" s="21">
        <f t="shared" si="124"/>
        <v>151.53300000000002</v>
      </c>
      <c r="O1565" s="21">
        <v>909.2</v>
      </c>
      <c r="P1565" s="19" t="s">
        <v>6</v>
      </c>
      <c r="Q1565" s="23">
        <v>9</v>
      </c>
      <c r="R1565" s="45">
        <v>2.1</v>
      </c>
    </row>
    <row r="1566" spans="2:18" x14ac:dyDescent="0.2">
      <c r="B1566" s="25">
        <v>1563</v>
      </c>
      <c r="C1566" s="18">
        <v>45393</v>
      </c>
      <c r="D1566" s="24">
        <f t="shared" si="120"/>
        <v>2024</v>
      </c>
      <c r="E1566" s="24" t="str">
        <f t="shared" si="121"/>
        <v>Q2</v>
      </c>
      <c r="F1566" s="24" t="str">
        <f t="shared" si="122"/>
        <v>Apr</v>
      </c>
      <c r="G1566" s="24">
        <f t="shared" si="123"/>
        <v>4</v>
      </c>
      <c r="H1566" s="19">
        <v>1105</v>
      </c>
      <c r="I1566" s="19" t="s">
        <v>7</v>
      </c>
      <c r="J1566" s="19" t="s">
        <v>1</v>
      </c>
      <c r="K1566" s="20">
        <v>6</v>
      </c>
      <c r="L1566" s="21">
        <v>139.52000000000001</v>
      </c>
      <c r="M1566" s="22">
        <v>0.3</v>
      </c>
      <c r="N1566" s="21">
        <f t="shared" si="124"/>
        <v>97.664000000000016</v>
      </c>
      <c r="O1566" s="21">
        <v>585.98</v>
      </c>
      <c r="P1566" s="19" t="s">
        <v>4</v>
      </c>
      <c r="Q1566" s="23">
        <v>7</v>
      </c>
      <c r="R1566" s="45">
        <v>2.8</v>
      </c>
    </row>
    <row r="1567" spans="2:18" x14ac:dyDescent="0.2">
      <c r="B1567" s="25">
        <v>1564</v>
      </c>
      <c r="C1567" s="18">
        <v>45394</v>
      </c>
      <c r="D1567" s="24">
        <f t="shared" si="120"/>
        <v>2024</v>
      </c>
      <c r="E1567" s="24" t="str">
        <f t="shared" si="121"/>
        <v>Q2</v>
      </c>
      <c r="F1567" s="24" t="str">
        <f t="shared" si="122"/>
        <v>Apr</v>
      </c>
      <c r="G1567" s="24">
        <f t="shared" si="123"/>
        <v>4</v>
      </c>
      <c r="H1567" s="19">
        <v>1603</v>
      </c>
      <c r="I1567" s="19" t="s">
        <v>10</v>
      </c>
      <c r="J1567" s="19" t="s">
        <v>8</v>
      </c>
      <c r="K1567" s="20">
        <v>2</v>
      </c>
      <c r="L1567" s="21">
        <v>62.1</v>
      </c>
      <c r="M1567" s="22">
        <v>0.12</v>
      </c>
      <c r="N1567" s="21">
        <f t="shared" si="124"/>
        <v>54.648000000000003</v>
      </c>
      <c r="O1567" s="21">
        <v>109.3</v>
      </c>
      <c r="P1567" s="19" t="s">
        <v>2</v>
      </c>
      <c r="Q1567" s="23">
        <v>4</v>
      </c>
      <c r="R1567" s="45">
        <v>1.4</v>
      </c>
    </row>
    <row r="1568" spans="2:18" x14ac:dyDescent="0.2">
      <c r="B1568" s="25">
        <v>1565</v>
      </c>
      <c r="C1568" s="18">
        <v>45395</v>
      </c>
      <c r="D1568" s="24">
        <f t="shared" si="120"/>
        <v>2024</v>
      </c>
      <c r="E1568" s="24" t="str">
        <f t="shared" si="121"/>
        <v>Q2</v>
      </c>
      <c r="F1568" s="24" t="str">
        <f t="shared" si="122"/>
        <v>Apr</v>
      </c>
      <c r="G1568" s="24">
        <f t="shared" si="123"/>
        <v>4</v>
      </c>
      <c r="H1568" s="19">
        <v>1798</v>
      </c>
      <c r="I1568" s="19" t="s">
        <v>3</v>
      </c>
      <c r="J1568" s="19" t="s">
        <v>5</v>
      </c>
      <c r="K1568" s="20">
        <v>2</v>
      </c>
      <c r="L1568" s="21">
        <v>343.65</v>
      </c>
      <c r="M1568" s="22">
        <v>0.04</v>
      </c>
      <c r="N1568" s="21">
        <f t="shared" si="124"/>
        <v>329.904</v>
      </c>
      <c r="O1568" s="21">
        <v>659.81</v>
      </c>
      <c r="P1568" s="19" t="s">
        <v>4</v>
      </c>
      <c r="Q1568" s="23">
        <v>11</v>
      </c>
      <c r="R1568" s="45">
        <v>4.5999999999999996</v>
      </c>
    </row>
    <row r="1569" spans="2:18" x14ac:dyDescent="0.2">
      <c r="B1569" s="25">
        <v>1566</v>
      </c>
      <c r="C1569" s="18">
        <v>45396</v>
      </c>
      <c r="D1569" s="24">
        <f t="shared" si="120"/>
        <v>2024</v>
      </c>
      <c r="E1569" s="24" t="str">
        <f t="shared" si="121"/>
        <v>Q2</v>
      </c>
      <c r="F1569" s="24" t="str">
        <f t="shared" si="122"/>
        <v>Apr</v>
      </c>
      <c r="G1569" s="24">
        <f t="shared" si="123"/>
        <v>4</v>
      </c>
      <c r="H1569" s="19">
        <v>1377</v>
      </c>
      <c r="I1569" s="19" t="s">
        <v>3</v>
      </c>
      <c r="J1569" s="19" t="s">
        <v>8</v>
      </c>
      <c r="K1569" s="20">
        <v>6</v>
      </c>
      <c r="L1569" s="21">
        <v>22.96</v>
      </c>
      <c r="M1569" s="22">
        <v>0.23</v>
      </c>
      <c r="N1569" s="21">
        <f t="shared" si="124"/>
        <v>17.679200000000002</v>
      </c>
      <c r="O1569" s="21">
        <v>106.08</v>
      </c>
      <c r="P1569" s="19" t="s">
        <v>4</v>
      </c>
      <c r="Q1569" s="23">
        <v>4</v>
      </c>
      <c r="R1569" s="45">
        <v>3</v>
      </c>
    </row>
    <row r="1570" spans="2:18" x14ac:dyDescent="0.2">
      <c r="B1570" s="25">
        <v>1567</v>
      </c>
      <c r="C1570" s="18">
        <v>45397</v>
      </c>
      <c r="D1570" s="24">
        <f t="shared" si="120"/>
        <v>2024</v>
      </c>
      <c r="E1570" s="24" t="str">
        <f t="shared" si="121"/>
        <v>Q2</v>
      </c>
      <c r="F1570" s="24" t="str">
        <f t="shared" si="122"/>
        <v>Apr</v>
      </c>
      <c r="G1570" s="24">
        <f t="shared" si="123"/>
        <v>4</v>
      </c>
      <c r="H1570" s="19">
        <v>1904</v>
      </c>
      <c r="I1570" s="19" t="s">
        <v>7</v>
      </c>
      <c r="J1570" s="19" t="s">
        <v>9</v>
      </c>
      <c r="K1570" s="20">
        <v>6</v>
      </c>
      <c r="L1570" s="21">
        <v>255.96</v>
      </c>
      <c r="M1570" s="22">
        <v>0.35</v>
      </c>
      <c r="N1570" s="21">
        <f t="shared" si="124"/>
        <v>166.37400000000002</v>
      </c>
      <c r="O1570" s="21">
        <v>998.24</v>
      </c>
      <c r="P1570" s="19" t="s">
        <v>4</v>
      </c>
      <c r="Q1570" s="23">
        <v>11</v>
      </c>
      <c r="R1570" s="45">
        <v>3.9</v>
      </c>
    </row>
    <row r="1571" spans="2:18" x14ac:dyDescent="0.2">
      <c r="B1571" s="25">
        <v>1568</v>
      </c>
      <c r="C1571" s="18">
        <v>45398</v>
      </c>
      <c r="D1571" s="24">
        <f t="shared" si="120"/>
        <v>2024</v>
      </c>
      <c r="E1571" s="24" t="str">
        <f t="shared" si="121"/>
        <v>Q2</v>
      </c>
      <c r="F1571" s="24" t="str">
        <f t="shared" si="122"/>
        <v>Apr</v>
      </c>
      <c r="G1571" s="24">
        <f t="shared" si="123"/>
        <v>4</v>
      </c>
      <c r="H1571" s="19">
        <v>1050</v>
      </c>
      <c r="I1571" s="19" t="s">
        <v>10</v>
      </c>
      <c r="J1571" s="19" t="s">
        <v>1</v>
      </c>
      <c r="K1571" s="20">
        <v>7</v>
      </c>
      <c r="L1571" s="21">
        <v>57.93</v>
      </c>
      <c r="M1571" s="22">
        <v>0.08</v>
      </c>
      <c r="N1571" s="21">
        <f t="shared" si="124"/>
        <v>53.2956</v>
      </c>
      <c r="O1571" s="21">
        <v>373.07</v>
      </c>
      <c r="P1571" s="19" t="s">
        <v>2</v>
      </c>
      <c r="Q1571" s="23">
        <v>10</v>
      </c>
      <c r="R1571" s="45">
        <v>1.9</v>
      </c>
    </row>
    <row r="1572" spans="2:18" x14ac:dyDescent="0.2">
      <c r="B1572" s="25">
        <v>1569</v>
      </c>
      <c r="C1572" s="18">
        <v>45399</v>
      </c>
      <c r="D1572" s="24">
        <f t="shared" si="120"/>
        <v>2024</v>
      </c>
      <c r="E1572" s="24" t="str">
        <f t="shared" si="121"/>
        <v>Q2</v>
      </c>
      <c r="F1572" s="24" t="str">
        <f t="shared" si="122"/>
        <v>Apr</v>
      </c>
      <c r="G1572" s="24">
        <f t="shared" si="123"/>
        <v>4</v>
      </c>
      <c r="H1572" s="19">
        <v>1028</v>
      </c>
      <c r="I1572" s="19" t="s">
        <v>7</v>
      </c>
      <c r="J1572" s="19" t="s">
        <v>8</v>
      </c>
      <c r="K1572" s="20">
        <v>4</v>
      </c>
      <c r="L1572" s="21">
        <v>252.06</v>
      </c>
      <c r="M1572" s="22">
        <v>0.1</v>
      </c>
      <c r="N1572" s="21">
        <f t="shared" si="124"/>
        <v>226.85399999999998</v>
      </c>
      <c r="O1572" s="21">
        <v>907.42</v>
      </c>
      <c r="P1572" s="19" t="s">
        <v>2</v>
      </c>
      <c r="Q1572" s="23">
        <v>7</v>
      </c>
      <c r="R1572" s="45">
        <v>3</v>
      </c>
    </row>
    <row r="1573" spans="2:18" x14ac:dyDescent="0.2">
      <c r="B1573" s="25">
        <v>1570</v>
      </c>
      <c r="C1573" s="18">
        <v>45400</v>
      </c>
      <c r="D1573" s="24">
        <f t="shared" si="120"/>
        <v>2024</v>
      </c>
      <c r="E1573" s="24" t="str">
        <f t="shared" si="121"/>
        <v>Q2</v>
      </c>
      <c r="F1573" s="24" t="str">
        <f t="shared" si="122"/>
        <v>Apr</v>
      </c>
      <c r="G1573" s="24">
        <f t="shared" si="123"/>
        <v>4</v>
      </c>
      <c r="H1573" s="19">
        <v>1461</v>
      </c>
      <c r="I1573" s="19" t="s">
        <v>10</v>
      </c>
      <c r="J1573" s="19" t="s">
        <v>9</v>
      </c>
      <c r="K1573" s="20">
        <v>2</v>
      </c>
      <c r="L1573" s="21">
        <v>38.36</v>
      </c>
      <c r="M1573" s="22">
        <v>0.34</v>
      </c>
      <c r="N1573" s="21">
        <f t="shared" si="124"/>
        <v>25.317599999999999</v>
      </c>
      <c r="O1573" s="21">
        <v>50.64</v>
      </c>
      <c r="P1573" s="19" t="s">
        <v>4</v>
      </c>
      <c r="Q1573" s="23">
        <v>6</v>
      </c>
      <c r="R1573" s="45">
        <v>1.8</v>
      </c>
    </row>
    <row r="1574" spans="2:18" x14ac:dyDescent="0.2">
      <c r="B1574" s="25">
        <v>1571</v>
      </c>
      <c r="C1574" s="18">
        <v>45401</v>
      </c>
      <c r="D1574" s="24">
        <f t="shared" si="120"/>
        <v>2024</v>
      </c>
      <c r="E1574" s="24" t="str">
        <f t="shared" si="121"/>
        <v>Q2</v>
      </c>
      <c r="F1574" s="24" t="str">
        <f t="shared" si="122"/>
        <v>Apr</v>
      </c>
      <c r="G1574" s="24">
        <f t="shared" si="123"/>
        <v>4</v>
      </c>
      <c r="H1574" s="19">
        <v>1295</v>
      </c>
      <c r="I1574" s="19" t="s">
        <v>3</v>
      </c>
      <c r="J1574" s="19" t="s">
        <v>8</v>
      </c>
      <c r="K1574" s="20">
        <v>6</v>
      </c>
      <c r="L1574" s="21">
        <v>503.6</v>
      </c>
      <c r="M1574" s="22">
        <v>0.06</v>
      </c>
      <c r="N1574" s="21">
        <f t="shared" si="124"/>
        <v>473.38400000000001</v>
      </c>
      <c r="O1574" s="21">
        <v>2840.3</v>
      </c>
      <c r="P1574" s="19" t="s">
        <v>2</v>
      </c>
      <c r="Q1574" s="23">
        <v>3</v>
      </c>
      <c r="R1574" s="45">
        <v>4.3</v>
      </c>
    </row>
    <row r="1575" spans="2:18" x14ac:dyDescent="0.2">
      <c r="B1575" s="25">
        <v>1572</v>
      </c>
      <c r="C1575" s="18">
        <v>45402</v>
      </c>
      <c r="D1575" s="24">
        <f t="shared" si="120"/>
        <v>2024</v>
      </c>
      <c r="E1575" s="24" t="str">
        <f t="shared" si="121"/>
        <v>Q2</v>
      </c>
      <c r="F1575" s="24" t="str">
        <f t="shared" si="122"/>
        <v>Apr</v>
      </c>
      <c r="G1575" s="24">
        <f t="shared" si="123"/>
        <v>4</v>
      </c>
      <c r="H1575" s="19">
        <v>1296</v>
      </c>
      <c r="I1575" s="19" t="s">
        <v>7</v>
      </c>
      <c r="J1575" s="19" t="s">
        <v>8</v>
      </c>
      <c r="K1575" s="20">
        <v>7</v>
      </c>
      <c r="L1575" s="21">
        <v>137.69999999999999</v>
      </c>
      <c r="M1575" s="22">
        <v>0.18</v>
      </c>
      <c r="N1575" s="21">
        <f t="shared" si="124"/>
        <v>112.91399999999999</v>
      </c>
      <c r="O1575" s="21">
        <v>790.4</v>
      </c>
      <c r="P1575" s="19" t="s">
        <v>4</v>
      </c>
      <c r="Q1575" s="23">
        <v>9</v>
      </c>
      <c r="R1575" s="45">
        <v>4.0999999999999996</v>
      </c>
    </row>
    <row r="1576" spans="2:18" x14ac:dyDescent="0.2">
      <c r="B1576" s="25">
        <v>1573</v>
      </c>
      <c r="C1576" s="18">
        <v>45403</v>
      </c>
      <c r="D1576" s="24">
        <f t="shared" si="120"/>
        <v>2024</v>
      </c>
      <c r="E1576" s="24" t="str">
        <f t="shared" si="121"/>
        <v>Q2</v>
      </c>
      <c r="F1576" s="24" t="str">
        <f t="shared" si="122"/>
        <v>Apr</v>
      </c>
      <c r="G1576" s="24">
        <f t="shared" si="123"/>
        <v>4</v>
      </c>
      <c r="H1576" s="19">
        <v>1725</v>
      </c>
      <c r="I1576" s="19" t="s">
        <v>7</v>
      </c>
      <c r="J1576" s="19" t="s">
        <v>1</v>
      </c>
      <c r="K1576" s="20">
        <v>1</v>
      </c>
      <c r="L1576" s="21">
        <v>207.06</v>
      </c>
      <c r="M1576" s="22">
        <v>0.08</v>
      </c>
      <c r="N1576" s="21">
        <f t="shared" si="124"/>
        <v>190.49520000000001</v>
      </c>
      <c r="O1576" s="21">
        <v>190.5</v>
      </c>
      <c r="P1576" s="19" t="s">
        <v>2</v>
      </c>
      <c r="Q1576" s="23">
        <v>6</v>
      </c>
      <c r="R1576" s="45">
        <v>1.6</v>
      </c>
    </row>
    <row r="1577" spans="2:18" x14ac:dyDescent="0.2">
      <c r="B1577" s="25">
        <v>1574</v>
      </c>
      <c r="C1577" s="18">
        <v>45404</v>
      </c>
      <c r="D1577" s="24">
        <f t="shared" si="120"/>
        <v>2024</v>
      </c>
      <c r="E1577" s="24" t="str">
        <f t="shared" si="121"/>
        <v>Q2</v>
      </c>
      <c r="F1577" s="24" t="str">
        <f t="shared" si="122"/>
        <v>Apr</v>
      </c>
      <c r="G1577" s="24">
        <f t="shared" si="123"/>
        <v>4</v>
      </c>
      <c r="H1577" s="19">
        <v>1778</v>
      </c>
      <c r="I1577" s="19" t="s">
        <v>7</v>
      </c>
      <c r="J1577" s="19" t="s">
        <v>5</v>
      </c>
      <c r="K1577" s="20">
        <v>6</v>
      </c>
      <c r="L1577" s="21">
        <v>523.98</v>
      </c>
      <c r="M1577" s="22">
        <v>0.33</v>
      </c>
      <c r="N1577" s="21">
        <f t="shared" si="124"/>
        <v>351.06659999999999</v>
      </c>
      <c r="O1577" s="21">
        <v>2106.4</v>
      </c>
      <c r="P1577" s="19" t="s">
        <v>6</v>
      </c>
      <c r="Q1577" s="23">
        <v>11</v>
      </c>
      <c r="R1577" s="45">
        <v>1.3</v>
      </c>
    </row>
    <row r="1578" spans="2:18" x14ac:dyDescent="0.2">
      <c r="B1578" s="25">
        <v>1575</v>
      </c>
      <c r="C1578" s="18">
        <v>45405</v>
      </c>
      <c r="D1578" s="24">
        <f t="shared" si="120"/>
        <v>2024</v>
      </c>
      <c r="E1578" s="24" t="str">
        <f t="shared" si="121"/>
        <v>Q2</v>
      </c>
      <c r="F1578" s="24" t="str">
        <f t="shared" si="122"/>
        <v>Apr</v>
      </c>
      <c r="G1578" s="24">
        <f t="shared" si="123"/>
        <v>4</v>
      </c>
      <c r="H1578" s="19">
        <v>1406</v>
      </c>
      <c r="I1578" s="19" t="s">
        <v>10</v>
      </c>
      <c r="J1578" s="19" t="s">
        <v>5</v>
      </c>
      <c r="K1578" s="20">
        <v>3</v>
      </c>
      <c r="L1578" s="21">
        <v>451.57</v>
      </c>
      <c r="M1578" s="22">
        <v>0.34</v>
      </c>
      <c r="N1578" s="21">
        <f t="shared" si="124"/>
        <v>298.03620000000001</v>
      </c>
      <c r="O1578" s="21">
        <v>894.11</v>
      </c>
      <c r="P1578" s="19" t="s">
        <v>4</v>
      </c>
      <c r="Q1578" s="23">
        <v>2</v>
      </c>
      <c r="R1578" s="45">
        <v>4.3</v>
      </c>
    </row>
    <row r="1579" spans="2:18" x14ac:dyDescent="0.2">
      <c r="B1579" s="25">
        <v>1576</v>
      </c>
      <c r="C1579" s="18">
        <v>45406</v>
      </c>
      <c r="D1579" s="24">
        <f t="shared" si="120"/>
        <v>2024</v>
      </c>
      <c r="E1579" s="24" t="str">
        <f t="shared" si="121"/>
        <v>Q2</v>
      </c>
      <c r="F1579" s="24" t="str">
        <f t="shared" si="122"/>
        <v>Apr</v>
      </c>
      <c r="G1579" s="24">
        <f t="shared" si="123"/>
        <v>4</v>
      </c>
      <c r="H1579" s="19">
        <v>1768</v>
      </c>
      <c r="I1579" s="19" t="s">
        <v>0</v>
      </c>
      <c r="J1579" s="19" t="s">
        <v>9</v>
      </c>
      <c r="K1579" s="20">
        <v>3</v>
      </c>
      <c r="L1579" s="21">
        <v>143.13999999999999</v>
      </c>
      <c r="M1579" s="22">
        <v>0.28999999999999998</v>
      </c>
      <c r="N1579" s="21">
        <f t="shared" si="124"/>
        <v>101.62939999999999</v>
      </c>
      <c r="O1579" s="21">
        <v>304.89</v>
      </c>
      <c r="P1579" s="19" t="s">
        <v>4</v>
      </c>
      <c r="Q1579" s="23">
        <v>10</v>
      </c>
      <c r="R1579" s="45">
        <v>1.4</v>
      </c>
    </row>
    <row r="1580" spans="2:18" x14ac:dyDescent="0.2">
      <c r="B1580" s="25">
        <v>1577</v>
      </c>
      <c r="C1580" s="18">
        <v>45407</v>
      </c>
      <c r="D1580" s="24">
        <f t="shared" si="120"/>
        <v>2024</v>
      </c>
      <c r="E1580" s="24" t="str">
        <f t="shared" si="121"/>
        <v>Q2</v>
      </c>
      <c r="F1580" s="24" t="str">
        <f t="shared" si="122"/>
        <v>Apr</v>
      </c>
      <c r="G1580" s="24">
        <f t="shared" si="123"/>
        <v>4</v>
      </c>
      <c r="H1580" s="19">
        <v>1813</v>
      </c>
      <c r="I1580" s="19" t="s">
        <v>3</v>
      </c>
      <c r="J1580" s="19" t="s">
        <v>9</v>
      </c>
      <c r="K1580" s="20">
        <v>1</v>
      </c>
      <c r="L1580" s="21">
        <v>57.06</v>
      </c>
      <c r="M1580" s="22">
        <v>0.11</v>
      </c>
      <c r="N1580" s="21">
        <f t="shared" si="124"/>
        <v>50.7834</v>
      </c>
      <c r="O1580" s="21">
        <v>50.78</v>
      </c>
      <c r="P1580" s="19" t="s">
        <v>4</v>
      </c>
      <c r="Q1580" s="23">
        <v>2</v>
      </c>
      <c r="R1580" s="45">
        <v>3.2</v>
      </c>
    </row>
    <row r="1581" spans="2:18" x14ac:dyDescent="0.2">
      <c r="B1581" s="25">
        <v>1578</v>
      </c>
      <c r="C1581" s="18">
        <v>45408</v>
      </c>
      <c r="D1581" s="24">
        <f t="shared" si="120"/>
        <v>2024</v>
      </c>
      <c r="E1581" s="24" t="str">
        <f t="shared" si="121"/>
        <v>Q2</v>
      </c>
      <c r="F1581" s="24" t="str">
        <f t="shared" si="122"/>
        <v>Apr</v>
      </c>
      <c r="G1581" s="24">
        <f t="shared" si="123"/>
        <v>4</v>
      </c>
      <c r="H1581" s="19">
        <v>1612</v>
      </c>
      <c r="I1581" s="19" t="s">
        <v>7</v>
      </c>
      <c r="J1581" s="19" t="s">
        <v>9</v>
      </c>
      <c r="K1581" s="20">
        <v>4</v>
      </c>
      <c r="L1581" s="21">
        <v>433.67</v>
      </c>
      <c r="M1581" s="22">
        <v>0.14000000000000001</v>
      </c>
      <c r="N1581" s="21">
        <f t="shared" si="124"/>
        <v>372.95620000000002</v>
      </c>
      <c r="O1581" s="21">
        <v>1491.82</v>
      </c>
      <c r="P1581" s="19" t="s">
        <v>4</v>
      </c>
      <c r="Q1581" s="23">
        <v>1</v>
      </c>
      <c r="R1581" s="45">
        <v>3.1</v>
      </c>
    </row>
    <row r="1582" spans="2:18" x14ac:dyDescent="0.2">
      <c r="B1582" s="25">
        <v>1579</v>
      </c>
      <c r="C1582" s="18">
        <v>45409</v>
      </c>
      <c r="D1582" s="24">
        <f t="shared" si="120"/>
        <v>2024</v>
      </c>
      <c r="E1582" s="24" t="str">
        <f t="shared" si="121"/>
        <v>Q2</v>
      </c>
      <c r="F1582" s="24" t="str">
        <f t="shared" si="122"/>
        <v>Apr</v>
      </c>
      <c r="G1582" s="24">
        <f t="shared" si="123"/>
        <v>4</v>
      </c>
      <c r="H1582" s="19">
        <v>1404</v>
      </c>
      <c r="I1582" s="19" t="s">
        <v>3</v>
      </c>
      <c r="J1582" s="19" t="s">
        <v>1</v>
      </c>
      <c r="K1582" s="20">
        <v>2</v>
      </c>
      <c r="L1582" s="21">
        <v>243.56</v>
      </c>
      <c r="M1582" s="22">
        <v>0.08</v>
      </c>
      <c r="N1582" s="21">
        <f t="shared" si="124"/>
        <v>224.0752</v>
      </c>
      <c r="O1582" s="21">
        <v>448.15</v>
      </c>
      <c r="P1582" s="19" t="s">
        <v>6</v>
      </c>
      <c r="Q1582" s="23">
        <v>11</v>
      </c>
      <c r="R1582" s="45">
        <v>1.8</v>
      </c>
    </row>
    <row r="1583" spans="2:18" x14ac:dyDescent="0.2">
      <c r="B1583" s="25">
        <v>1580</v>
      </c>
      <c r="C1583" s="18">
        <v>45410</v>
      </c>
      <c r="D1583" s="24">
        <f t="shared" si="120"/>
        <v>2024</v>
      </c>
      <c r="E1583" s="24" t="str">
        <f t="shared" si="121"/>
        <v>Q2</v>
      </c>
      <c r="F1583" s="24" t="str">
        <f t="shared" si="122"/>
        <v>Apr</v>
      </c>
      <c r="G1583" s="24">
        <f t="shared" si="123"/>
        <v>4</v>
      </c>
      <c r="H1583" s="19">
        <v>1345</v>
      </c>
      <c r="I1583" s="19" t="s">
        <v>10</v>
      </c>
      <c r="J1583" s="19" t="s">
        <v>5</v>
      </c>
      <c r="K1583" s="20">
        <v>2</v>
      </c>
      <c r="L1583" s="21">
        <v>463.16</v>
      </c>
      <c r="M1583" s="22">
        <v>0.31</v>
      </c>
      <c r="N1583" s="21">
        <f t="shared" si="124"/>
        <v>319.58040000000005</v>
      </c>
      <c r="O1583" s="21">
        <v>639.16</v>
      </c>
      <c r="P1583" s="19" t="s">
        <v>4</v>
      </c>
      <c r="Q1583" s="23">
        <v>5</v>
      </c>
      <c r="R1583" s="45">
        <v>3.4</v>
      </c>
    </row>
    <row r="1584" spans="2:18" x14ac:dyDescent="0.2">
      <c r="B1584" s="25">
        <v>1581</v>
      </c>
      <c r="C1584" s="18">
        <v>45411</v>
      </c>
      <c r="D1584" s="24">
        <f t="shared" si="120"/>
        <v>2024</v>
      </c>
      <c r="E1584" s="24" t="str">
        <f t="shared" si="121"/>
        <v>Q2</v>
      </c>
      <c r="F1584" s="24" t="str">
        <f t="shared" si="122"/>
        <v>Apr</v>
      </c>
      <c r="G1584" s="24">
        <f t="shared" si="123"/>
        <v>4</v>
      </c>
      <c r="H1584" s="19">
        <v>1621</v>
      </c>
      <c r="I1584" s="19" t="s">
        <v>10</v>
      </c>
      <c r="J1584" s="19" t="s">
        <v>9</v>
      </c>
      <c r="K1584" s="20">
        <v>6</v>
      </c>
      <c r="L1584" s="21">
        <v>275.5</v>
      </c>
      <c r="M1584" s="22">
        <v>0.32</v>
      </c>
      <c r="N1584" s="21">
        <f t="shared" si="124"/>
        <v>187.34</v>
      </c>
      <c r="O1584" s="21">
        <v>1124.04</v>
      </c>
      <c r="P1584" s="19" t="s">
        <v>2</v>
      </c>
      <c r="Q1584" s="23">
        <v>10</v>
      </c>
      <c r="R1584" s="45">
        <v>3</v>
      </c>
    </row>
    <row r="1585" spans="2:18" x14ac:dyDescent="0.2">
      <c r="B1585" s="25">
        <v>1582</v>
      </c>
      <c r="C1585" s="18">
        <v>45412</v>
      </c>
      <c r="D1585" s="24">
        <f t="shared" si="120"/>
        <v>2024</v>
      </c>
      <c r="E1585" s="24" t="str">
        <f t="shared" si="121"/>
        <v>Q2</v>
      </c>
      <c r="F1585" s="24" t="str">
        <f t="shared" si="122"/>
        <v>Apr</v>
      </c>
      <c r="G1585" s="24">
        <f t="shared" si="123"/>
        <v>4</v>
      </c>
      <c r="H1585" s="19">
        <v>1419</v>
      </c>
      <c r="I1585" s="19" t="s">
        <v>7</v>
      </c>
      <c r="J1585" s="19" t="s">
        <v>9</v>
      </c>
      <c r="K1585" s="20">
        <v>3</v>
      </c>
      <c r="L1585" s="21">
        <v>217.41</v>
      </c>
      <c r="M1585" s="22">
        <v>0.15</v>
      </c>
      <c r="N1585" s="21">
        <f t="shared" si="124"/>
        <v>184.79849999999999</v>
      </c>
      <c r="O1585" s="21">
        <v>554.4</v>
      </c>
      <c r="P1585" s="19" t="s">
        <v>6</v>
      </c>
      <c r="Q1585" s="23">
        <v>6</v>
      </c>
      <c r="R1585" s="45">
        <v>3</v>
      </c>
    </row>
    <row r="1586" spans="2:18" x14ac:dyDescent="0.2">
      <c r="B1586" s="25">
        <v>1583</v>
      </c>
      <c r="C1586" s="18">
        <v>45413</v>
      </c>
      <c r="D1586" s="24">
        <f t="shared" si="120"/>
        <v>2024</v>
      </c>
      <c r="E1586" s="24" t="str">
        <f t="shared" si="121"/>
        <v>Q2</v>
      </c>
      <c r="F1586" s="24" t="str">
        <f t="shared" si="122"/>
        <v>May</v>
      </c>
      <c r="G1586" s="24">
        <f t="shared" si="123"/>
        <v>5</v>
      </c>
      <c r="H1586" s="19">
        <v>1181</v>
      </c>
      <c r="I1586" s="19" t="s">
        <v>7</v>
      </c>
      <c r="J1586" s="19" t="s">
        <v>8</v>
      </c>
      <c r="K1586" s="20">
        <v>4</v>
      </c>
      <c r="L1586" s="21">
        <v>278.95999999999998</v>
      </c>
      <c r="M1586" s="22">
        <v>0.23</v>
      </c>
      <c r="N1586" s="21">
        <f t="shared" si="124"/>
        <v>214.79919999999998</v>
      </c>
      <c r="O1586" s="21">
        <v>859.2</v>
      </c>
      <c r="P1586" s="19" t="s">
        <v>6</v>
      </c>
      <c r="Q1586" s="23">
        <v>3</v>
      </c>
      <c r="R1586" s="45">
        <v>2.4</v>
      </c>
    </row>
    <row r="1587" spans="2:18" x14ac:dyDescent="0.2">
      <c r="B1587" s="25">
        <v>1584</v>
      </c>
      <c r="C1587" s="18">
        <v>45414</v>
      </c>
      <c r="D1587" s="24">
        <f t="shared" si="120"/>
        <v>2024</v>
      </c>
      <c r="E1587" s="24" t="str">
        <f t="shared" si="121"/>
        <v>Q2</v>
      </c>
      <c r="F1587" s="24" t="str">
        <f t="shared" si="122"/>
        <v>May</v>
      </c>
      <c r="G1587" s="24">
        <f t="shared" si="123"/>
        <v>5</v>
      </c>
      <c r="H1587" s="19">
        <v>1982</v>
      </c>
      <c r="I1587" s="19" t="s">
        <v>10</v>
      </c>
      <c r="J1587" s="19" t="s">
        <v>8</v>
      </c>
      <c r="K1587" s="20">
        <v>4</v>
      </c>
      <c r="L1587" s="21">
        <v>452.91</v>
      </c>
      <c r="M1587" s="22">
        <v>0.06</v>
      </c>
      <c r="N1587" s="21">
        <f t="shared" si="124"/>
        <v>425.73540000000003</v>
      </c>
      <c r="O1587" s="21">
        <v>1702.94</v>
      </c>
      <c r="P1587" s="19" t="s">
        <v>4</v>
      </c>
      <c r="Q1587" s="23">
        <v>4</v>
      </c>
      <c r="R1587" s="45">
        <v>4.4000000000000004</v>
      </c>
    </row>
    <row r="1588" spans="2:18" x14ac:dyDescent="0.2">
      <c r="B1588" s="25">
        <v>1585</v>
      </c>
      <c r="C1588" s="18">
        <v>45415</v>
      </c>
      <c r="D1588" s="24">
        <f t="shared" si="120"/>
        <v>2024</v>
      </c>
      <c r="E1588" s="24" t="str">
        <f t="shared" si="121"/>
        <v>Q2</v>
      </c>
      <c r="F1588" s="24" t="str">
        <f t="shared" si="122"/>
        <v>May</v>
      </c>
      <c r="G1588" s="24">
        <f t="shared" si="123"/>
        <v>5</v>
      </c>
      <c r="H1588" s="19">
        <v>1824</v>
      </c>
      <c r="I1588" s="19" t="s">
        <v>3</v>
      </c>
      <c r="J1588" s="19" t="s">
        <v>9</v>
      </c>
      <c r="K1588" s="20">
        <v>4</v>
      </c>
      <c r="L1588" s="21">
        <v>542.79999999999995</v>
      </c>
      <c r="M1588" s="22">
        <v>0.15</v>
      </c>
      <c r="N1588" s="21">
        <f t="shared" si="124"/>
        <v>461.38</v>
      </c>
      <c r="O1588" s="21">
        <v>1845.52</v>
      </c>
      <c r="P1588" s="19" t="s">
        <v>2</v>
      </c>
      <c r="Q1588" s="23">
        <v>5</v>
      </c>
      <c r="R1588" s="45">
        <v>1.3</v>
      </c>
    </row>
    <row r="1589" spans="2:18" x14ac:dyDescent="0.2">
      <c r="B1589" s="25">
        <v>1586</v>
      </c>
      <c r="C1589" s="18">
        <v>45416</v>
      </c>
      <c r="D1589" s="24">
        <f t="shared" si="120"/>
        <v>2024</v>
      </c>
      <c r="E1589" s="24" t="str">
        <f t="shared" si="121"/>
        <v>Q2</v>
      </c>
      <c r="F1589" s="24" t="str">
        <f t="shared" si="122"/>
        <v>May</v>
      </c>
      <c r="G1589" s="24">
        <f t="shared" si="123"/>
        <v>5</v>
      </c>
      <c r="H1589" s="19">
        <v>1000</v>
      </c>
      <c r="I1589" s="19" t="s">
        <v>7</v>
      </c>
      <c r="J1589" s="19" t="s">
        <v>8</v>
      </c>
      <c r="K1589" s="20">
        <v>6</v>
      </c>
      <c r="L1589" s="21">
        <v>44.11</v>
      </c>
      <c r="M1589" s="22">
        <v>0.22</v>
      </c>
      <c r="N1589" s="21">
        <f t="shared" si="124"/>
        <v>34.405799999999999</v>
      </c>
      <c r="O1589" s="21">
        <v>206.43</v>
      </c>
      <c r="P1589" s="19" t="s">
        <v>6</v>
      </c>
      <c r="Q1589" s="23">
        <v>4</v>
      </c>
      <c r="R1589" s="45">
        <v>2.8</v>
      </c>
    </row>
    <row r="1590" spans="2:18" x14ac:dyDescent="0.2">
      <c r="B1590" s="25">
        <v>1587</v>
      </c>
      <c r="C1590" s="18">
        <v>45417</v>
      </c>
      <c r="D1590" s="24">
        <f t="shared" si="120"/>
        <v>2024</v>
      </c>
      <c r="E1590" s="24" t="str">
        <f t="shared" si="121"/>
        <v>Q2</v>
      </c>
      <c r="F1590" s="24" t="str">
        <f t="shared" si="122"/>
        <v>May</v>
      </c>
      <c r="G1590" s="24">
        <f t="shared" si="123"/>
        <v>5</v>
      </c>
      <c r="H1590" s="19">
        <v>1830</v>
      </c>
      <c r="I1590" s="19" t="s">
        <v>7</v>
      </c>
      <c r="J1590" s="19" t="s">
        <v>8</v>
      </c>
      <c r="K1590" s="20">
        <v>2</v>
      </c>
      <c r="L1590" s="21">
        <v>321.61</v>
      </c>
      <c r="M1590" s="22">
        <v>0.13</v>
      </c>
      <c r="N1590" s="21">
        <f t="shared" si="124"/>
        <v>279.80070000000001</v>
      </c>
      <c r="O1590" s="21">
        <v>559.6</v>
      </c>
      <c r="P1590" s="19" t="s">
        <v>2</v>
      </c>
      <c r="Q1590" s="23">
        <v>9</v>
      </c>
      <c r="R1590" s="45">
        <v>2</v>
      </c>
    </row>
    <row r="1591" spans="2:18" x14ac:dyDescent="0.2">
      <c r="B1591" s="25">
        <v>1588</v>
      </c>
      <c r="C1591" s="18">
        <v>45418</v>
      </c>
      <c r="D1591" s="24">
        <f t="shared" si="120"/>
        <v>2024</v>
      </c>
      <c r="E1591" s="24" t="str">
        <f t="shared" si="121"/>
        <v>Q2</v>
      </c>
      <c r="F1591" s="24" t="str">
        <f t="shared" si="122"/>
        <v>May</v>
      </c>
      <c r="G1591" s="24">
        <f t="shared" si="123"/>
        <v>5</v>
      </c>
      <c r="H1591" s="19">
        <v>1949</v>
      </c>
      <c r="I1591" s="19" t="s">
        <v>3</v>
      </c>
      <c r="J1591" s="19" t="s">
        <v>8</v>
      </c>
      <c r="K1591" s="20">
        <v>4</v>
      </c>
      <c r="L1591" s="21">
        <v>34.21</v>
      </c>
      <c r="M1591" s="22">
        <v>0.13</v>
      </c>
      <c r="N1591" s="21">
        <f t="shared" si="124"/>
        <v>29.762700000000002</v>
      </c>
      <c r="O1591" s="21">
        <v>119.05</v>
      </c>
      <c r="P1591" s="19" t="s">
        <v>2</v>
      </c>
      <c r="Q1591" s="23">
        <v>3</v>
      </c>
      <c r="R1591" s="45">
        <v>4.4000000000000004</v>
      </c>
    </row>
    <row r="1592" spans="2:18" x14ac:dyDescent="0.2">
      <c r="B1592" s="25">
        <v>1589</v>
      </c>
      <c r="C1592" s="18">
        <v>45419</v>
      </c>
      <c r="D1592" s="24">
        <f t="shared" si="120"/>
        <v>2024</v>
      </c>
      <c r="E1592" s="24" t="str">
        <f t="shared" si="121"/>
        <v>Q2</v>
      </c>
      <c r="F1592" s="24" t="str">
        <f t="shared" si="122"/>
        <v>May</v>
      </c>
      <c r="G1592" s="24">
        <f t="shared" si="123"/>
        <v>5</v>
      </c>
      <c r="H1592" s="19">
        <v>1566</v>
      </c>
      <c r="I1592" s="19" t="s">
        <v>0</v>
      </c>
      <c r="J1592" s="19" t="s">
        <v>1</v>
      </c>
      <c r="K1592" s="20">
        <v>6</v>
      </c>
      <c r="L1592" s="21">
        <v>289.02</v>
      </c>
      <c r="M1592" s="22">
        <v>0</v>
      </c>
      <c r="N1592" s="21">
        <f t="shared" si="124"/>
        <v>289.02</v>
      </c>
      <c r="O1592" s="21">
        <v>1734.12</v>
      </c>
      <c r="P1592" s="19" t="s">
        <v>4</v>
      </c>
      <c r="Q1592" s="23">
        <v>5</v>
      </c>
      <c r="R1592" s="45">
        <v>1.9</v>
      </c>
    </row>
    <row r="1593" spans="2:18" x14ac:dyDescent="0.2">
      <c r="B1593" s="25">
        <v>1590</v>
      </c>
      <c r="C1593" s="18">
        <v>45420</v>
      </c>
      <c r="D1593" s="24">
        <f t="shared" si="120"/>
        <v>2024</v>
      </c>
      <c r="E1593" s="24" t="str">
        <f t="shared" si="121"/>
        <v>Q2</v>
      </c>
      <c r="F1593" s="24" t="str">
        <f t="shared" si="122"/>
        <v>May</v>
      </c>
      <c r="G1593" s="24">
        <f t="shared" si="123"/>
        <v>5</v>
      </c>
      <c r="H1593" s="19">
        <v>1370</v>
      </c>
      <c r="I1593" s="19" t="s">
        <v>0</v>
      </c>
      <c r="J1593" s="19" t="s">
        <v>9</v>
      </c>
      <c r="K1593" s="20">
        <v>6</v>
      </c>
      <c r="L1593" s="21">
        <v>532.89</v>
      </c>
      <c r="M1593" s="22">
        <v>0.28000000000000003</v>
      </c>
      <c r="N1593" s="21">
        <f t="shared" si="124"/>
        <v>383.68079999999998</v>
      </c>
      <c r="O1593" s="21">
        <v>2302.08</v>
      </c>
      <c r="P1593" s="19" t="s">
        <v>4</v>
      </c>
      <c r="Q1593" s="23">
        <v>7</v>
      </c>
      <c r="R1593" s="45">
        <v>4.0999999999999996</v>
      </c>
    </row>
    <row r="1594" spans="2:18" x14ac:dyDescent="0.2">
      <c r="B1594" s="25">
        <v>1591</v>
      </c>
      <c r="C1594" s="18">
        <v>45421</v>
      </c>
      <c r="D1594" s="24">
        <f t="shared" si="120"/>
        <v>2024</v>
      </c>
      <c r="E1594" s="24" t="str">
        <f t="shared" si="121"/>
        <v>Q2</v>
      </c>
      <c r="F1594" s="24" t="str">
        <f t="shared" si="122"/>
        <v>May</v>
      </c>
      <c r="G1594" s="24">
        <f t="shared" si="123"/>
        <v>5</v>
      </c>
      <c r="H1594" s="19">
        <v>1935</v>
      </c>
      <c r="I1594" s="19" t="s">
        <v>3</v>
      </c>
      <c r="J1594" s="19" t="s">
        <v>9</v>
      </c>
      <c r="K1594" s="20">
        <v>1</v>
      </c>
      <c r="L1594" s="21">
        <v>226.53</v>
      </c>
      <c r="M1594" s="22">
        <v>0.31</v>
      </c>
      <c r="N1594" s="21">
        <f t="shared" si="124"/>
        <v>156.3057</v>
      </c>
      <c r="O1594" s="21">
        <v>156.31</v>
      </c>
      <c r="P1594" s="19" t="s">
        <v>2</v>
      </c>
      <c r="Q1594" s="23">
        <v>7</v>
      </c>
      <c r="R1594" s="45">
        <v>3.4</v>
      </c>
    </row>
    <row r="1595" spans="2:18" x14ac:dyDescent="0.2">
      <c r="B1595" s="25">
        <v>1592</v>
      </c>
      <c r="C1595" s="18">
        <v>45422</v>
      </c>
      <c r="D1595" s="24">
        <f t="shared" si="120"/>
        <v>2024</v>
      </c>
      <c r="E1595" s="24" t="str">
        <f t="shared" si="121"/>
        <v>Q2</v>
      </c>
      <c r="F1595" s="24" t="str">
        <f t="shared" si="122"/>
        <v>May</v>
      </c>
      <c r="G1595" s="24">
        <f t="shared" si="123"/>
        <v>5</v>
      </c>
      <c r="H1595" s="19">
        <v>1910</v>
      </c>
      <c r="I1595" s="19" t="s">
        <v>3</v>
      </c>
      <c r="J1595" s="19" t="s">
        <v>8</v>
      </c>
      <c r="K1595" s="20">
        <v>5</v>
      </c>
      <c r="L1595" s="21">
        <v>560.48</v>
      </c>
      <c r="M1595" s="22">
        <v>0.34</v>
      </c>
      <c r="N1595" s="21">
        <f t="shared" si="124"/>
        <v>369.91679999999997</v>
      </c>
      <c r="O1595" s="21">
        <v>1849.58</v>
      </c>
      <c r="P1595" s="19" t="s">
        <v>2</v>
      </c>
      <c r="Q1595" s="23">
        <v>6</v>
      </c>
      <c r="R1595" s="45">
        <v>4.5</v>
      </c>
    </row>
    <row r="1596" spans="2:18" x14ac:dyDescent="0.2">
      <c r="B1596" s="25">
        <v>1593</v>
      </c>
      <c r="C1596" s="18">
        <v>45423</v>
      </c>
      <c r="D1596" s="24">
        <f t="shared" si="120"/>
        <v>2024</v>
      </c>
      <c r="E1596" s="24" t="str">
        <f t="shared" si="121"/>
        <v>Q2</v>
      </c>
      <c r="F1596" s="24" t="str">
        <f t="shared" si="122"/>
        <v>May</v>
      </c>
      <c r="G1596" s="24">
        <f t="shared" si="123"/>
        <v>5</v>
      </c>
      <c r="H1596" s="19">
        <v>1660</v>
      </c>
      <c r="I1596" s="19" t="s">
        <v>7</v>
      </c>
      <c r="J1596" s="19" t="s">
        <v>1</v>
      </c>
      <c r="K1596" s="20">
        <v>4</v>
      </c>
      <c r="L1596" s="21">
        <v>383.91</v>
      </c>
      <c r="M1596" s="22">
        <v>0.25</v>
      </c>
      <c r="N1596" s="21">
        <f t="shared" si="124"/>
        <v>287.9325</v>
      </c>
      <c r="O1596" s="21">
        <v>1151.73</v>
      </c>
      <c r="P1596" s="19" t="s">
        <v>6</v>
      </c>
      <c r="Q1596" s="23">
        <v>9</v>
      </c>
      <c r="R1596" s="45">
        <v>3.4</v>
      </c>
    </row>
    <row r="1597" spans="2:18" x14ac:dyDescent="0.2">
      <c r="B1597" s="25">
        <v>1594</v>
      </c>
      <c r="C1597" s="18">
        <v>45424</v>
      </c>
      <c r="D1597" s="24">
        <f t="shared" si="120"/>
        <v>2024</v>
      </c>
      <c r="E1597" s="24" t="str">
        <f t="shared" si="121"/>
        <v>Q2</v>
      </c>
      <c r="F1597" s="24" t="str">
        <f t="shared" si="122"/>
        <v>May</v>
      </c>
      <c r="G1597" s="24">
        <f t="shared" si="123"/>
        <v>5</v>
      </c>
      <c r="H1597" s="19">
        <v>1430</v>
      </c>
      <c r="I1597" s="19" t="s">
        <v>3</v>
      </c>
      <c r="J1597" s="19" t="s">
        <v>8</v>
      </c>
      <c r="K1597" s="20">
        <v>5</v>
      </c>
      <c r="L1597" s="21">
        <v>561.48</v>
      </c>
      <c r="M1597" s="22">
        <v>0.19</v>
      </c>
      <c r="N1597" s="21">
        <f t="shared" si="124"/>
        <v>454.79880000000003</v>
      </c>
      <c r="O1597" s="21">
        <v>2273.9899999999998</v>
      </c>
      <c r="P1597" s="19" t="s">
        <v>4</v>
      </c>
      <c r="Q1597" s="23">
        <v>7</v>
      </c>
      <c r="R1597" s="45">
        <v>3.2</v>
      </c>
    </row>
    <row r="1598" spans="2:18" x14ac:dyDescent="0.2">
      <c r="B1598" s="25">
        <v>1595</v>
      </c>
      <c r="C1598" s="18">
        <v>45425</v>
      </c>
      <c r="D1598" s="24">
        <f t="shared" si="120"/>
        <v>2024</v>
      </c>
      <c r="E1598" s="24" t="str">
        <f t="shared" si="121"/>
        <v>Q2</v>
      </c>
      <c r="F1598" s="24" t="str">
        <f t="shared" si="122"/>
        <v>May</v>
      </c>
      <c r="G1598" s="24">
        <f t="shared" si="123"/>
        <v>5</v>
      </c>
      <c r="H1598" s="19">
        <v>1968</v>
      </c>
      <c r="I1598" s="19" t="s">
        <v>3</v>
      </c>
      <c r="J1598" s="19" t="s">
        <v>1</v>
      </c>
      <c r="K1598" s="20">
        <v>2</v>
      </c>
      <c r="L1598" s="21">
        <v>457.94</v>
      </c>
      <c r="M1598" s="22">
        <v>0.09</v>
      </c>
      <c r="N1598" s="21">
        <f t="shared" si="124"/>
        <v>416.72539999999998</v>
      </c>
      <c r="O1598" s="21">
        <v>833.45</v>
      </c>
      <c r="P1598" s="19" t="s">
        <v>6</v>
      </c>
      <c r="Q1598" s="23">
        <v>11</v>
      </c>
      <c r="R1598" s="45">
        <v>4.2</v>
      </c>
    </row>
    <row r="1599" spans="2:18" x14ac:dyDescent="0.2">
      <c r="B1599" s="25">
        <v>1596</v>
      </c>
      <c r="C1599" s="18">
        <v>45426</v>
      </c>
      <c r="D1599" s="24">
        <f t="shared" si="120"/>
        <v>2024</v>
      </c>
      <c r="E1599" s="24" t="str">
        <f t="shared" si="121"/>
        <v>Q2</v>
      </c>
      <c r="F1599" s="24" t="str">
        <f t="shared" si="122"/>
        <v>May</v>
      </c>
      <c r="G1599" s="24">
        <f t="shared" si="123"/>
        <v>5</v>
      </c>
      <c r="H1599" s="19">
        <v>1308</v>
      </c>
      <c r="I1599" s="19" t="s">
        <v>3</v>
      </c>
      <c r="J1599" s="19" t="s">
        <v>9</v>
      </c>
      <c r="K1599" s="20">
        <v>6</v>
      </c>
      <c r="L1599" s="21">
        <v>75.510000000000005</v>
      </c>
      <c r="M1599" s="22">
        <v>0.35</v>
      </c>
      <c r="N1599" s="21">
        <f t="shared" si="124"/>
        <v>49.081500000000005</v>
      </c>
      <c r="O1599" s="21">
        <v>294.49</v>
      </c>
      <c r="P1599" s="19" t="s">
        <v>4</v>
      </c>
      <c r="Q1599" s="23">
        <v>4</v>
      </c>
      <c r="R1599" s="45">
        <v>3.2</v>
      </c>
    </row>
    <row r="1600" spans="2:18" x14ac:dyDescent="0.2">
      <c r="B1600" s="25">
        <v>1597</v>
      </c>
      <c r="C1600" s="18">
        <v>45427</v>
      </c>
      <c r="D1600" s="24">
        <f t="shared" si="120"/>
        <v>2024</v>
      </c>
      <c r="E1600" s="24" t="str">
        <f t="shared" si="121"/>
        <v>Q2</v>
      </c>
      <c r="F1600" s="24" t="str">
        <f t="shared" si="122"/>
        <v>May</v>
      </c>
      <c r="G1600" s="24">
        <f t="shared" si="123"/>
        <v>5</v>
      </c>
      <c r="H1600" s="19">
        <v>1136</v>
      </c>
      <c r="I1600" s="19" t="s">
        <v>3</v>
      </c>
      <c r="J1600" s="19" t="s">
        <v>8</v>
      </c>
      <c r="K1600" s="20">
        <v>7</v>
      </c>
      <c r="L1600" s="21">
        <v>150.22</v>
      </c>
      <c r="M1600" s="22">
        <v>0.21</v>
      </c>
      <c r="N1600" s="21">
        <f t="shared" si="124"/>
        <v>118.6738</v>
      </c>
      <c r="O1600" s="21">
        <v>830.72</v>
      </c>
      <c r="P1600" s="19" t="s">
        <v>4</v>
      </c>
      <c r="Q1600" s="23">
        <v>11</v>
      </c>
      <c r="R1600" s="45">
        <v>4.4000000000000004</v>
      </c>
    </row>
    <row r="1601" spans="2:18" x14ac:dyDescent="0.2">
      <c r="B1601" s="25">
        <v>1598</v>
      </c>
      <c r="C1601" s="18">
        <v>45428</v>
      </c>
      <c r="D1601" s="24">
        <f t="shared" si="120"/>
        <v>2024</v>
      </c>
      <c r="E1601" s="24" t="str">
        <f t="shared" si="121"/>
        <v>Q2</v>
      </c>
      <c r="F1601" s="24" t="str">
        <f t="shared" si="122"/>
        <v>May</v>
      </c>
      <c r="G1601" s="24">
        <f t="shared" si="123"/>
        <v>5</v>
      </c>
      <c r="H1601" s="19">
        <v>1201</v>
      </c>
      <c r="I1601" s="19" t="s">
        <v>7</v>
      </c>
      <c r="J1601" s="19" t="s">
        <v>9</v>
      </c>
      <c r="K1601" s="20">
        <v>4</v>
      </c>
      <c r="L1601" s="21">
        <v>245.59</v>
      </c>
      <c r="M1601" s="22">
        <v>0.24</v>
      </c>
      <c r="N1601" s="21">
        <f t="shared" si="124"/>
        <v>186.64840000000001</v>
      </c>
      <c r="O1601" s="21">
        <v>746.59</v>
      </c>
      <c r="P1601" s="19" t="s">
        <v>6</v>
      </c>
      <c r="Q1601" s="23">
        <v>10</v>
      </c>
      <c r="R1601" s="45">
        <v>1.2</v>
      </c>
    </row>
    <row r="1602" spans="2:18" x14ac:dyDescent="0.2">
      <c r="B1602" s="25">
        <v>1599</v>
      </c>
      <c r="C1602" s="18">
        <v>45429</v>
      </c>
      <c r="D1602" s="24">
        <f t="shared" si="120"/>
        <v>2024</v>
      </c>
      <c r="E1602" s="24" t="str">
        <f t="shared" si="121"/>
        <v>Q2</v>
      </c>
      <c r="F1602" s="24" t="str">
        <f t="shared" si="122"/>
        <v>May</v>
      </c>
      <c r="G1602" s="24">
        <f t="shared" si="123"/>
        <v>5</v>
      </c>
      <c r="H1602" s="19">
        <v>1435</v>
      </c>
      <c r="I1602" s="19" t="s">
        <v>7</v>
      </c>
      <c r="J1602" s="19" t="s">
        <v>1</v>
      </c>
      <c r="K1602" s="20">
        <v>7</v>
      </c>
      <c r="L1602" s="21">
        <v>114.51</v>
      </c>
      <c r="M1602" s="22">
        <v>0.24</v>
      </c>
      <c r="N1602" s="21">
        <f t="shared" si="124"/>
        <v>87.027600000000007</v>
      </c>
      <c r="O1602" s="21">
        <v>609.19000000000005</v>
      </c>
      <c r="P1602" s="19" t="s">
        <v>4</v>
      </c>
      <c r="Q1602" s="23">
        <v>9</v>
      </c>
      <c r="R1602" s="45">
        <v>3</v>
      </c>
    </row>
    <row r="1603" spans="2:18" x14ac:dyDescent="0.2">
      <c r="B1603" s="25">
        <v>1600</v>
      </c>
      <c r="C1603" s="18">
        <v>45430</v>
      </c>
      <c r="D1603" s="24">
        <f t="shared" si="120"/>
        <v>2024</v>
      </c>
      <c r="E1603" s="24" t="str">
        <f t="shared" si="121"/>
        <v>Q2</v>
      </c>
      <c r="F1603" s="24" t="str">
        <f t="shared" si="122"/>
        <v>May</v>
      </c>
      <c r="G1603" s="24">
        <f t="shared" si="123"/>
        <v>5</v>
      </c>
      <c r="H1603" s="19">
        <v>1312</v>
      </c>
      <c r="I1603" s="19" t="s">
        <v>7</v>
      </c>
      <c r="J1603" s="19" t="s">
        <v>5</v>
      </c>
      <c r="K1603" s="20">
        <v>3</v>
      </c>
      <c r="L1603" s="21">
        <v>304.52</v>
      </c>
      <c r="M1603" s="22">
        <v>0.3</v>
      </c>
      <c r="N1603" s="21">
        <f t="shared" si="124"/>
        <v>213.16399999999999</v>
      </c>
      <c r="O1603" s="21">
        <v>639.49</v>
      </c>
      <c r="P1603" s="19" t="s">
        <v>6</v>
      </c>
      <c r="Q1603" s="23">
        <v>6</v>
      </c>
      <c r="R1603" s="45">
        <v>4.3</v>
      </c>
    </row>
    <row r="1604" spans="2:18" x14ac:dyDescent="0.2">
      <c r="B1604" s="25">
        <v>1601</v>
      </c>
      <c r="C1604" s="18">
        <v>45431</v>
      </c>
      <c r="D1604" s="24">
        <f t="shared" ref="D1604:D1667" si="125">YEAR(C1604)</f>
        <v>2024</v>
      </c>
      <c r="E1604" s="24" t="str">
        <f t="shared" ref="E1604:E1667" si="126">"Q"&amp;ROUNDUP(MONTH(C1604)/3,0)</f>
        <v>Q2</v>
      </c>
      <c r="F1604" s="24" t="str">
        <f t="shared" ref="F1604:F1667" si="127">TEXT(C1604,"mmm")</f>
        <v>May</v>
      </c>
      <c r="G1604" s="24">
        <f t="shared" ref="G1604:G1667" si="128">MONTH(C1604)</f>
        <v>5</v>
      </c>
      <c r="H1604" s="19">
        <v>1116</v>
      </c>
      <c r="I1604" s="19" t="s">
        <v>7</v>
      </c>
      <c r="J1604" s="19" t="s">
        <v>1</v>
      </c>
      <c r="K1604" s="20">
        <v>2</v>
      </c>
      <c r="L1604" s="21">
        <v>290.75</v>
      </c>
      <c r="M1604" s="22">
        <v>0</v>
      </c>
      <c r="N1604" s="21">
        <f t="shared" si="124"/>
        <v>290.75</v>
      </c>
      <c r="O1604" s="21">
        <v>581.5</v>
      </c>
      <c r="P1604" s="19" t="s">
        <v>2</v>
      </c>
      <c r="Q1604" s="23">
        <v>1</v>
      </c>
      <c r="R1604" s="45">
        <v>4.4000000000000004</v>
      </c>
    </row>
    <row r="1605" spans="2:18" x14ac:dyDescent="0.2">
      <c r="B1605" s="25">
        <v>1602</v>
      </c>
      <c r="C1605" s="18">
        <v>45432</v>
      </c>
      <c r="D1605" s="24">
        <f t="shared" si="125"/>
        <v>2024</v>
      </c>
      <c r="E1605" s="24" t="str">
        <f t="shared" si="126"/>
        <v>Q2</v>
      </c>
      <c r="F1605" s="24" t="str">
        <f t="shared" si="127"/>
        <v>May</v>
      </c>
      <c r="G1605" s="24">
        <f t="shared" si="128"/>
        <v>5</v>
      </c>
      <c r="H1605" s="19">
        <v>1665</v>
      </c>
      <c r="I1605" s="19" t="s">
        <v>7</v>
      </c>
      <c r="J1605" s="19" t="s">
        <v>5</v>
      </c>
      <c r="K1605" s="20">
        <v>1</v>
      </c>
      <c r="L1605" s="21">
        <v>574.41</v>
      </c>
      <c r="M1605" s="22">
        <v>0.08</v>
      </c>
      <c r="N1605" s="21">
        <f t="shared" ref="N1605:N1668" si="129">L1605-(L1605*M1605)</f>
        <v>528.45719999999994</v>
      </c>
      <c r="O1605" s="21">
        <v>528.46</v>
      </c>
      <c r="P1605" s="19" t="s">
        <v>2</v>
      </c>
      <c r="Q1605" s="23">
        <v>9</v>
      </c>
      <c r="R1605" s="45">
        <v>4.3</v>
      </c>
    </row>
    <row r="1606" spans="2:18" x14ac:dyDescent="0.2">
      <c r="B1606" s="25">
        <v>1603</v>
      </c>
      <c r="C1606" s="18">
        <v>45433</v>
      </c>
      <c r="D1606" s="24">
        <f t="shared" si="125"/>
        <v>2024</v>
      </c>
      <c r="E1606" s="24" t="str">
        <f t="shared" si="126"/>
        <v>Q2</v>
      </c>
      <c r="F1606" s="24" t="str">
        <f t="shared" si="127"/>
        <v>May</v>
      </c>
      <c r="G1606" s="24">
        <f t="shared" si="128"/>
        <v>5</v>
      </c>
      <c r="H1606" s="19">
        <v>1936</v>
      </c>
      <c r="I1606" s="19" t="s">
        <v>0</v>
      </c>
      <c r="J1606" s="19" t="s">
        <v>9</v>
      </c>
      <c r="K1606" s="20">
        <v>1</v>
      </c>
      <c r="L1606" s="21">
        <v>268.73</v>
      </c>
      <c r="M1606" s="22">
        <v>0.23</v>
      </c>
      <c r="N1606" s="21">
        <f t="shared" si="129"/>
        <v>206.9221</v>
      </c>
      <c r="O1606" s="21">
        <v>206.92</v>
      </c>
      <c r="P1606" s="19" t="s">
        <v>2</v>
      </c>
      <c r="Q1606" s="23">
        <v>11</v>
      </c>
      <c r="R1606" s="45">
        <v>3.4</v>
      </c>
    </row>
    <row r="1607" spans="2:18" x14ac:dyDescent="0.2">
      <c r="B1607" s="25">
        <v>1604</v>
      </c>
      <c r="C1607" s="18">
        <v>45434</v>
      </c>
      <c r="D1607" s="24">
        <f t="shared" si="125"/>
        <v>2024</v>
      </c>
      <c r="E1607" s="24" t="str">
        <f t="shared" si="126"/>
        <v>Q2</v>
      </c>
      <c r="F1607" s="24" t="str">
        <f t="shared" si="127"/>
        <v>May</v>
      </c>
      <c r="G1607" s="24">
        <f t="shared" si="128"/>
        <v>5</v>
      </c>
      <c r="H1607" s="19">
        <v>1802</v>
      </c>
      <c r="I1607" s="19" t="s">
        <v>3</v>
      </c>
      <c r="J1607" s="19" t="s">
        <v>9</v>
      </c>
      <c r="K1607" s="20">
        <v>5</v>
      </c>
      <c r="L1607" s="21">
        <v>474.59</v>
      </c>
      <c r="M1607" s="22">
        <v>0.31</v>
      </c>
      <c r="N1607" s="21">
        <f t="shared" si="129"/>
        <v>327.46709999999996</v>
      </c>
      <c r="O1607" s="21">
        <v>1637.34</v>
      </c>
      <c r="P1607" s="19" t="s">
        <v>2</v>
      </c>
      <c r="Q1607" s="23">
        <v>7</v>
      </c>
      <c r="R1607" s="45">
        <v>5</v>
      </c>
    </row>
    <row r="1608" spans="2:18" x14ac:dyDescent="0.2">
      <c r="B1608" s="25">
        <v>1605</v>
      </c>
      <c r="C1608" s="18">
        <v>45435</v>
      </c>
      <c r="D1608" s="24">
        <f t="shared" si="125"/>
        <v>2024</v>
      </c>
      <c r="E1608" s="24" t="str">
        <f t="shared" si="126"/>
        <v>Q2</v>
      </c>
      <c r="F1608" s="24" t="str">
        <f t="shared" si="127"/>
        <v>May</v>
      </c>
      <c r="G1608" s="24">
        <f t="shared" si="128"/>
        <v>5</v>
      </c>
      <c r="H1608" s="19">
        <v>1574</v>
      </c>
      <c r="I1608" s="19" t="s">
        <v>3</v>
      </c>
      <c r="J1608" s="19" t="s">
        <v>8</v>
      </c>
      <c r="K1608" s="20">
        <v>6</v>
      </c>
      <c r="L1608" s="21">
        <v>566.02</v>
      </c>
      <c r="M1608" s="22">
        <v>0.24</v>
      </c>
      <c r="N1608" s="21">
        <f t="shared" si="129"/>
        <v>430.17520000000002</v>
      </c>
      <c r="O1608" s="21">
        <v>2581.0500000000002</v>
      </c>
      <c r="P1608" s="19" t="s">
        <v>4</v>
      </c>
      <c r="Q1608" s="23">
        <v>6</v>
      </c>
      <c r="R1608" s="45">
        <v>1.7</v>
      </c>
    </row>
    <row r="1609" spans="2:18" x14ac:dyDescent="0.2">
      <c r="B1609" s="25">
        <v>1606</v>
      </c>
      <c r="C1609" s="18">
        <v>45436</v>
      </c>
      <c r="D1609" s="24">
        <f t="shared" si="125"/>
        <v>2024</v>
      </c>
      <c r="E1609" s="24" t="str">
        <f t="shared" si="126"/>
        <v>Q2</v>
      </c>
      <c r="F1609" s="24" t="str">
        <f t="shared" si="127"/>
        <v>May</v>
      </c>
      <c r="G1609" s="24">
        <f t="shared" si="128"/>
        <v>5</v>
      </c>
      <c r="H1609" s="19">
        <v>1243</v>
      </c>
      <c r="I1609" s="19" t="s">
        <v>0</v>
      </c>
      <c r="J1609" s="19" t="s">
        <v>5</v>
      </c>
      <c r="K1609" s="20">
        <v>5</v>
      </c>
      <c r="L1609" s="21">
        <v>528.04</v>
      </c>
      <c r="M1609" s="22">
        <v>0.14000000000000001</v>
      </c>
      <c r="N1609" s="21">
        <f t="shared" si="129"/>
        <v>454.11439999999993</v>
      </c>
      <c r="O1609" s="21">
        <v>2270.5700000000002</v>
      </c>
      <c r="P1609" s="19" t="s">
        <v>2</v>
      </c>
      <c r="Q1609" s="23">
        <v>6</v>
      </c>
      <c r="R1609" s="45">
        <v>1.7</v>
      </c>
    </row>
    <row r="1610" spans="2:18" x14ac:dyDescent="0.2">
      <c r="B1610" s="25">
        <v>1607</v>
      </c>
      <c r="C1610" s="18">
        <v>45437</v>
      </c>
      <c r="D1610" s="24">
        <f t="shared" si="125"/>
        <v>2024</v>
      </c>
      <c r="E1610" s="24" t="str">
        <f t="shared" si="126"/>
        <v>Q2</v>
      </c>
      <c r="F1610" s="24" t="str">
        <f t="shared" si="127"/>
        <v>May</v>
      </c>
      <c r="G1610" s="24">
        <f t="shared" si="128"/>
        <v>5</v>
      </c>
      <c r="H1610" s="19">
        <v>1536</v>
      </c>
      <c r="I1610" s="19" t="s">
        <v>0</v>
      </c>
      <c r="J1610" s="19" t="s">
        <v>1</v>
      </c>
      <c r="K1610" s="20">
        <v>3</v>
      </c>
      <c r="L1610" s="21">
        <v>137.07</v>
      </c>
      <c r="M1610" s="22">
        <v>0.13</v>
      </c>
      <c r="N1610" s="21">
        <f t="shared" si="129"/>
        <v>119.2509</v>
      </c>
      <c r="O1610" s="21">
        <v>357.75</v>
      </c>
      <c r="P1610" s="19" t="s">
        <v>2</v>
      </c>
      <c r="Q1610" s="23">
        <v>4</v>
      </c>
      <c r="R1610" s="45">
        <v>1.1000000000000001</v>
      </c>
    </row>
    <row r="1611" spans="2:18" x14ac:dyDescent="0.2">
      <c r="B1611" s="25">
        <v>1608</v>
      </c>
      <c r="C1611" s="18">
        <v>45438</v>
      </c>
      <c r="D1611" s="24">
        <f t="shared" si="125"/>
        <v>2024</v>
      </c>
      <c r="E1611" s="24" t="str">
        <f t="shared" si="126"/>
        <v>Q2</v>
      </c>
      <c r="F1611" s="24" t="str">
        <f t="shared" si="127"/>
        <v>May</v>
      </c>
      <c r="G1611" s="24">
        <f t="shared" si="128"/>
        <v>5</v>
      </c>
      <c r="H1611" s="19">
        <v>1601</v>
      </c>
      <c r="I1611" s="19" t="s">
        <v>3</v>
      </c>
      <c r="J1611" s="19" t="s">
        <v>9</v>
      </c>
      <c r="K1611" s="20">
        <v>3</v>
      </c>
      <c r="L1611" s="21">
        <v>305.18</v>
      </c>
      <c r="M1611" s="22">
        <v>0.26</v>
      </c>
      <c r="N1611" s="21">
        <f t="shared" si="129"/>
        <v>225.83320000000001</v>
      </c>
      <c r="O1611" s="21">
        <v>677.5</v>
      </c>
      <c r="P1611" s="19" t="s">
        <v>2</v>
      </c>
      <c r="Q1611" s="23">
        <v>4</v>
      </c>
      <c r="R1611" s="45">
        <v>5</v>
      </c>
    </row>
    <row r="1612" spans="2:18" x14ac:dyDescent="0.2">
      <c r="B1612" s="25">
        <v>1609</v>
      </c>
      <c r="C1612" s="18">
        <v>45439</v>
      </c>
      <c r="D1612" s="24">
        <f t="shared" si="125"/>
        <v>2024</v>
      </c>
      <c r="E1612" s="24" t="str">
        <f t="shared" si="126"/>
        <v>Q2</v>
      </c>
      <c r="F1612" s="24" t="str">
        <f t="shared" si="127"/>
        <v>May</v>
      </c>
      <c r="G1612" s="24">
        <f t="shared" si="128"/>
        <v>5</v>
      </c>
      <c r="H1612" s="19">
        <v>1074</v>
      </c>
      <c r="I1612" s="19" t="s">
        <v>10</v>
      </c>
      <c r="J1612" s="19" t="s">
        <v>5</v>
      </c>
      <c r="K1612" s="20">
        <v>1</v>
      </c>
      <c r="L1612" s="21">
        <v>218.43</v>
      </c>
      <c r="M1612" s="22">
        <v>0.26</v>
      </c>
      <c r="N1612" s="21">
        <f t="shared" si="129"/>
        <v>161.63820000000001</v>
      </c>
      <c r="O1612" s="21">
        <v>161.63999999999999</v>
      </c>
      <c r="P1612" s="19" t="s">
        <v>6</v>
      </c>
      <c r="Q1612" s="23">
        <v>11</v>
      </c>
      <c r="R1612" s="45">
        <v>2.4</v>
      </c>
    </row>
    <row r="1613" spans="2:18" x14ac:dyDescent="0.2">
      <c r="B1613" s="25">
        <v>1610</v>
      </c>
      <c r="C1613" s="18">
        <v>45440</v>
      </c>
      <c r="D1613" s="24">
        <f t="shared" si="125"/>
        <v>2024</v>
      </c>
      <c r="E1613" s="24" t="str">
        <f t="shared" si="126"/>
        <v>Q2</v>
      </c>
      <c r="F1613" s="24" t="str">
        <f t="shared" si="127"/>
        <v>May</v>
      </c>
      <c r="G1613" s="24">
        <f t="shared" si="128"/>
        <v>5</v>
      </c>
      <c r="H1613" s="19">
        <v>1805</v>
      </c>
      <c r="I1613" s="19" t="s">
        <v>7</v>
      </c>
      <c r="J1613" s="19" t="s">
        <v>1</v>
      </c>
      <c r="K1613" s="20">
        <v>7</v>
      </c>
      <c r="L1613" s="21">
        <v>248.92</v>
      </c>
      <c r="M1613" s="22">
        <v>0.21</v>
      </c>
      <c r="N1613" s="21">
        <f t="shared" si="129"/>
        <v>196.64679999999998</v>
      </c>
      <c r="O1613" s="21">
        <v>1376.53</v>
      </c>
      <c r="P1613" s="19" t="s">
        <v>4</v>
      </c>
      <c r="Q1613" s="23">
        <v>3</v>
      </c>
      <c r="R1613" s="45">
        <v>4</v>
      </c>
    </row>
    <row r="1614" spans="2:18" x14ac:dyDescent="0.2">
      <c r="B1614" s="25">
        <v>1611</v>
      </c>
      <c r="C1614" s="18">
        <v>45441</v>
      </c>
      <c r="D1614" s="24">
        <f t="shared" si="125"/>
        <v>2024</v>
      </c>
      <c r="E1614" s="24" t="str">
        <f t="shared" si="126"/>
        <v>Q2</v>
      </c>
      <c r="F1614" s="24" t="str">
        <f t="shared" si="127"/>
        <v>May</v>
      </c>
      <c r="G1614" s="24">
        <f t="shared" si="128"/>
        <v>5</v>
      </c>
      <c r="H1614" s="19">
        <v>1385</v>
      </c>
      <c r="I1614" s="19" t="s">
        <v>7</v>
      </c>
      <c r="J1614" s="19" t="s">
        <v>5</v>
      </c>
      <c r="K1614" s="20">
        <v>4</v>
      </c>
      <c r="L1614" s="21">
        <v>226.07</v>
      </c>
      <c r="M1614" s="22">
        <v>0.1</v>
      </c>
      <c r="N1614" s="21">
        <f t="shared" si="129"/>
        <v>203.46299999999999</v>
      </c>
      <c r="O1614" s="21">
        <v>813.85</v>
      </c>
      <c r="P1614" s="19" t="s">
        <v>4</v>
      </c>
      <c r="Q1614" s="23">
        <v>8</v>
      </c>
      <c r="R1614" s="45">
        <v>1.2</v>
      </c>
    </row>
    <row r="1615" spans="2:18" x14ac:dyDescent="0.2">
      <c r="B1615" s="25">
        <v>1612</v>
      </c>
      <c r="C1615" s="18">
        <v>45442</v>
      </c>
      <c r="D1615" s="24">
        <f t="shared" si="125"/>
        <v>2024</v>
      </c>
      <c r="E1615" s="24" t="str">
        <f t="shared" si="126"/>
        <v>Q2</v>
      </c>
      <c r="F1615" s="24" t="str">
        <f t="shared" si="127"/>
        <v>May</v>
      </c>
      <c r="G1615" s="24">
        <f t="shared" si="128"/>
        <v>5</v>
      </c>
      <c r="H1615" s="19">
        <v>1902</v>
      </c>
      <c r="I1615" s="19" t="s">
        <v>3</v>
      </c>
      <c r="J1615" s="19" t="s">
        <v>1</v>
      </c>
      <c r="K1615" s="20">
        <v>1</v>
      </c>
      <c r="L1615" s="21">
        <v>498.42</v>
      </c>
      <c r="M1615" s="22">
        <v>0.32</v>
      </c>
      <c r="N1615" s="21">
        <f t="shared" si="129"/>
        <v>338.92560000000003</v>
      </c>
      <c r="O1615" s="21">
        <v>338.93</v>
      </c>
      <c r="P1615" s="19" t="s">
        <v>4</v>
      </c>
      <c r="Q1615" s="23">
        <v>8</v>
      </c>
      <c r="R1615" s="45">
        <v>2.2000000000000002</v>
      </c>
    </row>
    <row r="1616" spans="2:18" x14ac:dyDescent="0.2">
      <c r="B1616" s="25">
        <v>1613</v>
      </c>
      <c r="C1616" s="18">
        <v>45443</v>
      </c>
      <c r="D1616" s="24">
        <f t="shared" si="125"/>
        <v>2024</v>
      </c>
      <c r="E1616" s="24" t="str">
        <f t="shared" si="126"/>
        <v>Q2</v>
      </c>
      <c r="F1616" s="24" t="str">
        <f t="shared" si="127"/>
        <v>May</v>
      </c>
      <c r="G1616" s="24">
        <f t="shared" si="128"/>
        <v>5</v>
      </c>
      <c r="H1616" s="19">
        <v>1209</v>
      </c>
      <c r="I1616" s="19" t="s">
        <v>10</v>
      </c>
      <c r="J1616" s="19" t="s">
        <v>1</v>
      </c>
      <c r="K1616" s="20">
        <v>1</v>
      </c>
      <c r="L1616" s="21">
        <v>279.5</v>
      </c>
      <c r="M1616" s="22">
        <v>0.19</v>
      </c>
      <c r="N1616" s="21">
        <f t="shared" si="129"/>
        <v>226.39499999999998</v>
      </c>
      <c r="O1616" s="21">
        <v>226.4</v>
      </c>
      <c r="P1616" s="19" t="s">
        <v>2</v>
      </c>
      <c r="Q1616" s="23">
        <v>2</v>
      </c>
      <c r="R1616" s="45">
        <v>3.5</v>
      </c>
    </row>
    <row r="1617" spans="2:18" x14ac:dyDescent="0.2">
      <c r="B1617" s="25">
        <v>1614</v>
      </c>
      <c r="C1617" s="18">
        <v>45444</v>
      </c>
      <c r="D1617" s="24">
        <f t="shared" si="125"/>
        <v>2024</v>
      </c>
      <c r="E1617" s="24" t="str">
        <f t="shared" si="126"/>
        <v>Q2</v>
      </c>
      <c r="F1617" s="24" t="str">
        <f t="shared" si="127"/>
        <v>Jun</v>
      </c>
      <c r="G1617" s="24">
        <f t="shared" si="128"/>
        <v>6</v>
      </c>
      <c r="H1617" s="19">
        <v>1474</v>
      </c>
      <c r="I1617" s="19" t="s">
        <v>10</v>
      </c>
      <c r="J1617" s="19" t="s">
        <v>1</v>
      </c>
      <c r="K1617" s="20">
        <v>7</v>
      </c>
      <c r="L1617" s="21">
        <v>321.36</v>
      </c>
      <c r="M1617" s="22">
        <v>0.28000000000000003</v>
      </c>
      <c r="N1617" s="21">
        <f t="shared" si="129"/>
        <v>231.3792</v>
      </c>
      <c r="O1617" s="21">
        <v>1619.65</v>
      </c>
      <c r="P1617" s="19" t="s">
        <v>6</v>
      </c>
      <c r="Q1617" s="23">
        <v>5</v>
      </c>
      <c r="R1617" s="45">
        <v>3.1</v>
      </c>
    </row>
    <row r="1618" spans="2:18" x14ac:dyDescent="0.2">
      <c r="B1618" s="25">
        <v>1615</v>
      </c>
      <c r="C1618" s="18">
        <v>45445</v>
      </c>
      <c r="D1618" s="24">
        <f t="shared" si="125"/>
        <v>2024</v>
      </c>
      <c r="E1618" s="24" t="str">
        <f t="shared" si="126"/>
        <v>Q2</v>
      </c>
      <c r="F1618" s="24" t="str">
        <f t="shared" si="127"/>
        <v>Jun</v>
      </c>
      <c r="G1618" s="24">
        <f t="shared" si="128"/>
        <v>6</v>
      </c>
      <c r="H1618" s="19">
        <v>1417</v>
      </c>
      <c r="I1618" s="19" t="s">
        <v>7</v>
      </c>
      <c r="J1618" s="19" t="s">
        <v>1</v>
      </c>
      <c r="K1618" s="20">
        <v>7</v>
      </c>
      <c r="L1618" s="21">
        <v>589.73</v>
      </c>
      <c r="M1618" s="22">
        <v>0.08</v>
      </c>
      <c r="N1618" s="21">
        <f t="shared" si="129"/>
        <v>542.55160000000001</v>
      </c>
      <c r="O1618" s="21">
        <v>3797.86</v>
      </c>
      <c r="P1618" s="19" t="s">
        <v>2</v>
      </c>
      <c r="Q1618" s="23">
        <v>9</v>
      </c>
      <c r="R1618" s="45">
        <v>1.8</v>
      </c>
    </row>
    <row r="1619" spans="2:18" x14ac:dyDescent="0.2">
      <c r="B1619" s="25">
        <v>1616</v>
      </c>
      <c r="C1619" s="18">
        <v>45446</v>
      </c>
      <c r="D1619" s="24">
        <f t="shared" si="125"/>
        <v>2024</v>
      </c>
      <c r="E1619" s="24" t="str">
        <f t="shared" si="126"/>
        <v>Q2</v>
      </c>
      <c r="F1619" s="24" t="str">
        <f t="shared" si="127"/>
        <v>Jun</v>
      </c>
      <c r="G1619" s="24">
        <f t="shared" si="128"/>
        <v>6</v>
      </c>
      <c r="H1619" s="19">
        <v>1346</v>
      </c>
      <c r="I1619" s="19" t="s">
        <v>7</v>
      </c>
      <c r="J1619" s="19" t="s">
        <v>5</v>
      </c>
      <c r="K1619" s="20">
        <v>3</v>
      </c>
      <c r="L1619" s="21">
        <v>50.09</v>
      </c>
      <c r="M1619" s="22">
        <v>0.12</v>
      </c>
      <c r="N1619" s="21">
        <f t="shared" si="129"/>
        <v>44.0792</v>
      </c>
      <c r="O1619" s="21">
        <v>132.24</v>
      </c>
      <c r="P1619" s="19" t="s">
        <v>6</v>
      </c>
      <c r="Q1619" s="23">
        <v>9</v>
      </c>
      <c r="R1619" s="45">
        <v>2.8</v>
      </c>
    </row>
    <row r="1620" spans="2:18" x14ac:dyDescent="0.2">
      <c r="B1620" s="25">
        <v>1617</v>
      </c>
      <c r="C1620" s="18">
        <v>45447</v>
      </c>
      <c r="D1620" s="24">
        <f t="shared" si="125"/>
        <v>2024</v>
      </c>
      <c r="E1620" s="24" t="str">
        <f t="shared" si="126"/>
        <v>Q2</v>
      </c>
      <c r="F1620" s="24" t="str">
        <f t="shared" si="127"/>
        <v>Jun</v>
      </c>
      <c r="G1620" s="24">
        <f t="shared" si="128"/>
        <v>6</v>
      </c>
      <c r="H1620" s="19">
        <v>1528</v>
      </c>
      <c r="I1620" s="19" t="s">
        <v>3</v>
      </c>
      <c r="J1620" s="19" t="s">
        <v>5</v>
      </c>
      <c r="K1620" s="20">
        <v>7</v>
      </c>
      <c r="L1620" s="21">
        <v>300.45999999999998</v>
      </c>
      <c r="M1620" s="22">
        <v>0.31</v>
      </c>
      <c r="N1620" s="21">
        <f t="shared" si="129"/>
        <v>207.31739999999999</v>
      </c>
      <c r="O1620" s="21">
        <v>1451.22</v>
      </c>
      <c r="P1620" s="19" t="s">
        <v>6</v>
      </c>
      <c r="Q1620" s="23">
        <v>7</v>
      </c>
      <c r="R1620" s="45">
        <v>1.4</v>
      </c>
    </row>
    <row r="1621" spans="2:18" x14ac:dyDescent="0.2">
      <c r="B1621" s="25">
        <v>1618</v>
      </c>
      <c r="C1621" s="18">
        <v>45448</v>
      </c>
      <c r="D1621" s="24">
        <f t="shared" si="125"/>
        <v>2024</v>
      </c>
      <c r="E1621" s="24" t="str">
        <f t="shared" si="126"/>
        <v>Q2</v>
      </c>
      <c r="F1621" s="24" t="str">
        <f t="shared" si="127"/>
        <v>Jun</v>
      </c>
      <c r="G1621" s="24">
        <f t="shared" si="128"/>
        <v>6</v>
      </c>
      <c r="H1621" s="19">
        <v>1639</v>
      </c>
      <c r="I1621" s="19" t="s">
        <v>7</v>
      </c>
      <c r="J1621" s="19" t="s">
        <v>8</v>
      </c>
      <c r="K1621" s="20">
        <v>5</v>
      </c>
      <c r="L1621" s="21">
        <v>467.83</v>
      </c>
      <c r="M1621" s="22">
        <v>0.02</v>
      </c>
      <c r="N1621" s="21">
        <f t="shared" si="129"/>
        <v>458.47339999999997</v>
      </c>
      <c r="O1621" s="21">
        <v>2292.37</v>
      </c>
      <c r="P1621" s="19" t="s">
        <v>4</v>
      </c>
      <c r="Q1621" s="23">
        <v>4</v>
      </c>
      <c r="R1621" s="45">
        <v>3.2</v>
      </c>
    </row>
    <row r="1622" spans="2:18" x14ac:dyDescent="0.2">
      <c r="B1622" s="25">
        <v>1619</v>
      </c>
      <c r="C1622" s="18">
        <v>45449</v>
      </c>
      <c r="D1622" s="24">
        <f t="shared" si="125"/>
        <v>2024</v>
      </c>
      <c r="E1622" s="24" t="str">
        <f t="shared" si="126"/>
        <v>Q2</v>
      </c>
      <c r="F1622" s="24" t="str">
        <f t="shared" si="127"/>
        <v>Jun</v>
      </c>
      <c r="G1622" s="24">
        <f t="shared" si="128"/>
        <v>6</v>
      </c>
      <c r="H1622" s="19">
        <v>1938</v>
      </c>
      <c r="I1622" s="19" t="s">
        <v>3</v>
      </c>
      <c r="J1622" s="19" t="s">
        <v>5</v>
      </c>
      <c r="K1622" s="20">
        <v>3</v>
      </c>
      <c r="L1622" s="21">
        <v>103.43</v>
      </c>
      <c r="M1622" s="22">
        <v>0.18</v>
      </c>
      <c r="N1622" s="21">
        <f t="shared" si="129"/>
        <v>84.812600000000003</v>
      </c>
      <c r="O1622" s="21">
        <v>254.44</v>
      </c>
      <c r="P1622" s="19" t="s">
        <v>4</v>
      </c>
      <c r="Q1622" s="23">
        <v>4</v>
      </c>
      <c r="R1622" s="45">
        <v>1.4</v>
      </c>
    </row>
    <row r="1623" spans="2:18" x14ac:dyDescent="0.2">
      <c r="B1623" s="25">
        <v>1620</v>
      </c>
      <c r="C1623" s="18">
        <v>45450</v>
      </c>
      <c r="D1623" s="24">
        <f t="shared" si="125"/>
        <v>2024</v>
      </c>
      <c r="E1623" s="24" t="str">
        <f t="shared" si="126"/>
        <v>Q2</v>
      </c>
      <c r="F1623" s="24" t="str">
        <f t="shared" si="127"/>
        <v>Jun</v>
      </c>
      <c r="G1623" s="24">
        <f t="shared" si="128"/>
        <v>6</v>
      </c>
      <c r="H1623" s="19">
        <v>1954</v>
      </c>
      <c r="I1623" s="19" t="s">
        <v>10</v>
      </c>
      <c r="J1623" s="19" t="s">
        <v>5</v>
      </c>
      <c r="K1623" s="20">
        <v>7</v>
      </c>
      <c r="L1623" s="21">
        <v>372.75</v>
      </c>
      <c r="M1623" s="22">
        <v>0.17</v>
      </c>
      <c r="N1623" s="21">
        <f t="shared" si="129"/>
        <v>309.38249999999999</v>
      </c>
      <c r="O1623" s="21">
        <v>2165.6799999999998</v>
      </c>
      <c r="P1623" s="19" t="s">
        <v>4</v>
      </c>
      <c r="Q1623" s="23">
        <v>10</v>
      </c>
      <c r="R1623" s="45">
        <v>3.5</v>
      </c>
    </row>
    <row r="1624" spans="2:18" x14ac:dyDescent="0.2">
      <c r="B1624" s="25">
        <v>1621</v>
      </c>
      <c r="C1624" s="18">
        <v>45451</v>
      </c>
      <c r="D1624" s="24">
        <f t="shared" si="125"/>
        <v>2024</v>
      </c>
      <c r="E1624" s="24" t="str">
        <f t="shared" si="126"/>
        <v>Q2</v>
      </c>
      <c r="F1624" s="24" t="str">
        <f t="shared" si="127"/>
        <v>Jun</v>
      </c>
      <c r="G1624" s="24">
        <f t="shared" si="128"/>
        <v>6</v>
      </c>
      <c r="H1624" s="19">
        <v>1875</v>
      </c>
      <c r="I1624" s="19" t="s">
        <v>10</v>
      </c>
      <c r="J1624" s="19" t="s">
        <v>8</v>
      </c>
      <c r="K1624" s="20">
        <v>6</v>
      </c>
      <c r="L1624" s="21">
        <v>155.09</v>
      </c>
      <c r="M1624" s="22">
        <v>0.26</v>
      </c>
      <c r="N1624" s="21">
        <f t="shared" si="129"/>
        <v>114.76660000000001</v>
      </c>
      <c r="O1624" s="21">
        <v>688.6</v>
      </c>
      <c r="P1624" s="19" t="s">
        <v>6</v>
      </c>
      <c r="Q1624" s="23">
        <v>11</v>
      </c>
      <c r="R1624" s="45">
        <v>1.6</v>
      </c>
    </row>
    <row r="1625" spans="2:18" x14ac:dyDescent="0.2">
      <c r="B1625" s="25">
        <v>1622</v>
      </c>
      <c r="C1625" s="18">
        <v>45452</v>
      </c>
      <c r="D1625" s="24">
        <f t="shared" si="125"/>
        <v>2024</v>
      </c>
      <c r="E1625" s="24" t="str">
        <f t="shared" si="126"/>
        <v>Q2</v>
      </c>
      <c r="F1625" s="24" t="str">
        <f t="shared" si="127"/>
        <v>Jun</v>
      </c>
      <c r="G1625" s="24">
        <f t="shared" si="128"/>
        <v>6</v>
      </c>
      <c r="H1625" s="19">
        <v>1762</v>
      </c>
      <c r="I1625" s="19" t="s">
        <v>10</v>
      </c>
      <c r="J1625" s="19" t="s">
        <v>5</v>
      </c>
      <c r="K1625" s="20">
        <v>3</v>
      </c>
      <c r="L1625" s="21">
        <v>522.42999999999995</v>
      </c>
      <c r="M1625" s="22">
        <v>0.1</v>
      </c>
      <c r="N1625" s="21">
        <f t="shared" si="129"/>
        <v>470.18699999999995</v>
      </c>
      <c r="O1625" s="21">
        <v>1410.56</v>
      </c>
      <c r="P1625" s="19" t="s">
        <v>4</v>
      </c>
      <c r="Q1625" s="23">
        <v>7</v>
      </c>
      <c r="R1625" s="45">
        <v>3.2</v>
      </c>
    </row>
    <row r="1626" spans="2:18" x14ac:dyDescent="0.2">
      <c r="B1626" s="25">
        <v>1623</v>
      </c>
      <c r="C1626" s="18">
        <v>45453</v>
      </c>
      <c r="D1626" s="24">
        <f t="shared" si="125"/>
        <v>2024</v>
      </c>
      <c r="E1626" s="24" t="str">
        <f t="shared" si="126"/>
        <v>Q2</v>
      </c>
      <c r="F1626" s="24" t="str">
        <f t="shared" si="127"/>
        <v>Jun</v>
      </c>
      <c r="G1626" s="24">
        <f t="shared" si="128"/>
        <v>6</v>
      </c>
      <c r="H1626" s="19">
        <v>1178</v>
      </c>
      <c r="I1626" s="19" t="s">
        <v>0</v>
      </c>
      <c r="J1626" s="19" t="s">
        <v>1</v>
      </c>
      <c r="K1626" s="20">
        <v>3</v>
      </c>
      <c r="L1626" s="21">
        <v>206.35</v>
      </c>
      <c r="M1626" s="22">
        <v>0.08</v>
      </c>
      <c r="N1626" s="21">
        <f t="shared" si="129"/>
        <v>189.84199999999998</v>
      </c>
      <c r="O1626" s="21">
        <v>569.53</v>
      </c>
      <c r="P1626" s="19" t="s">
        <v>6</v>
      </c>
      <c r="Q1626" s="23">
        <v>3</v>
      </c>
      <c r="R1626" s="45">
        <v>1.5</v>
      </c>
    </row>
    <row r="1627" spans="2:18" x14ac:dyDescent="0.2">
      <c r="B1627" s="25">
        <v>1624</v>
      </c>
      <c r="C1627" s="18">
        <v>45454</v>
      </c>
      <c r="D1627" s="24">
        <f t="shared" si="125"/>
        <v>2024</v>
      </c>
      <c r="E1627" s="24" t="str">
        <f t="shared" si="126"/>
        <v>Q2</v>
      </c>
      <c r="F1627" s="24" t="str">
        <f t="shared" si="127"/>
        <v>Jun</v>
      </c>
      <c r="G1627" s="24">
        <f t="shared" si="128"/>
        <v>6</v>
      </c>
      <c r="H1627" s="19">
        <v>1181</v>
      </c>
      <c r="I1627" s="19" t="s">
        <v>3</v>
      </c>
      <c r="J1627" s="19" t="s">
        <v>9</v>
      </c>
      <c r="K1627" s="20">
        <v>1</v>
      </c>
      <c r="L1627" s="21">
        <v>207.5</v>
      </c>
      <c r="M1627" s="22">
        <v>0.32</v>
      </c>
      <c r="N1627" s="21">
        <f t="shared" si="129"/>
        <v>141.1</v>
      </c>
      <c r="O1627" s="21">
        <v>141.1</v>
      </c>
      <c r="P1627" s="19" t="s">
        <v>4</v>
      </c>
      <c r="Q1627" s="23">
        <v>3</v>
      </c>
      <c r="R1627" s="45">
        <v>2.6</v>
      </c>
    </row>
    <row r="1628" spans="2:18" x14ac:dyDescent="0.2">
      <c r="B1628" s="25">
        <v>1625</v>
      </c>
      <c r="C1628" s="18">
        <v>45455</v>
      </c>
      <c r="D1628" s="24">
        <f t="shared" si="125"/>
        <v>2024</v>
      </c>
      <c r="E1628" s="24" t="str">
        <f t="shared" si="126"/>
        <v>Q2</v>
      </c>
      <c r="F1628" s="24" t="str">
        <f t="shared" si="127"/>
        <v>Jun</v>
      </c>
      <c r="G1628" s="24">
        <f t="shared" si="128"/>
        <v>6</v>
      </c>
      <c r="H1628" s="19">
        <v>1663</v>
      </c>
      <c r="I1628" s="19" t="s">
        <v>10</v>
      </c>
      <c r="J1628" s="19" t="s">
        <v>9</v>
      </c>
      <c r="K1628" s="20">
        <v>4</v>
      </c>
      <c r="L1628" s="21">
        <v>364.94</v>
      </c>
      <c r="M1628" s="22">
        <v>0.2</v>
      </c>
      <c r="N1628" s="21">
        <f t="shared" si="129"/>
        <v>291.952</v>
      </c>
      <c r="O1628" s="21">
        <v>1167.81</v>
      </c>
      <c r="P1628" s="19" t="s">
        <v>2</v>
      </c>
      <c r="Q1628" s="23">
        <v>5</v>
      </c>
      <c r="R1628" s="45">
        <v>2.4</v>
      </c>
    </row>
    <row r="1629" spans="2:18" x14ac:dyDescent="0.2">
      <c r="B1629" s="25">
        <v>1626</v>
      </c>
      <c r="C1629" s="18">
        <v>45456</v>
      </c>
      <c r="D1629" s="24">
        <f t="shared" si="125"/>
        <v>2024</v>
      </c>
      <c r="E1629" s="24" t="str">
        <f t="shared" si="126"/>
        <v>Q2</v>
      </c>
      <c r="F1629" s="24" t="str">
        <f t="shared" si="127"/>
        <v>Jun</v>
      </c>
      <c r="G1629" s="24">
        <f t="shared" si="128"/>
        <v>6</v>
      </c>
      <c r="H1629" s="19">
        <v>1024</v>
      </c>
      <c r="I1629" s="19" t="s">
        <v>3</v>
      </c>
      <c r="J1629" s="19" t="s">
        <v>8</v>
      </c>
      <c r="K1629" s="20">
        <v>1</v>
      </c>
      <c r="L1629" s="21">
        <v>122.38</v>
      </c>
      <c r="M1629" s="22">
        <v>0.04</v>
      </c>
      <c r="N1629" s="21">
        <f t="shared" si="129"/>
        <v>117.48479999999999</v>
      </c>
      <c r="O1629" s="21">
        <v>117.48</v>
      </c>
      <c r="P1629" s="19" t="s">
        <v>4</v>
      </c>
      <c r="Q1629" s="23">
        <v>11</v>
      </c>
      <c r="R1629" s="45">
        <v>4</v>
      </c>
    </row>
    <row r="1630" spans="2:18" x14ac:dyDescent="0.2">
      <c r="B1630" s="25">
        <v>1627</v>
      </c>
      <c r="C1630" s="18">
        <v>45457</v>
      </c>
      <c r="D1630" s="24">
        <f t="shared" si="125"/>
        <v>2024</v>
      </c>
      <c r="E1630" s="24" t="str">
        <f t="shared" si="126"/>
        <v>Q2</v>
      </c>
      <c r="F1630" s="24" t="str">
        <f t="shared" si="127"/>
        <v>Jun</v>
      </c>
      <c r="G1630" s="24">
        <f t="shared" si="128"/>
        <v>6</v>
      </c>
      <c r="H1630" s="19">
        <v>1966</v>
      </c>
      <c r="I1630" s="19" t="s">
        <v>7</v>
      </c>
      <c r="J1630" s="19" t="s">
        <v>5</v>
      </c>
      <c r="K1630" s="20">
        <v>2</v>
      </c>
      <c r="L1630" s="21">
        <v>181.66</v>
      </c>
      <c r="M1630" s="22">
        <v>7.0000000000000007E-2</v>
      </c>
      <c r="N1630" s="21">
        <f t="shared" si="129"/>
        <v>168.94380000000001</v>
      </c>
      <c r="O1630" s="21">
        <v>337.89</v>
      </c>
      <c r="P1630" s="19" t="s">
        <v>6</v>
      </c>
      <c r="Q1630" s="23">
        <v>6</v>
      </c>
      <c r="R1630" s="45">
        <v>3.6</v>
      </c>
    </row>
    <row r="1631" spans="2:18" x14ac:dyDescent="0.2">
      <c r="B1631" s="25">
        <v>1628</v>
      </c>
      <c r="C1631" s="18">
        <v>45458</v>
      </c>
      <c r="D1631" s="24">
        <f t="shared" si="125"/>
        <v>2024</v>
      </c>
      <c r="E1631" s="24" t="str">
        <f t="shared" si="126"/>
        <v>Q2</v>
      </c>
      <c r="F1631" s="24" t="str">
        <f t="shared" si="127"/>
        <v>Jun</v>
      </c>
      <c r="G1631" s="24">
        <f t="shared" si="128"/>
        <v>6</v>
      </c>
      <c r="H1631" s="19">
        <v>1179</v>
      </c>
      <c r="I1631" s="19" t="s">
        <v>7</v>
      </c>
      <c r="J1631" s="19" t="s">
        <v>5</v>
      </c>
      <c r="K1631" s="20">
        <v>3</v>
      </c>
      <c r="L1631" s="21">
        <v>258.73</v>
      </c>
      <c r="M1631" s="22">
        <v>0.35</v>
      </c>
      <c r="N1631" s="21">
        <f t="shared" si="129"/>
        <v>168.17450000000002</v>
      </c>
      <c r="O1631" s="21">
        <v>504.52</v>
      </c>
      <c r="P1631" s="19" t="s">
        <v>4</v>
      </c>
      <c r="Q1631" s="23">
        <v>8</v>
      </c>
      <c r="R1631" s="45">
        <v>4.7</v>
      </c>
    </row>
    <row r="1632" spans="2:18" x14ac:dyDescent="0.2">
      <c r="B1632" s="25">
        <v>1629</v>
      </c>
      <c r="C1632" s="18">
        <v>45459</v>
      </c>
      <c r="D1632" s="24">
        <f t="shared" si="125"/>
        <v>2024</v>
      </c>
      <c r="E1632" s="24" t="str">
        <f t="shared" si="126"/>
        <v>Q2</v>
      </c>
      <c r="F1632" s="24" t="str">
        <f t="shared" si="127"/>
        <v>Jun</v>
      </c>
      <c r="G1632" s="24">
        <f t="shared" si="128"/>
        <v>6</v>
      </c>
      <c r="H1632" s="19">
        <v>1709</v>
      </c>
      <c r="I1632" s="19" t="s">
        <v>7</v>
      </c>
      <c r="J1632" s="19" t="s">
        <v>8</v>
      </c>
      <c r="K1632" s="20">
        <v>7</v>
      </c>
      <c r="L1632" s="21">
        <v>221.88</v>
      </c>
      <c r="M1632" s="22">
        <v>7.0000000000000007E-2</v>
      </c>
      <c r="N1632" s="21">
        <f t="shared" si="129"/>
        <v>206.3484</v>
      </c>
      <c r="O1632" s="21">
        <v>1444.44</v>
      </c>
      <c r="P1632" s="19" t="s">
        <v>6</v>
      </c>
      <c r="Q1632" s="23">
        <v>1</v>
      </c>
      <c r="R1632" s="45">
        <v>4.7</v>
      </c>
    </row>
    <row r="1633" spans="2:18" x14ac:dyDescent="0.2">
      <c r="B1633" s="25">
        <v>1630</v>
      </c>
      <c r="C1633" s="18">
        <v>45460</v>
      </c>
      <c r="D1633" s="24">
        <f t="shared" si="125"/>
        <v>2024</v>
      </c>
      <c r="E1633" s="24" t="str">
        <f t="shared" si="126"/>
        <v>Q2</v>
      </c>
      <c r="F1633" s="24" t="str">
        <f t="shared" si="127"/>
        <v>Jun</v>
      </c>
      <c r="G1633" s="24">
        <f t="shared" si="128"/>
        <v>6</v>
      </c>
      <c r="H1633" s="19">
        <v>1500</v>
      </c>
      <c r="I1633" s="19" t="s">
        <v>3</v>
      </c>
      <c r="J1633" s="19" t="s">
        <v>9</v>
      </c>
      <c r="K1633" s="20">
        <v>7</v>
      </c>
      <c r="L1633" s="21">
        <v>322.05</v>
      </c>
      <c r="M1633" s="22">
        <v>0.21</v>
      </c>
      <c r="N1633" s="21">
        <f t="shared" si="129"/>
        <v>254.41950000000003</v>
      </c>
      <c r="O1633" s="21">
        <v>1780.94</v>
      </c>
      <c r="P1633" s="19" t="s">
        <v>4</v>
      </c>
      <c r="Q1633" s="23">
        <v>7</v>
      </c>
      <c r="R1633" s="45">
        <v>3.9</v>
      </c>
    </row>
    <row r="1634" spans="2:18" x14ac:dyDescent="0.2">
      <c r="B1634" s="25">
        <v>1631</v>
      </c>
      <c r="C1634" s="18">
        <v>45461</v>
      </c>
      <c r="D1634" s="24">
        <f t="shared" si="125"/>
        <v>2024</v>
      </c>
      <c r="E1634" s="24" t="str">
        <f t="shared" si="126"/>
        <v>Q2</v>
      </c>
      <c r="F1634" s="24" t="str">
        <f t="shared" si="127"/>
        <v>Jun</v>
      </c>
      <c r="G1634" s="24">
        <f t="shared" si="128"/>
        <v>6</v>
      </c>
      <c r="H1634" s="19">
        <v>1855</v>
      </c>
      <c r="I1634" s="19" t="s">
        <v>3</v>
      </c>
      <c r="J1634" s="19" t="s">
        <v>1</v>
      </c>
      <c r="K1634" s="20">
        <v>7</v>
      </c>
      <c r="L1634" s="21">
        <v>365.79</v>
      </c>
      <c r="M1634" s="22">
        <v>0.15</v>
      </c>
      <c r="N1634" s="21">
        <f t="shared" si="129"/>
        <v>310.92150000000004</v>
      </c>
      <c r="O1634" s="21">
        <v>2176.4499999999998</v>
      </c>
      <c r="P1634" s="19" t="s">
        <v>6</v>
      </c>
      <c r="Q1634" s="23">
        <v>8</v>
      </c>
      <c r="R1634" s="45">
        <v>4.0999999999999996</v>
      </c>
    </row>
    <row r="1635" spans="2:18" x14ac:dyDescent="0.2">
      <c r="B1635" s="25">
        <v>1632</v>
      </c>
      <c r="C1635" s="18">
        <v>45462</v>
      </c>
      <c r="D1635" s="24">
        <f t="shared" si="125"/>
        <v>2024</v>
      </c>
      <c r="E1635" s="24" t="str">
        <f t="shared" si="126"/>
        <v>Q2</v>
      </c>
      <c r="F1635" s="24" t="str">
        <f t="shared" si="127"/>
        <v>Jun</v>
      </c>
      <c r="G1635" s="24">
        <f t="shared" si="128"/>
        <v>6</v>
      </c>
      <c r="H1635" s="19">
        <v>1160</v>
      </c>
      <c r="I1635" s="19" t="s">
        <v>10</v>
      </c>
      <c r="J1635" s="19" t="s">
        <v>5</v>
      </c>
      <c r="K1635" s="20">
        <v>3</v>
      </c>
      <c r="L1635" s="21">
        <v>346.5</v>
      </c>
      <c r="M1635" s="22">
        <v>0.31</v>
      </c>
      <c r="N1635" s="21">
        <f t="shared" si="129"/>
        <v>239.08499999999998</v>
      </c>
      <c r="O1635" s="21">
        <v>717.26</v>
      </c>
      <c r="P1635" s="19" t="s">
        <v>2</v>
      </c>
      <c r="Q1635" s="23">
        <v>5</v>
      </c>
      <c r="R1635" s="45">
        <v>3.5</v>
      </c>
    </row>
    <row r="1636" spans="2:18" x14ac:dyDescent="0.2">
      <c r="B1636" s="25">
        <v>1633</v>
      </c>
      <c r="C1636" s="18">
        <v>45463</v>
      </c>
      <c r="D1636" s="24">
        <f t="shared" si="125"/>
        <v>2024</v>
      </c>
      <c r="E1636" s="24" t="str">
        <f t="shared" si="126"/>
        <v>Q2</v>
      </c>
      <c r="F1636" s="24" t="str">
        <f t="shared" si="127"/>
        <v>Jun</v>
      </c>
      <c r="G1636" s="24">
        <f t="shared" si="128"/>
        <v>6</v>
      </c>
      <c r="H1636" s="19">
        <v>1176</v>
      </c>
      <c r="I1636" s="19" t="s">
        <v>7</v>
      </c>
      <c r="J1636" s="19" t="s">
        <v>8</v>
      </c>
      <c r="K1636" s="20">
        <v>7</v>
      </c>
      <c r="L1636" s="21">
        <v>397.69</v>
      </c>
      <c r="M1636" s="22">
        <v>0.26</v>
      </c>
      <c r="N1636" s="21">
        <f t="shared" si="129"/>
        <v>294.29059999999998</v>
      </c>
      <c r="O1636" s="21">
        <v>2060.0300000000002</v>
      </c>
      <c r="P1636" s="19" t="s">
        <v>4</v>
      </c>
      <c r="Q1636" s="23">
        <v>10</v>
      </c>
      <c r="R1636" s="45">
        <v>3.8</v>
      </c>
    </row>
    <row r="1637" spans="2:18" x14ac:dyDescent="0.2">
      <c r="B1637" s="25">
        <v>1634</v>
      </c>
      <c r="C1637" s="18">
        <v>45464</v>
      </c>
      <c r="D1637" s="24">
        <f t="shared" si="125"/>
        <v>2024</v>
      </c>
      <c r="E1637" s="24" t="str">
        <f t="shared" si="126"/>
        <v>Q2</v>
      </c>
      <c r="F1637" s="24" t="str">
        <f t="shared" si="127"/>
        <v>Jun</v>
      </c>
      <c r="G1637" s="24">
        <f t="shared" si="128"/>
        <v>6</v>
      </c>
      <c r="H1637" s="19">
        <v>1284</v>
      </c>
      <c r="I1637" s="19" t="s">
        <v>7</v>
      </c>
      <c r="J1637" s="19" t="s">
        <v>1</v>
      </c>
      <c r="K1637" s="20">
        <v>2</v>
      </c>
      <c r="L1637" s="21">
        <v>195.03</v>
      </c>
      <c r="M1637" s="22">
        <v>0.21</v>
      </c>
      <c r="N1637" s="21">
        <f t="shared" si="129"/>
        <v>154.0737</v>
      </c>
      <c r="O1637" s="21">
        <v>308.14999999999998</v>
      </c>
      <c r="P1637" s="19" t="s">
        <v>4</v>
      </c>
      <c r="Q1637" s="23">
        <v>2</v>
      </c>
      <c r="R1637" s="45">
        <v>3.5</v>
      </c>
    </row>
    <row r="1638" spans="2:18" x14ac:dyDescent="0.2">
      <c r="B1638" s="25">
        <v>1635</v>
      </c>
      <c r="C1638" s="18">
        <v>45465</v>
      </c>
      <c r="D1638" s="24">
        <f t="shared" si="125"/>
        <v>2024</v>
      </c>
      <c r="E1638" s="24" t="str">
        <f t="shared" si="126"/>
        <v>Q2</v>
      </c>
      <c r="F1638" s="24" t="str">
        <f t="shared" si="127"/>
        <v>Jun</v>
      </c>
      <c r="G1638" s="24">
        <f t="shared" si="128"/>
        <v>6</v>
      </c>
      <c r="H1638" s="19">
        <v>1062</v>
      </c>
      <c r="I1638" s="19" t="s">
        <v>0</v>
      </c>
      <c r="J1638" s="19" t="s">
        <v>8</v>
      </c>
      <c r="K1638" s="20">
        <v>3</v>
      </c>
      <c r="L1638" s="21">
        <v>88.96</v>
      </c>
      <c r="M1638" s="22">
        <v>0</v>
      </c>
      <c r="N1638" s="21">
        <f t="shared" si="129"/>
        <v>88.96</v>
      </c>
      <c r="O1638" s="21">
        <v>266.88</v>
      </c>
      <c r="P1638" s="19" t="s">
        <v>6</v>
      </c>
      <c r="Q1638" s="23">
        <v>4</v>
      </c>
      <c r="R1638" s="45">
        <v>2.2000000000000002</v>
      </c>
    </row>
    <row r="1639" spans="2:18" x14ac:dyDescent="0.2">
      <c r="B1639" s="25">
        <v>1636</v>
      </c>
      <c r="C1639" s="18">
        <v>45466</v>
      </c>
      <c r="D1639" s="24">
        <f t="shared" si="125"/>
        <v>2024</v>
      </c>
      <c r="E1639" s="24" t="str">
        <f t="shared" si="126"/>
        <v>Q2</v>
      </c>
      <c r="F1639" s="24" t="str">
        <f t="shared" si="127"/>
        <v>Jun</v>
      </c>
      <c r="G1639" s="24">
        <f t="shared" si="128"/>
        <v>6</v>
      </c>
      <c r="H1639" s="19">
        <v>1661</v>
      </c>
      <c r="I1639" s="19" t="s">
        <v>7</v>
      </c>
      <c r="J1639" s="19" t="s">
        <v>8</v>
      </c>
      <c r="K1639" s="20">
        <v>7</v>
      </c>
      <c r="L1639" s="21">
        <v>460.07</v>
      </c>
      <c r="M1639" s="22">
        <v>0.31</v>
      </c>
      <c r="N1639" s="21">
        <f t="shared" si="129"/>
        <v>317.44830000000002</v>
      </c>
      <c r="O1639" s="21">
        <v>2222.14</v>
      </c>
      <c r="P1639" s="19" t="s">
        <v>6</v>
      </c>
      <c r="Q1639" s="23">
        <v>6</v>
      </c>
      <c r="R1639" s="45">
        <v>2.4</v>
      </c>
    </row>
    <row r="1640" spans="2:18" x14ac:dyDescent="0.2">
      <c r="B1640" s="25">
        <v>1637</v>
      </c>
      <c r="C1640" s="18">
        <v>45467</v>
      </c>
      <c r="D1640" s="24">
        <f t="shared" si="125"/>
        <v>2024</v>
      </c>
      <c r="E1640" s="24" t="str">
        <f t="shared" si="126"/>
        <v>Q2</v>
      </c>
      <c r="F1640" s="24" t="str">
        <f t="shared" si="127"/>
        <v>Jun</v>
      </c>
      <c r="G1640" s="24">
        <f t="shared" si="128"/>
        <v>6</v>
      </c>
      <c r="H1640" s="19">
        <v>1665</v>
      </c>
      <c r="I1640" s="19" t="s">
        <v>3</v>
      </c>
      <c r="J1640" s="19" t="s">
        <v>8</v>
      </c>
      <c r="K1640" s="20">
        <v>3</v>
      </c>
      <c r="L1640" s="21">
        <v>512.71</v>
      </c>
      <c r="M1640" s="22">
        <v>0.16</v>
      </c>
      <c r="N1640" s="21">
        <f t="shared" si="129"/>
        <v>430.67640000000006</v>
      </c>
      <c r="O1640" s="21">
        <v>1292.03</v>
      </c>
      <c r="P1640" s="19" t="s">
        <v>4</v>
      </c>
      <c r="Q1640" s="23">
        <v>9</v>
      </c>
      <c r="R1640" s="45">
        <v>3.3</v>
      </c>
    </row>
    <row r="1641" spans="2:18" x14ac:dyDescent="0.2">
      <c r="B1641" s="25">
        <v>1638</v>
      </c>
      <c r="C1641" s="18">
        <v>45468</v>
      </c>
      <c r="D1641" s="24">
        <f t="shared" si="125"/>
        <v>2024</v>
      </c>
      <c r="E1641" s="24" t="str">
        <f t="shared" si="126"/>
        <v>Q2</v>
      </c>
      <c r="F1641" s="24" t="str">
        <f t="shared" si="127"/>
        <v>Jun</v>
      </c>
      <c r="G1641" s="24">
        <f t="shared" si="128"/>
        <v>6</v>
      </c>
      <c r="H1641" s="19">
        <v>1155</v>
      </c>
      <c r="I1641" s="19" t="s">
        <v>3</v>
      </c>
      <c r="J1641" s="19" t="s">
        <v>9</v>
      </c>
      <c r="K1641" s="20">
        <v>6</v>
      </c>
      <c r="L1641" s="21">
        <v>165.35</v>
      </c>
      <c r="M1641" s="22">
        <v>0.33</v>
      </c>
      <c r="N1641" s="21">
        <f t="shared" si="129"/>
        <v>110.78449999999999</v>
      </c>
      <c r="O1641" s="21">
        <v>664.71</v>
      </c>
      <c r="P1641" s="19" t="s">
        <v>6</v>
      </c>
      <c r="Q1641" s="23">
        <v>2</v>
      </c>
      <c r="R1641" s="45">
        <v>3.9</v>
      </c>
    </row>
    <row r="1642" spans="2:18" x14ac:dyDescent="0.2">
      <c r="B1642" s="25">
        <v>1639</v>
      </c>
      <c r="C1642" s="18">
        <v>45469</v>
      </c>
      <c r="D1642" s="24">
        <f t="shared" si="125"/>
        <v>2024</v>
      </c>
      <c r="E1642" s="24" t="str">
        <f t="shared" si="126"/>
        <v>Q2</v>
      </c>
      <c r="F1642" s="24" t="str">
        <f t="shared" si="127"/>
        <v>Jun</v>
      </c>
      <c r="G1642" s="24">
        <f t="shared" si="128"/>
        <v>6</v>
      </c>
      <c r="H1642" s="19">
        <v>1881</v>
      </c>
      <c r="I1642" s="19" t="s">
        <v>3</v>
      </c>
      <c r="J1642" s="19" t="s">
        <v>9</v>
      </c>
      <c r="K1642" s="20">
        <v>3</v>
      </c>
      <c r="L1642" s="21">
        <v>253.15</v>
      </c>
      <c r="M1642" s="22">
        <v>0.17</v>
      </c>
      <c r="N1642" s="21">
        <f t="shared" si="129"/>
        <v>210.11449999999999</v>
      </c>
      <c r="O1642" s="21">
        <v>630.34</v>
      </c>
      <c r="P1642" s="19" t="s">
        <v>4</v>
      </c>
      <c r="Q1642" s="23">
        <v>4</v>
      </c>
      <c r="R1642" s="45">
        <v>2.6</v>
      </c>
    </row>
    <row r="1643" spans="2:18" x14ac:dyDescent="0.2">
      <c r="B1643" s="25">
        <v>1640</v>
      </c>
      <c r="C1643" s="18">
        <v>45470</v>
      </c>
      <c r="D1643" s="24">
        <f t="shared" si="125"/>
        <v>2024</v>
      </c>
      <c r="E1643" s="24" t="str">
        <f t="shared" si="126"/>
        <v>Q2</v>
      </c>
      <c r="F1643" s="24" t="str">
        <f t="shared" si="127"/>
        <v>Jun</v>
      </c>
      <c r="G1643" s="24">
        <f t="shared" si="128"/>
        <v>6</v>
      </c>
      <c r="H1643" s="19">
        <v>1468</v>
      </c>
      <c r="I1643" s="19" t="s">
        <v>7</v>
      </c>
      <c r="J1643" s="19" t="s">
        <v>8</v>
      </c>
      <c r="K1643" s="20">
        <v>2</v>
      </c>
      <c r="L1643" s="21">
        <v>306.66000000000003</v>
      </c>
      <c r="M1643" s="22">
        <v>0.24</v>
      </c>
      <c r="N1643" s="21">
        <f t="shared" si="129"/>
        <v>233.06160000000003</v>
      </c>
      <c r="O1643" s="21">
        <v>466.12</v>
      </c>
      <c r="P1643" s="19" t="s">
        <v>4</v>
      </c>
      <c r="Q1643" s="23">
        <v>10</v>
      </c>
      <c r="R1643" s="45">
        <v>1.6</v>
      </c>
    </row>
    <row r="1644" spans="2:18" x14ac:dyDescent="0.2">
      <c r="B1644" s="25">
        <v>1641</v>
      </c>
      <c r="C1644" s="18">
        <v>45471</v>
      </c>
      <c r="D1644" s="24">
        <f t="shared" si="125"/>
        <v>2024</v>
      </c>
      <c r="E1644" s="24" t="str">
        <f t="shared" si="126"/>
        <v>Q2</v>
      </c>
      <c r="F1644" s="24" t="str">
        <f t="shared" si="127"/>
        <v>Jun</v>
      </c>
      <c r="G1644" s="24">
        <f t="shared" si="128"/>
        <v>6</v>
      </c>
      <c r="H1644" s="19">
        <v>1048</v>
      </c>
      <c r="I1644" s="19" t="s">
        <v>7</v>
      </c>
      <c r="J1644" s="19" t="s">
        <v>5</v>
      </c>
      <c r="K1644" s="20">
        <v>1</v>
      </c>
      <c r="L1644" s="21">
        <v>327</v>
      </c>
      <c r="M1644" s="22">
        <v>0.02</v>
      </c>
      <c r="N1644" s="21">
        <f t="shared" si="129"/>
        <v>320.45999999999998</v>
      </c>
      <c r="O1644" s="21">
        <v>320.45999999999998</v>
      </c>
      <c r="P1644" s="19" t="s">
        <v>4</v>
      </c>
      <c r="Q1644" s="23">
        <v>5</v>
      </c>
      <c r="R1644" s="45">
        <v>2.8</v>
      </c>
    </row>
    <row r="1645" spans="2:18" x14ac:dyDescent="0.2">
      <c r="B1645" s="25">
        <v>1642</v>
      </c>
      <c r="C1645" s="18">
        <v>45472</v>
      </c>
      <c r="D1645" s="24">
        <f t="shared" si="125"/>
        <v>2024</v>
      </c>
      <c r="E1645" s="24" t="str">
        <f t="shared" si="126"/>
        <v>Q2</v>
      </c>
      <c r="F1645" s="24" t="str">
        <f t="shared" si="127"/>
        <v>Jun</v>
      </c>
      <c r="G1645" s="24">
        <f t="shared" si="128"/>
        <v>6</v>
      </c>
      <c r="H1645" s="19">
        <v>1966</v>
      </c>
      <c r="I1645" s="19" t="s">
        <v>7</v>
      </c>
      <c r="J1645" s="19" t="s">
        <v>1</v>
      </c>
      <c r="K1645" s="20">
        <v>3</v>
      </c>
      <c r="L1645" s="21">
        <v>400.8</v>
      </c>
      <c r="M1645" s="22">
        <v>0.26</v>
      </c>
      <c r="N1645" s="21">
        <f t="shared" si="129"/>
        <v>296.59199999999998</v>
      </c>
      <c r="O1645" s="21">
        <v>889.78</v>
      </c>
      <c r="P1645" s="19" t="s">
        <v>2</v>
      </c>
      <c r="Q1645" s="23">
        <v>8</v>
      </c>
      <c r="R1645" s="45">
        <v>4.9000000000000004</v>
      </c>
    </row>
    <row r="1646" spans="2:18" x14ac:dyDescent="0.2">
      <c r="B1646" s="25">
        <v>1643</v>
      </c>
      <c r="C1646" s="18">
        <v>45473</v>
      </c>
      <c r="D1646" s="24">
        <f t="shared" si="125"/>
        <v>2024</v>
      </c>
      <c r="E1646" s="24" t="str">
        <f t="shared" si="126"/>
        <v>Q2</v>
      </c>
      <c r="F1646" s="24" t="str">
        <f t="shared" si="127"/>
        <v>Jun</v>
      </c>
      <c r="G1646" s="24">
        <f t="shared" si="128"/>
        <v>6</v>
      </c>
      <c r="H1646" s="19">
        <v>1848</v>
      </c>
      <c r="I1646" s="19" t="s">
        <v>3</v>
      </c>
      <c r="J1646" s="19" t="s">
        <v>5</v>
      </c>
      <c r="K1646" s="20">
        <v>4</v>
      </c>
      <c r="L1646" s="21">
        <v>39.340000000000003</v>
      </c>
      <c r="M1646" s="22">
        <v>0.12</v>
      </c>
      <c r="N1646" s="21">
        <f t="shared" si="129"/>
        <v>34.619200000000006</v>
      </c>
      <c r="O1646" s="21">
        <v>138.47999999999999</v>
      </c>
      <c r="P1646" s="19" t="s">
        <v>6</v>
      </c>
      <c r="Q1646" s="23">
        <v>8</v>
      </c>
      <c r="R1646" s="45">
        <v>1.9</v>
      </c>
    </row>
    <row r="1647" spans="2:18" x14ac:dyDescent="0.2">
      <c r="B1647" s="25">
        <v>1644</v>
      </c>
      <c r="C1647" s="18">
        <v>45474</v>
      </c>
      <c r="D1647" s="24">
        <f t="shared" si="125"/>
        <v>2024</v>
      </c>
      <c r="E1647" s="24" t="str">
        <f t="shared" si="126"/>
        <v>Q3</v>
      </c>
      <c r="F1647" s="24" t="str">
        <f t="shared" si="127"/>
        <v>Jul</v>
      </c>
      <c r="G1647" s="24">
        <f t="shared" si="128"/>
        <v>7</v>
      </c>
      <c r="H1647" s="19">
        <v>1083</v>
      </c>
      <c r="I1647" s="19" t="s">
        <v>3</v>
      </c>
      <c r="J1647" s="19" t="s">
        <v>9</v>
      </c>
      <c r="K1647" s="20">
        <v>2</v>
      </c>
      <c r="L1647" s="21">
        <v>437.06</v>
      </c>
      <c r="M1647" s="22">
        <v>0.12</v>
      </c>
      <c r="N1647" s="21">
        <f t="shared" si="129"/>
        <v>384.61279999999999</v>
      </c>
      <c r="O1647" s="21">
        <v>769.23</v>
      </c>
      <c r="P1647" s="19" t="s">
        <v>6</v>
      </c>
      <c r="Q1647" s="23">
        <v>2</v>
      </c>
      <c r="R1647" s="45">
        <v>3.6</v>
      </c>
    </row>
    <row r="1648" spans="2:18" x14ac:dyDescent="0.2">
      <c r="B1648" s="25">
        <v>1645</v>
      </c>
      <c r="C1648" s="18">
        <v>45475</v>
      </c>
      <c r="D1648" s="24">
        <f t="shared" si="125"/>
        <v>2024</v>
      </c>
      <c r="E1648" s="24" t="str">
        <f t="shared" si="126"/>
        <v>Q3</v>
      </c>
      <c r="F1648" s="24" t="str">
        <f t="shared" si="127"/>
        <v>Jul</v>
      </c>
      <c r="G1648" s="24">
        <f t="shared" si="128"/>
        <v>7</v>
      </c>
      <c r="H1648" s="19">
        <v>1360</v>
      </c>
      <c r="I1648" s="19" t="s">
        <v>7</v>
      </c>
      <c r="J1648" s="19" t="s">
        <v>1</v>
      </c>
      <c r="K1648" s="20">
        <v>5</v>
      </c>
      <c r="L1648" s="21">
        <v>51.25</v>
      </c>
      <c r="M1648" s="22">
        <v>0.04</v>
      </c>
      <c r="N1648" s="21">
        <f t="shared" si="129"/>
        <v>49.2</v>
      </c>
      <c r="O1648" s="21">
        <v>246</v>
      </c>
      <c r="P1648" s="19" t="s">
        <v>2</v>
      </c>
      <c r="Q1648" s="23">
        <v>6</v>
      </c>
      <c r="R1648" s="45">
        <v>4.9000000000000004</v>
      </c>
    </row>
    <row r="1649" spans="2:18" x14ac:dyDescent="0.2">
      <c r="B1649" s="25">
        <v>1646</v>
      </c>
      <c r="C1649" s="18">
        <v>45476</v>
      </c>
      <c r="D1649" s="24">
        <f t="shared" si="125"/>
        <v>2024</v>
      </c>
      <c r="E1649" s="24" t="str">
        <f t="shared" si="126"/>
        <v>Q3</v>
      </c>
      <c r="F1649" s="24" t="str">
        <f t="shared" si="127"/>
        <v>Jul</v>
      </c>
      <c r="G1649" s="24">
        <f t="shared" si="128"/>
        <v>7</v>
      </c>
      <c r="H1649" s="19">
        <v>1688</v>
      </c>
      <c r="I1649" s="19" t="s">
        <v>3</v>
      </c>
      <c r="J1649" s="19" t="s">
        <v>8</v>
      </c>
      <c r="K1649" s="20">
        <v>6</v>
      </c>
      <c r="L1649" s="21">
        <v>288.95</v>
      </c>
      <c r="M1649" s="22">
        <v>0.05</v>
      </c>
      <c r="N1649" s="21">
        <f t="shared" si="129"/>
        <v>274.5025</v>
      </c>
      <c r="O1649" s="21">
        <v>1647.01</v>
      </c>
      <c r="P1649" s="19" t="s">
        <v>4</v>
      </c>
      <c r="Q1649" s="23">
        <v>6</v>
      </c>
      <c r="R1649" s="45">
        <v>2.5</v>
      </c>
    </row>
    <row r="1650" spans="2:18" x14ac:dyDescent="0.2">
      <c r="B1650" s="25">
        <v>1647</v>
      </c>
      <c r="C1650" s="18">
        <v>45477</v>
      </c>
      <c r="D1650" s="24">
        <f t="shared" si="125"/>
        <v>2024</v>
      </c>
      <c r="E1650" s="24" t="str">
        <f t="shared" si="126"/>
        <v>Q3</v>
      </c>
      <c r="F1650" s="24" t="str">
        <f t="shared" si="127"/>
        <v>Jul</v>
      </c>
      <c r="G1650" s="24">
        <f t="shared" si="128"/>
        <v>7</v>
      </c>
      <c r="H1650" s="19">
        <v>1147</v>
      </c>
      <c r="I1650" s="19" t="s">
        <v>10</v>
      </c>
      <c r="J1650" s="19" t="s">
        <v>5</v>
      </c>
      <c r="K1650" s="20">
        <v>2</v>
      </c>
      <c r="L1650" s="21">
        <v>499.19</v>
      </c>
      <c r="M1650" s="22">
        <v>7.0000000000000007E-2</v>
      </c>
      <c r="N1650" s="21">
        <f t="shared" si="129"/>
        <v>464.24669999999998</v>
      </c>
      <c r="O1650" s="21">
        <v>928.49</v>
      </c>
      <c r="P1650" s="19" t="s">
        <v>6</v>
      </c>
      <c r="Q1650" s="23">
        <v>5</v>
      </c>
      <c r="R1650" s="45">
        <v>4.5999999999999996</v>
      </c>
    </row>
    <row r="1651" spans="2:18" x14ac:dyDescent="0.2">
      <c r="B1651" s="25">
        <v>1648</v>
      </c>
      <c r="C1651" s="18">
        <v>45478</v>
      </c>
      <c r="D1651" s="24">
        <f t="shared" si="125"/>
        <v>2024</v>
      </c>
      <c r="E1651" s="24" t="str">
        <f t="shared" si="126"/>
        <v>Q3</v>
      </c>
      <c r="F1651" s="24" t="str">
        <f t="shared" si="127"/>
        <v>Jul</v>
      </c>
      <c r="G1651" s="24">
        <f t="shared" si="128"/>
        <v>7</v>
      </c>
      <c r="H1651" s="19">
        <v>1629</v>
      </c>
      <c r="I1651" s="19" t="s">
        <v>7</v>
      </c>
      <c r="J1651" s="19" t="s">
        <v>5</v>
      </c>
      <c r="K1651" s="20">
        <v>1</v>
      </c>
      <c r="L1651" s="21">
        <v>278.95999999999998</v>
      </c>
      <c r="M1651" s="22">
        <v>0.11</v>
      </c>
      <c r="N1651" s="21">
        <f t="shared" si="129"/>
        <v>248.27439999999999</v>
      </c>
      <c r="O1651" s="21">
        <v>248.27</v>
      </c>
      <c r="P1651" s="19" t="s">
        <v>2</v>
      </c>
      <c r="Q1651" s="23">
        <v>8</v>
      </c>
      <c r="R1651" s="45">
        <v>4.5</v>
      </c>
    </row>
    <row r="1652" spans="2:18" x14ac:dyDescent="0.2">
      <c r="B1652" s="25">
        <v>1649</v>
      </c>
      <c r="C1652" s="18">
        <v>45479</v>
      </c>
      <c r="D1652" s="24">
        <f t="shared" si="125"/>
        <v>2024</v>
      </c>
      <c r="E1652" s="24" t="str">
        <f t="shared" si="126"/>
        <v>Q3</v>
      </c>
      <c r="F1652" s="24" t="str">
        <f t="shared" si="127"/>
        <v>Jul</v>
      </c>
      <c r="G1652" s="24">
        <f t="shared" si="128"/>
        <v>7</v>
      </c>
      <c r="H1652" s="19">
        <v>1341</v>
      </c>
      <c r="I1652" s="19" t="s">
        <v>3</v>
      </c>
      <c r="J1652" s="19" t="s">
        <v>8</v>
      </c>
      <c r="K1652" s="20">
        <v>7</v>
      </c>
      <c r="L1652" s="21">
        <v>102.22</v>
      </c>
      <c r="M1652" s="22">
        <v>0.31</v>
      </c>
      <c r="N1652" s="21">
        <f t="shared" si="129"/>
        <v>70.531800000000004</v>
      </c>
      <c r="O1652" s="21">
        <v>493.72</v>
      </c>
      <c r="P1652" s="19" t="s">
        <v>4</v>
      </c>
      <c r="Q1652" s="23">
        <v>10</v>
      </c>
      <c r="R1652" s="45">
        <v>2.4</v>
      </c>
    </row>
    <row r="1653" spans="2:18" x14ac:dyDescent="0.2">
      <c r="B1653" s="25">
        <v>1650</v>
      </c>
      <c r="C1653" s="18">
        <v>45480</v>
      </c>
      <c r="D1653" s="24">
        <f t="shared" si="125"/>
        <v>2024</v>
      </c>
      <c r="E1653" s="24" t="str">
        <f t="shared" si="126"/>
        <v>Q3</v>
      </c>
      <c r="F1653" s="24" t="str">
        <f t="shared" si="127"/>
        <v>Jul</v>
      </c>
      <c r="G1653" s="24">
        <f t="shared" si="128"/>
        <v>7</v>
      </c>
      <c r="H1653" s="19">
        <v>1475</v>
      </c>
      <c r="I1653" s="19" t="s">
        <v>10</v>
      </c>
      <c r="J1653" s="19" t="s">
        <v>5</v>
      </c>
      <c r="K1653" s="20">
        <v>7</v>
      </c>
      <c r="L1653" s="21">
        <v>591.24</v>
      </c>
      <c r="M1653" s="22">
        <v>0.13</v>
      </c>
      <c r="N1653" s="21">
        <f t="shared" si="129"/>
        <v>514.37879999999996</v>
      </c>
      <c r="O1653" s="21">
        <v>3600.65</v>
      </c>
      <c r="P1653" s="19" t="s">
        <v>4</v>
      </c>
      <c r="Q1653" s="23">
        <v>2</v>
      </c>
      <c r="R1653" s="45">
        <v>1.4</v>
      </c>
    </row>
    <row r="1654" spans="2:18" x14ac:dyDescent="0.2">
      <c r="B1654" s="25">
        <v>1651</v>
      </c>
      <c r="C1654" s="18">
        <v>45481</v>
      </c>
      <c r="D1654" s="24">
        <f t="shared" si="125"/>
        <v>2024</v>
      </c>
      <c r="E1654" s="24" t="str">
        <f t="shared" si="126"/>
        <v>Q3</v>
      </c>
      <c r="F1654" s="24" t="str">
        <f t="shared" si="127"/>
        <v>Jul</v>
      </c>
      <c r="G1654" s="24">
        <f t="shared" si="128"/>
        <v>7</v>
      </c>
      <c r="H1654" s="19">
        <v>1062</v>
      </c>
      <c r="I1654" s="19" t="s">
        <v>7</v>
      </c>
      <c r="J1654" s="19" t="s">
        <v>9</v>
      </c>
      <c r="K1654" s="20">
        <v>2</v>
      </c>
      <c r="L1654" s="21">
        <v>535.23</v>
      </c>
      <c r="M1654" s="22">
        <v>0.25</v>
      </c>
      <c r="N1654" s="21">
        <f t="shared" si="129"/>
        <v>401.42250000000001</v>
      </c>
      <c r="O1654" s="21">
        <v>802.84</v>
      </c>
      <c r="P1654" s="19" t="s">
        <v>2</v>
      </c>
      <c r="Q1654" s="23">
        <v>2</v>
      </c>
      <c r="R1654" s="45">
        <v>1.7</v>
      </c>
    </row>
    <row r="1655" spans="2:18" x14ac:dyDescent="0.2">
      <c r="B1655" s="25">
        <v>1652</v>
      </c>
      <c r="C1655" s="18">
        <v>45482</v>
      </c>
      <c r="D1655" s="24">
        <f t="shared" si="125"/>
        <v>2024</v>
      </c>
      <c r="E1655" s="24" t="str">
        <f t="shared" si="126"/>
        <v>Q3</v>
      </c>
      <c r="F1655" s="24" t="str">
        <f t="shared" si="127"/>
        <v>Jul</v>
      </c>
      <c r="G1655" s="24">
        <f t="shared" si="128"/>
        <v>7</v>
      </c>
      <c r="H1655" s="19">
        <v>1700</v>
      </c>
      <c r="I1655" s="19" t="s">
        <v>7</v>
      </c>
      <c r="J1655" s="19" t="s">
        <v>8</v>
      </c>
      <c r="K1655" s="20">
        <v>5</v>
      </c>
      <c r="L1655" s="21">
        <v>466.22</v>
      </c>
      <c r="M1655" s="22">
        <v>0.03</v>
      </c>
      <c r="N1655" s="21">
        <f t="shared" si="129"/>
        <v>452.23340000000002</v>
      </c>
      <c r="O1655" s="21">
        <v>2261.17</v>
      </c>
      <c r="P1655" s="19" t="s">
        <v>2</v>
      </c>
      <c r="Q1655" s="23">
        <v>7</v>
      </c>
      <c r="R1655" s="45">
        <v>2.5</v>
      </c>
    </row>
    <row r="1656" spans="2:18" x14ac:dyDescent="0.2">
      <c r="B1656" s="25">
        <v>1653</v>
      </c>
      <c r="C1656" s="18">
        <v>45483</v>
      </c>
      <c r="D1656" s="24">
        <f t="shared" si="125"/>
        <v>2024</v>
      </c>
      <c r="E1656" s="24" t="str">
        <f t="shared" si="126"/>
        <v>Q3</v>
      </c>
      <c r="F1656" s="24" t="str">
        <f t="shared" si="127"/>
        <v>Jul</v>
      </c>
      <c r="G1656" s="24">
        <f t="shared" si="128"/>
        <v>7</v>
      </c>
      <c r="H1656" s="19">
        <v>1359</v>
      </c>
      <c r="I1656" s="19" t="s">
        <v>3</v>
      </c>
      <c r="J1656" s="19" t="s">
        <v>5</v>
      </c>
      <c r="K1656" s="20">
        <v>7</v>
      </c>
      <c r="L1656" s="21">
        <v>255.73</v>
      </c>
      <c r="M1656" s="22">
        <v>0.21</v>
      </c>
      <c r="N1656" s="21">
        <f t="shared" si="129"/>
        <v>202.02670000000001</v>
      </c>
      <c r="O1656" s="21">
        <v>1414.19</v>
      </c>
      <c r="P1656" s="19" t="s">
        <v>4</v>
      </c>
      <c r="Q1656" s="23">
        <v>9</v>
      </c>
      <c r="R1656" s="45">
        <v>4.8</v>
      </c>
    </row>
    <row r="1657" spans="2:18" x14ac:dyDescent="0.2">
      <c r="B1657" s="25">
        <v>1654</v>
      </c>
      <c r="C1657" s="18">
        <v>45484</v>
      </c>
      <c r="D1657" s="24">
        <f t="shared" si="125"/>
        <v>2024</v>
      </c>
      <c r="E1657" s="24" t="str">
        <f t="shared" si="126"/>
        <v>Q3</v>
      </c>
      <c r="F1657" s="24" t="str">
        <f t="shared" si="127"/>
        <v>Jul</v>
      </c>
      <c r="G1657" s="24">
        <f t="shared" si="128"/>
        <v>7</v>
      </c>
      <c r="H1657" s="19">
        <v>1560</v>
      </c>
      <c r="I1657" s="19" t="s">
        <v>0</v>
      </c>
      <c r="J1657" s="19" t="s">
        <v>8</v>
      </c>
      <c r="K1657" s="20">
        <v>6</v>
      </c>
      <c r="L1657" s="21">
        <v>122.55</v>
      </c>
      <c r="M1657" s="22">
        <v>0.17</v>
      </c>
      <c r="N1657" s="21">
        <f t="shared" si="129"/>
        <v>101.7165</v>
      </c>
      <c r="O1657" s="21">
        <v>610.29999999999995</v>
      </c>
      <c r="P1657" s="19" t="s">
        <v>4</v>
      </c>
      <c r="Q1657" s="23">
        <v>3</v>
      </c>
      <c r="R1657" s="45">
        <v>2.1</v>
      </c>
    </row>
    <row r="1658" spans="2:18" x14ac:dyDescent="0.2">
      <c r="B1658" s="25">
        <v>1655</v>
      </c>
      <c r="C1658" s="18">
        <v>45485</v>
      </c>
      <c r="D1658" s="24">
        <f t="shared" si="125"/>
        <v>2024</v>
      </c>
      <c r="E1658" s="24" t="str">
        <f t="shared" si="126"/>
        <v>Q3</v>
      </c>
      <c r="F1658" s="24" t="str">
        <f t="shared" si="127"/>
        <v>Jul</v>
      </c>
      <c r="G1658" s="24">
        <f t="shared" si="128"/>
        <v>7</v>
      </c>
      <c r="H1658" s="19">
        <v>1326</v>
      </c>
      <c r="I1658" s="19" t="s">
        <v>10</v>
      </c>
      <c r="J1658" s="19" t="s">
        <v>1</v>
      </c>
      <c r="K1658" s="20">
        <v>4</v>
      </c>
      <c r="L1658" s="21">
        <v>565.73</v>
      </c>
      <c r="M1658" s="22">
        <v>0.34</v>
      </c>
      <c r="N1658" s="21">
        <f t="shared" si="129"/>
        <v>373.3818</v>
      </c>
      <c r="O1658" s="21">
        <v>1493.53</v>
      </c>
      <c r="P1658" s="19" t="s">
        <v>4</v>
      </c>
      <c r="Q1658" s="23">
        <v>7</v>
      </c>
      <c r="R1658" s="45">
        <v>4.7</v>
      </c>
    </row>
    <row r="1659" spans="2:18" x14ac:dyDescent="0.2">
      <c r="B1659" s="25">
        <v>1656</v>
      </c>
      <c r="C1659" s="18">
        <v>45486</v>
      </c>
      <c r="D1659" s="24">
        <f t="shared" si="125"/>
        <v>2024</v>
      </c>
      <c r="E1659" s="24" t="str">
        <f t="shared" si="126"/>
        <v>Q3</v>
      </c>
      <c r="F1659" s="24" t="str">
        <f t="shared" si="127"/>
        <v>Jul</v>
      </c>
      <c r="G1659" s="24">
        <f t="shared" si="128"/>
        <v>7</v>
      </c>
      <c r="H1659" s="19">
        <v>1768</v>
      </c>
      <c r="I1659" s="19" t="s">
        <v>3</v>
      </c>
      <c r="J1659" s="19" t="s">
        <v>8</v>
      </c>
      <c r="K1659" s="20">
        <v>5</v>
      </c>
      <c r="L1659" s="21">
        <v>326.43</v>
      </c>
      <c r="M1659" s="22">
        <v>0.3</v>
      </c>
      <c r="N1659" s="21">
        <f t="shared" si="129"/>
        <v>228.501</v>
      </c>
      <c r="O1659" s="21">
        <v>1142.5</v>
      </c>
      <c r="P1659" s="19" t="s">
        <v>4</v>
      </c>
      <c r="Q1659" s="23">
        <v>3</v>
      </c>
      <c r="R1659" s="45">
        <v>1.7</v>
      </c>
    </row>
    <row r="1660" spans="2:18" x14ac:dyDescent="0.2">
      <c r="B1660" s="25">
        <v>1657</v>
      </c>
      <c r="C1660" s="18">
        <v>45487</v>
      </c>
      <c r="D1660" s="24">
        <f t="shared" si="125"/>
        <v>2024</v>
      </c>
      <c r="E1660" s="24" t="str">
        <f t="shared" si="126"/>
        <v>Q3</v>
      </c>
      <c r="F1660" s="24" t="str">
        <f t="shared" si="127"/>
        <v>Jul</v>
      </c>
      <c r="G1660" s="24">
        <f t="shared" si="128"/>
        <v>7</v>
      </c>
      <c r="H1660" s="19">
        <v>1735</v>
      </c>
      <c r="I1660" s="19" t="s">
        <v>10</v>
      </c>
      <c r="J1660" s="19" t="s">
        <v>5</v>
      </c>
      <c r="K1660" s="20">
        <v>2</v>
      </c>
      <c r="L1660" s="21">
        <v>513.63</v>
      </c>
      <c r="M1660" s="22">
        <v>0.16</v>
      </c>
      <c r="N1660" s="21">
        <f t="shared" si="129"/>
        <v>431.44920000000002</v>
      </c>
      <c r="O1660" s="21">
        <v>862.9</v>
      </c>
      <c r="P1660" s="19" t="s">
        <v>4</v>
      </c>
      <c r="Q1660" s="23">
        <v>6</v>
      </c>
      <c r="R1660" s="45">
        <v>4.9000000000000004</v>
      </c>
    </row>
    <row r="1661" spans="2:18" x14ac:dyDescent="0.2">
      <c r="B1661" s="25">
        <v>1658</v>
      </c>
      <c r="C1661" s="18">
        <v>45488</v>
      </c>
      <c r="D1661" s="24">
        <f t="shared" si="125"/>
        <v>2024</v>
      </c>
      <c r="E1661" s="24" t="str">
        <f t="shared" si="126"/>
        <v>Q3</v>
      </c>
      <c r="F1661" s="24" t="str">
        <f t="shared" si="127"/>
        <v>Jul</v>
      </c>
      <c r="G1661" s="24">
        <f t="shared" si="128"/>
        <v>7</v>
      </c>
      <c r="H1661" s="19">
        <v>1140</v>
      </c>
      <c r="I1661" s="19" t="s">
        <v>3</v>
      </c>
      <c r="J1661" s="19" t="s">
        <v>9</v>
      </c>
      <c r="K1661" s="20">
        <v>5</v>
      </c>
      <c r="L1661" s="21">
        <v>215.13</v>
      </c>
      <c r="M1661" s="22">
        <v>0.27</v>
      </c>
      <c r="N1661" s="21">
        <f t="shared" si="129"/>
        <v>157.04489999999998</v>
      </c>
      <c r="O1661" s="21">
        <v>785.22</v>
      </c>
      <c r="P1661" s="19" t="s">
        <v>6</v>
      </c>
      <c r="Q1661" s="23">
        <v>3</v>
      </c>
      <c r="R1661" s="45">
        <v>2.2000000000000002</v>
      </c>
    </row>
    <row r="1662" spans="2:18" x14ac:dyDescent="0.2">
      <c r="B1662" s="25">
        <v>1659</v>
      </c>
      <c r="C1662" s="18">
        <v>45489</v>
      </c>
      <c r="D1662" s="24">
        <f t="shared" si="125"/>
        <v>2024</v>
      </c>
      <c r="E1662" s="24" t="str">
        <f t="shared" si="126"/>
        <v>Q3</v>
      </c>
      <c r="F1662" s="24" t="str">
        <f t="shared" si="127"/>
        <v>Jul</v>
      </c>
      <c r="G1662" s="24">
        <f t="shared" si="128"/>
        <v>7</v>
      </c>
      <c r="H1662" s="19">
        <v>1989</v>
      </c>
      <c r="I1662" s="19" t="s">
        <v>3</v>
      </c>
      <c r="J1662" s="19" t="s">
        <v>8</v>
      </c>
      <c r="K1662" s="20">
        <v>7</v>
      </c>
      <c r="L1662" s="21">
        <v>211.14</v>
      </c>
      <c r="M1662" s="22">
        <v>7.0000000000000007E-2</v>
      </c>
      <c r="N1662" s="21">
        <f t="shared" si="129"/>
        <v>196.36019999999999</v>
      </c>
      <c r="O1662" s="21">
        <v>1374.52</v>
      </c>
      <c r="P1662" s="19" t="s">
        <v>2</v>
      </c>
      <c r="Q1662" s="23">
        <v>1</v>
      </c>
      <c r="R1662" s="45">
        <v>3.5</v>
      </c>
    </row>
    <row r="1663" spans="2:18" x14ac:dyDescent="0.2">
      <c r="B1663" s="25">
        <v>1660</v>
      </c>
      <c r="C1663" s="18">
        <v>45490</v>
      </c>
      <c r="D1663" s="24">
        <f t="shared" si="125"/>
        <v>2024</v>
      </c>
      <c r="E1663" s="24" t="str">
        <f t="shared" si="126"/>
        <v>Q3</v>
      </c>
      <c r="F1663" s="24" t="str">
        <f t="shared" si="127"/>
        <v>Jul</v>
      </c>
      <c r="G1663" s="24">
        <f t="shared" si="128"/>
        <v>7</v>
      </c>
      <c r="H1663" s="19">
        <v>1214</v>
      </c>
      <c r="I1663" s="19" t="s">
        <v>3</v>
      </c>
      <c r="J1663" s="19" t="s">
        <v>8</v>
      </c>
      <c r="K1663" s="20">
        <v>7</v>
      </c>
      <c r="L1663" s="21">
        <v>591.54</v>
      </c>
      <c r="M1663" s="22">
        <v>0.2</v>
      </c>
      <c r="N1663" s="21">
        <f t="shared" si="129"/>
        <v>473.23199999999997</v>
      </c>
      <c r="O1663" s="21">
        <v>3312.62</v>
      </c>
      <c r="P1663" s="19" t="s">
        <v>4</v>
      </c>
      <c r="Q1663" s="23">
        <v>6</v>
      </c>
      <c r="R1663" s="45">
        <v>1.3</v>
      </c>
    </row>
    <row r="1664" spans="2:18" x14ac:dyDescent="0.2">
      <c r="B1664" s="25">
        <v>1661</v>
      </c>
      <c r="C1664" s="18">
        <v>45491</v>
      </c>
      <c r="D1664" s="24">
        <f t="shared" si="125"/>
        <v>2024</v>
      </c>
      <c r="E1664" s="24" t="str">
        <f t="shared" si="126"/>
        <v>Q3</v>
      </c>
      <c r="F1664" s="24" t="str">
        <f t="shared" si="127"/>
        <v>Jul</v>
      </c>
      <c r="G1664" s="24">
        <f t="shared" si="128"/>
        <v>7</v>
      </c>
      <c r="H1664" s="19">
        <v>1434</v>
      </c>
      <c r="I1664" s="19" t="s">
        <v>7</v>
      </c>
      <c r="J1664" s="19" t="s">
        <v>5</v>
      </c>
      <c r="K1664" s="20">
        <v>2</v>
      </c>
      <c r="L1664" s="21">
        <v>320.27</v>
      </c>
      <c r="M1664" s="22">
        <v>0.03</v>
      </c>
      <c r="N1664" s="21">
        <f t="shared" si="129"/>
        <v>310.6619</v>
      </c>
      <c r="O1664" s="21">
        <v>621.32000000000005</v>
      </c>
      <c r="P1664" s="19" t="s">
        <v>2</v>
      </c>
      <c r="Q1664" s="23">
        <v>11</v>
      </c>
      <c r="R1664" s="45">
        <v>2.2000000000000002</v>
      </c>
    </row>
    <row r="1665" spans="2:18" x14ac:dyDescent="0.2">
      <c r="B1665" s="25">
        <v>1662</v>
      </c>
      <c r="C1665" s="18">
        <v>45492</v>
      </c>
      <c r="D1665" s="24">
        <f t="shared" si="125"/>
        <v>2024</v>
      </c>
      <c r="E1665" s="24" t="str">
        <f t="shared" si="126"/>
        <v>Q3</v>
      </c>
      <c r="F1665" s="24" t="str">
        <f t="shared" si="127"/>
        <v>Jul</v>
      </c>
      <c r="G1665" s="24">
        <f t="shared" si="128"/>
        <v>7</v>
      </c>
      <c r="H1665" s="19">
        <v>1890</v>
      </c>
      <c r="I1665" s="19" t="s">
        <v>10</v>
      </c>
      <c r="J1665" s="19" t="s">
        <v>9</v>
      </c>
      <c r="K1665" s="20">
        <v>7</v>
      </c>
      <c r="L1665" s="21">
        <v>97.31</v>
      </c>
      <c r="M1665" s="22">
        <v>0.12</v>
      </c>
      <c r="N1665" s="21">
        <f t="shared" si="129"/>
        <v>85.632800000000003</v>
      </c>
      <c r="O1665" s="21">
        <v>599.42999999999995</v>
      </c>
      <c r="P1665" s="19" t="s">
        <v>4</v>
      </c>
      <c r="Q1665" s="23">
        <v>3</v>
      </c>
      <c r="R1665" s="45">
        <v>1.8</v>
      </c>
    </row>
    <row r="1666" spans="2:18" x14ac:dyDescent="0.2">
      <c r="B1666" s="25">
        <v>1663</v>
      </c>
      <c r="C1666" s="18">
        <v>45493</v>
      </c>
      <c r="D1666" s="24">
        <f t="shared" si="125"/>
        <v>2024</v>
      </c>
      <c r="E1666" s="24" t="str">
        <f t="shared" si="126"/>
        <v>Q3</v>
      </c>
      <c r="F1666" s="24" t="str">
        <f t="shared" si="127"/>
        <v>Jul</v>
      </c>
      <c r="G1666" s="24">
        <f t="shared" si="128"/>
        <v>7</v>
      </c>
      <c r="H1666" s="19">
        <v>1951</v>
      </c>
      <c r="I1666" s="19" t="s">
        <v>3</v>
      </c>
      <c r="J1666" s="19" t="s">
        <v>9</v>
      </c>
      <c r="K1666" s="20">
        <v>7</v>
      </c>
      <c r="L1666" s="21">
        <v>143.51</v>
      </c>
      <c r="M1666" s="22">
        <v>0.08</v>
      </c>
      <c r="N1666" s="21">
        <f t="shared" si="129"/>
        <v>132.0292</v>
      </c>
      <c r="O1666" s="21">
        <v>924.2</v>
      </c>
      <c r="P1666" s="19" t="s">
        <v>4</v>
      </c>
      <c r="Q1666" s="23">
        <v>1</v>
      </c>
      <c r="R1666" s="45">
        <v>1</v>
      </c>
    </row>
    <row r="1667" spans="2:18" x14ac:dyDescent="0.2">
      <c r="B1667" s="25">
        <v>1664</v>
      </c>
      <c r="C1667" s="18">
        <v>45494</v>
      </c>
      <c r="D1667" s="24">
        <f t="shared" si="125"/>
        <v>2024</v>
      </c>
      <c r="E1667" s="24" t="str">
        <f t="shared" si="126"/>
        <v>Q3</v>
      </c>
      <c r="F1667" s="24" t="str">
        <f t="shared" si="127"/>
        <v>Jul</v>
      </c>
      <c r="G1667" s="24">
        <f t="shared" si="128"/>
        <v>7</v>
      </c>
      <c r="H1667" s="19">
        <v>1722</v>
      </c>
      <c r="I1667" s="19" t="s">
        <v>3</v>
      </c>
      <c r="J1667" s="19" t="s">
        <v>1</v>
      </c>
      <c r="K1667" s="20">
        <v>4</v>
      </c>
      <c r="L1667" s="21">
        <v>296.94</v>
      </c>
      <c r="M1667" s="22">
        <v>0.25</v>
      </c>
      <c r="N1667" s="21">
        <f t="shared" si="129"/>
        <v>222.70499999999998</v>
      </c>
      <c r="O1667" s="21">
        <v>890.82</v>
      </c>
      <c r="P1667" s="19" t="s">
        <v>6</v>
      </c>
      <c r="Q1667" s="23">
        <v>5</v>
      </c>
      <c r="R1667" s="45">
        <v>1.6</v>
      </c>
    </row>
    <row r="1668" spans="2:18" x14ac:dyDescent="0.2">
      <c r="B1668" s="25">
        <v>1665</v>
      </c>
      <c r="C1668" s="18">
        <v>45495</v>
      </c>
      <c r="D1668" s="24">
        <f t="shared" ref="D1668:D1731" si="130">YEAR(C1668)</f>
        <v>2024</v>
      </c>
      <c r="E1668" s="24" t="str">
        <f t="shared" ref="E1668:E1731" si="131">"Q"&amp;ROUNDUP(MONTH(C1668)/3,0)</f>
        <v>Q3</v>
      </c>
      <c r="F1668" s="24" t="str">
        <f t="shared" ref="F1668:F1731" si="132">TEXT(C1668,"mmm")</f>
        <v>Jul</v>
      </c>
      <c r="G1668" s="24">
        <f t="shared" ref="G1668:G1731" si="133">MONTH(C1668)</f>
        <v>7</v>
      </c>
      <c r="H1668" s="19">
        <v>1317</v>
      </c>
      <c r="I1668" s="19" t="s">
        <v>0</v>
      </c>
      <c r="J1668" s="19" t="s">
        <v>1</v>
      </c>
      <c r="K1668" s="20">
        <v>4</v>
      </c>
      <c r="L1668" s="21">
        <v>39.85</v>
      </c>
      <c r="M1668" s="22">
        <v>0.17</v>
      </c>
      <c r="N1668" s="21">
        <f t="shared" si="129"/>
        <v>33.075499999999998</v>
      </c>
      <c r="O1668" s="21">
        <v>132.30000000000001</v>
      </c>
      <c r="P1668" s="19" t="s">
        <v>4</v>
      </c>
      <c r="Q1668" s="23">
        <v>8</v>
      </c>
      <c r="R1668" s="45">
        <v>3.4</v>
      </c>
    </row>
    <row r="1669" spans="2:18" x14ac:dyDescent="0.2">
      <c r="B1669" s="25">
        <v>1666</v>
      </c>
      <c r="C1669" s="18">
        <v>45496</v>
      </c>
      <c r="D1669" s="24">
        <f t="shared" si="130"/>
        <v>2024</v>
      </c>
      <c r="E1669" s="24" t="str">
        <f t="shared" si="131"/>
        <v>Q3</v>
      </c>
      <c r="F1669" s="24" t="str">
        <f t="shared" si="132"/>
        <v>Jul</v>
      </c>
      <c r="G1669" s="24">
        <f t="shared" si="133"/>
        <v>7</v>
      </c>
      <c r="H1669" s="19">
        <v>1031</v>
      </c>
      <c r="I1669" s="19" t="s">
        <v>7</v>
      </c>
      <c r="J1669" s="19" t="s">
        <v>5</v>
      </c>
      <c r="K1669" s="20">
        <v>1</v>
      </c>
      <c r="L1669" s="21">
        <v>285.58</v>
      </c>
      <c r="M1669" s="22">
        <v>0.26</v>
      </c>
      <c r="N1669" s="21">
        <f t="shared" ref="N1669:N1732" si="134">L1669-(L1669*M1669)</f>
        <v>211.32919999999999</v>
      </c>
      <c r="O1669" s="21">
        <v>211.33</v>
      </c>
      <c r="P1669" s="19" t="s">
        <v>4</v>
      </c>
      <c r="Q1669" s="23">
        <v>8</v>
      </c>
      <c r="R1669" s="45">
        <v>2.6</v>
      </c>
    </row>
    <row r="1670" spans="2:18" x14ac:dyDescent="0.2">
      <c r="B1670" s="25">
        <v>1667</v>
      </c>
      <c r="C1670" s="18">
        <v>45497</v>
      </c>
      <c r="D1670" s="24">
        <f t="shared" si="130"/>
        <v>2024</v>
      </c>
      <c r="E1670" s="24" t="str">
        <f t="shared" si="131"/>
        <v>Q3</v>
      </c>
      <c r="F1670" s="24" t="str">
        <f t="shared" si="132"/>
        <v>Jul</v>
      </c>
      <c r="G1670" s="24">
        <f t="shared" si="133"/>
        <v>7</v>
      </c>
      <c r="H1670" s="19">
        <v>1669</v>
      </c>
      <c r="I1670" s="19" t="s">
        <v>7</v>
      </c>
      <c r="J1670" s="19" t="s">
        <v>9</v>
      </c>
      <c r="K1670" s="20">
        <v>4</v>
      </c>
      <c r="L1670" s="21">
        <v>260.08</v>
      </c>
      <c r="M1670" s="22">
        <v>0.18</v>
      </c>
      <c r="N1670" s="21">
        <f t="shared" si="134"/>
        <v>213.26560000000001</v>
      </c>
      <c r="O1670" s="21">
        <v>853.06</v>
      </c>
      <c r="P1670" s="19" t="s">
        <v>2</v>
      </c>
      <c r="Q1670" s="23">
        <v>8</v>
      </c>
      <c r="R1670" s="45">
        <v>3.9</v>
      </c>
    </row>
    <row r="1671" spans="2:18" x14ac:dyDescent="0.2">
      <c r="B1671" s="25">
        <v>1668</v>
      </c>
      <c r="C1671" s="18">
        <v>45498</v>
      </c>
      <c r="D1671" s="24">
        <f t="shared" si="130"/>
        <v>2024</v>
      </c>
      <c r="E1671" s="24" t="str">
        <f t="shared" si="131"/>
        <v>Q3</v>
      </c>
      <c r="F1671" s="24" t="str">
        <f t="shared" si="132"/>
        <v>Jul</v>
      </c>
      <c r="G1671" s="24">
        <f t="shared" si="133"/>
        <v>7</v>
      </c>
      <c r="H1671" s="19">
        <v>1284</v>
      </c>
      <c r="I1671" s="19" t="s">
        <v>7</v>
      </c>
      <c r="J1671" s="19" t="s">
        <v>9</v>
      </c>
      <c r="K1671" s="20">
        <v>3</v>
      </c>
      <c r="L1671" s="21">
        <v>470.91</v>
      </c>
      <c r="M1671" s="22">
        <v>0.03</v>
      </c>
      <c r="N1671" s="21">
        <f t="shared" si="134"/>
        <v>456.78270000000003</v>
      </c>
      <c r="O1671" s="21">
        <v>1370.35</v>
      </c>
      <c r="P1671" s="19" t="s">
        <v>4</v>
      </c>
      <c r="Q1671" s="23">
        <v>3</v>
      </c>
      <c r="R1671" s="45">
        <v>3.7</v>
      </c>
    </row>
    <row r="1672" spans="2:18" x14ac:dyDescent="0.2">
      <c r="B1672" s="25">
        <v>1669</v>
      </c>
      <c r="C1672" s="18">
        <v>45499</v>
      </c>
      <c r="D1672" s="24">
        <f t="shared" si="130"/>
        <v>2024</v>
      </c>
      <c r="E1672" s="24" t="str">
        <f t="shared" si="131"/>
        <v>Q3</v>
      </c>
      <c r="F1672" s="24" t="str">
        <f t="shared" si="132"/>
        <v>Jul</v>
      </c>
      <c r="G1672" s="24">
        <f t="shared" si="133"/>
        <v>7</v>
      </c>
      <c r="H1672" s="19">
        <v>1304</v>
      </c>
      <c r="I1672" s="19" t="s">
        <v>10</v>
      </c>
      <c r="J1672" s="19" t="s">
        <v>1</v>
      </c>
      <c r="K1672" s="20">
        <v>5</v>
      </c>
      <c r="L1672" s="21">
        <v>222.64</v>
      </c>
      <c r="M1672" s="22">
        <v>0.26</v>
      </c>
      <c r="N1672" s="21">
        <f t="shared" si="134"/>
        <v>164.75359999999998</v>
      </c>
      <c r="O1672" s="21">
        <v>823.77</v>
      </c>
      <c r="P1672" s="19" t="s">
        <v>6</v>
      </c>
      <c r="Q1672" s="23">
        <v>8</v>
      </c>
      <c r="R1672" s="45">
        <v>4.2</v>
      </c>
    </row>
    <row r="1673" spans="2:18" x14ac:dyDescent="0.2">
      <c r="B1673" s="25">
        <v>1670</v>
      </c>
      <c r="C1673" s="18">
        <v>45500</v>
      </c>
      <c r="D1673" s="24">
        <f t="shared" si="130"/>
        <v>2024</v>
      </c>
      <c r="E1673" s="24" t="str">
        <f t="shared" si="131"/>
        <v>Q3</v>
      </c>
      <c r="F1673" s="24" t="str">
        <f t="shared" si="132"/>
        <v>Jul</v>
      </c>
      <c r="G1673" s="24">
        <f t="shared" si="133"/>
        <v>7</v>
      </c>
      <c r="H1673" s="19">
        <v>1428</v>
      </c>
      <c r="I1673" s="19" t="s">
        <v>10</v>
      </c>
      <c r="J1673" s="19" t="s">
        <v>1</v>
      </c>
      <c r="K1673" s="20">
        <v>5</v>
      </c>
      <c r="L1673" s="21">
        <v>589.79</v>
      </c>
      <c r="M1673" s="22">
        <v>0.28999999999999998</v>
      </c>
      <c r="N1673" s="21">
        <f t="shared" si="134"/>
        <v>418.7509</v>
      </c>
      <c r="O1673" s="21">
        <v>2093.75</v>
      </c>
      <c r="P1673" s="19" t="s">
        <v>4</v>
      </c>
      <c r="Q1673" s="23">
        <v>4</v>
      </c>
      <c r="R1673" s="45">
        <v>4.5</v>
      </c>
    </row>
    <row r="1674" spans="2:18" x14ac:dyDescent="0.2">
      <c r="B1674" s="25">
        <v>1671</v>
      </c>
      <c r="C1674" s="18">
        <v>45501</v>
      </c>
      <c r="D1674" s="24">
        <f t="shared" si="130"/>
        <v>2024</v>
      </c>
      <c r="E1674" s="24" t="str">
        <f t="shared" si="131"/>
        <v>Q3</v>
      </c>
      <c r="F1674" s="24" t="str">
        <f t="shared" si="132"/>
        <v>Jul</v>
      </c>
      <c r="G1674" s="24">
        <f t="shared" si="133"/>
        <v>7</v>
      </c>
      <c r="H1674" s="19">
        <v>1476</v>
      </c>
      <c r="I1674" s="19" t="s">
        <v>7</v>
      </c>
      <c r="J1674" s="19" t="s">
        <v>5</v>
      </c>
      <c r="K1674" s="20">
        <v>2</v>
      </c>
      <c r="L1674" s="21">
        <v>120.75</v>
      </c>
      <c r="M1674" s="22">
        <v>0.32</v>
      </c>
      <c r="N1674" s="21">
        <f t="shared" si="134"/>
        <v>82.11</v>
      </c>
      <c r="O1674" s="21">
        <v>164.22</v>
      </c>
      <c r="P1674" s="19" t="s">
        <v>4</v>
      </c>
      <c r="Q1674" s="23">
        <v>8</v>
      </c>
      <c r="R1674" s="45">
        <v>4.3</v>
      </c>
    </row>
    <row r="1675" spans="2:18" x14ac:dyDescent="0.2">
      <c r="B1675" s="25">
        <v>1672</v>
      </c>
      <c r="C1675" s="18">
        <v>45502</v>
      </c>
      <c r="D1675" s="24">
        <f t="shared" si="130"/>
        <v>2024</v>
      </c>
      <c r="E1675" s="24" t="str">
        <f t="shared" si="131"/>
        <v>Q3</v>
      </c>
      <c r="F1675" s="24" t="str">
        <f t="shared" si="132"/>
        <v>Jul</v>
      </c>
      <c r="G1675" s="24">
        <f t="shared" si="133"/>
        <v>7</v>
      </c>
      <c r="H1675" s="19">
        <v>1285</v>
      </c>
      <c r="I1675" s="19" t="s">
        <v>10</v>
      </c>
      <c r="J1675" s="19" t="s">
        <v>9</v>
      </c>
      <c r="K1675" s="20">
        <v>4</v>
      </c>
      <c r="L1675" s="21">
        <v>360.73</v>
      </c>
      <c r="M1675" s="22">
        <v>0.2</v>
      </c>
      <c r="N1675" s="21">
        <f t="shared" si="134"/>
        <v>288.584</v>
      </c>
      <c r="O1675" s="21">
        <v>1154.3399999999999</v>
      </c>
      <c r="P1675" s="19" t="s">
        <v>6</v>
      </c>
      <c r="Q1675" s="23">
        <v>3</v>
      </c>
      <c r="R1675" s="45">
        <v>2.8</v>
      </c>
    </row>
    <row r="1676" spans="2:18" x14ac:dyDescent="0.2">
      <c r="B1676" s="25">
        <v>1673</v>
      </c>
      <c r="C1676" s="18">
        <v>45503</v>
      </c>
      <c r="D1676" s="24">
        <f t="shared" si="130"/>
        <v>2024</v>
      </c>
      <c r="E1676" s="24" t="str">
        <f t="shared" si="131"/>
        <v>Q3</v>
      </c>
      <c r="F1676" s="24" t="str">
        <f t="shared" si="132"/>
        <v>Jul</v>
      </c>
      <c r="G1676" s="24">
        <f t="shared" si="133"/>
        <v>7</v>
      </c>
      <c r="H1676" s="19">
        <v>1143</v>
      </c>
      <c r="I1676" s="19" t="s">
        <v>3</v>
      </c>
      <c r="J1676" s="19" t="s">
        <v>8</v>
      </c>
      <c r="K1676" s="20">
        <v>1</v>
      </c>
      <c r="L1676" s="21">
        <v>67.47</v>
      </c>
      <c r="M1676" s="22">
        <v>0.26</v>
      </c>
      <c r="N1676" s="21">
        <f t="shared" si="134"/>
        <v>49.927799999999998</v>
      </c>
      <c r="O1676" s="21">
        <v>49.93</v>
      </c>
      <c r="P1676" s="19" t="s">
        <v>2</v>
      </c>
      <c r="Q1676" s="23">
        <v>3</v>
      </c>
      <c r="R1676" s="45">
        <v>2.2000000000000002</v>
      </c>
    </row>
    <row r="1677" spans="2:18" x14ac:dyDescent="0.2">
      <c r="B1677" s="25">
        <v>1674</v>
      </c>
      <c r="C1677" s="18">
        <v>45504</v>
      </c>
      <c r="D1677" s="24">
        <f t="shared" si="130"/>
        <v>2024</v>
      </c>
      <c r="E1677" s="24" t="str">
        <f t="shared" si="131"/>
        <v>Q3</v>
      </c>
      <c r="F1677" s="24" t="str">
        <f t="shared" si="132"/>
        <v>Jul</v>
      </c>
      <c r="G1677" s="24">
        <f t="shared" si="133"/>
        <v>7</v>
      </c>
      <c r="H1677" s="19">
        <v>1423</v>
      </c>
      <c r="I1677" s="19" t="s">
        <v>10</v>
      </c>
      <c r="J1677" s="19" t="s">
        <v>1</v>
      </c>
      <c r="K1677" s="20">
        <v>7</v>
      </c>
      <c r="L1677" s="21">
        <v>444.31</v>
      </c>
      <c r="M1677" s="22">
        <v>0.26</v>
      </c>
      <c r="N1677" s="21">
        <f t="shared" si="134"/>
        <v>328.7894</v>
      </c>
      <c r="O1677" s="21">
        <v>2301.5300000000002</v>
      </c>
      <c r="P1677" s="19" t="s">
        <v>4</v>
      </c>
      <c r="Q1677" s="23">
        <v>1</v>
      </c>
      <c r="R1677" s="45">
        <v>3</v>
      </c>
    </row>
    <row r="1678" spans="2:18" x14ac:dyDescent="0.2">
      <c r="B1678" s="25">
        <v>1675</v>
      </c>
      <c r="C1678" s="18">
        <v>45505</v>
      </c>
      <c r="D1678" s="24">
        <f t="shared" si="130"/>
        <v>2024</v>
      </c>
      <c r="E1678" s="24" t="str">
        <f t="shared" si="131"/>
        <v>Q3</v>
      </c>
      <c r="F1678" s="24" t="str">
        <f t="shared" si="132"/>
        <v>Aug</v>
      </c>
      <c r="G1678" s="24">
        <f t="shared" si="133"/>
        <v>8</v>
      </c>
      <c r="H1678" s="19">
        <v>1018</v>
      </c>
      <c r="I1678" s="19" t="s">
        <v>3</v>
      </c>
      <c r="J1678" s="19" t="s">
        <v>5</v>
      </c>
      <c r="K1678" s="20">
        <v>1</v>
      </c>
      <c r="L1678" s="21">
        <v>596.92999999999995</v>
      </c>
      <c r="M1678" s="22">
        <v>0.05</v>
      </c>
      <c r="N1678" s="21">
        <f t="shared" si="134"/>
        <v>567.08349999999996</v>
      </c>
      <c r="O1678" s="21">
        <v>567.08000000000004</v>
      </c>
      <c r="P1678" s="19" t="s">
        <v>6</v>
      </c>
      <c r="Q1678" s="23">
        <v>8</v>
      </c>
      <c r="R1678" s="45">
        <v>3.1</v>
      </c>
    </row>
    <row r="1679" spans="2:18" x14ac:dyDescent="0.2">
      <c r="B1679" s="25">
        <v>1676</v>
      </c>
      <c r="C1679" s="18">
        <v>45506</v>
      </c>
      <c r="D1679" s="24">
        <f t="shared" si="130"/>
        <v>2024</v>
      </c>
      <c r="E1679" s="24" t="str">
        <f t="shared" si="131"/>
        <v>Q3</v>
      </c>
      <c r="F1679" s="24" t="str">
        <f t="shared" si="132"/>
        <v>Aug</v>
      </c>
      <c r="G1679" s="24">
        <f t="shared" si="133"/>
        <v>8</v>
      </c>
      <c r="H1679" s="19">
        <v>1017</v>
      </c>
      <c r="I1679" s="19" t="s">
        <v>3</v>
      </c>
      <c r="J1679" s="19" t="s">
        <v>9</v>
      </c>
      <c r="K1679" s="20">
        <v>1</v>
      </c>
      <c r="L1679" s="21">
        <v>494.2</v>
      </c>
      <c r="M1679" s="22">
        <v>0.06</v>
      </c>
      <c r="N1679" s="21">
        <f t="shared" si="134"/>
        <v>464.548</v>
      </c>
      <c r="O1679" s="21">
        <v>464.55</v>
      </c>
      <c r="P1679" s="19" t="s">
        <v>2</v>
      </c>
      <c r="Q1679" s="23">
        <v>8</v>
      </c>
      <c r="R1679" s="45">
        <v>2.2999999999999998</v>
      </c>
    </row>
    <row r="1680" spans="2:18" x14ac:dyDescent="0.2">
      <c r="B1680" s="25">
        <v>1677</v>
      </c>
      <c r="C1680" s="18">
        <v>45507</v>
      </c>
      <c r="D1680" s="24">
        <f t="shared" si="130"/>
        <v>2024</v>
      </c>
      <c r="E1680" s="24" t="str">
        <f t="shared" si="131"/>
        <v>Q3</v>
      </c>
      <c r="F1680" s="24" t="str">
        <f t="shared" si="132"/>
        <v>Aug</v>
      </c>
      <c r="G1680" s="24">
        <f t="shared" si="133"/>
        <v>8</v>
      </c>
      <c r="H1680" s="19">
        <v>1768</v>
      </c>
      <c r="I1680" s="19" t="s">
        <v>0</v>
      </c>
      <c r="J1680" s="19" t="s">
        <v>9</v>
      </c>
      <c r="K1680" s="20">
        <v>6</v>
      </c>
      <c r="L1680" s="21">
        <v>340.09</v>
      </c>
      <c r="M1680" s="22">
        <v>0.02</v>
      </c>
      <c r="N1680" s="21">
        <f t="shared" si="134"/>
        <v>333.28819999999996</v>
      </c>
      <c r="O1680" s="21">
        <v>1999.73</v>
      </c>
      <c r="P1680" s="19" t="s">
        <v>6</v>
      </c>
      <c r="Q1680" s="23">
        <v>9</v>
      </c>
      <c r="R1680" s="45">
        <v>3.2</v>
      </c>
    </row>
    <row r="1681" spans="2:18" x14ac:dyDescent="0.2">
      <c r="B1681" s="25">
        <v>1678</v>
      </c>
      <c r="C1681" s="18">
        <v>45508</v>
      </c>
      <c r="D1681" s="24">
        <f t="shared" si="130"/>
        <v>2024</v>
      </c>
      <c r="E1681" s="24" t="str">
        <f t="shared" si="131"/>
        <v>Q3</v>
      </c>
      <c r="F1681" s="24" t="str">
        <f t="shared" si="132"/>
        <v>Aug</v>
      </c>
      <c r="G1681" s="24">
        <f t="shared" si="133"/>
        <v>8</v>
      </c>
      <c r="H1681" s="19">
        <v>1589</v>
      </c>
      <c r="I1681" s="19" t="s">
        <v>7</v>
      </c>
      <c r="J1681" s="19" t="s">
        <v>1</v>
      </c>
      <c r="K1681" s="20">
        <v>7</v>
      </c>
      <c r="L1681" s="21">
        <v>298.57</v>
      </c>
      <c r="M1681" s="22">
        <v>0.11</v>
      </c>
      <c r="N1681" s="21">
        <f t="shared" si="134"/>
        <v>265.72730000000001</v>
      </c>
      <c r="O1681" s="21">
        <v>1860.09</v>
      </c>
      <c r="P1681" s="19" t="s">
        <v>4</v>
      </c>
      <c r="Q1681" s="23">
        <v>6</v>
      </c>
      <c r="R1681" s="45">
        <v>1.4</v>
      </c>
    </row>
    <row r="1682" spans="2:18" x14ac:dyDescent="0.2">
      <c r="B1682" s="25">
        <v>1679</v>
      </c>
      <c r="C1682" s="18">
        <v>45509</v>
      </c>
      <c r="D1682" s="24">
        <f t="shared" si="130"/>
        <v>2024</v>
      </c>
      <c r="E1682" s="24" t="str">
        <f t="shared" si="131"/>
        <v>Q3</v>
      </c>
      <c r="F1682" s="24" t="str">
        <f t="shared" si="132"/>
        <v>Aug</v>
      </c>
      <c r="G1682" s="24">
        <f t="shared" si="133"/>
        <v>8</v>
      </c>
      <c r="H1682" s="19">
        <v>1370</v>
      </c>
      <c r="I1682" s="19" t="s">
        <v>7</v>
      </c>
      <c r="J1682" s="19" t="s">
        <v>5</v>
      </c>
      <c r="K1682" s="20">
        <v>3</v>
      </c>
      <c r="L1682" s="21">
        <v>503.49</v>
      </c>
      <c r="M1682" s="22">
        <v>0.17</v>
      </c>
      <c r="N1682" s="21">
        <f t="shared" si="134"/>
        <v>417.89670000000001</v>
      </c>
      <c r="O1682" s="21">
        <v>1253.69</v>
      </c>
      <c r="P1682" s="19" t="s">
        <v>6</v>
      </c>
      <c r="Q1682" s="23">
        <v>2</v>
      </c>
      <c r="R1682" s="45">
        <v>1.9</v>
      </c>
    </row>
    <row r="1683" spans="2:18" x14ac:dyDescent="0.2">
      <c r="B1683" s="25">
        <v>1680</v>
      </c>
      <c r="C1683" s="18">
        <v>45510</v>
      </c>
      <c r="D1683" s="24">
        <f t="shared" si="130"/>
        <v>2024</v>
      </c>
      <c r="E1683" s="24" t="str">
        <f t="shared" si="131"/>
        <v>Q3</v>
      </c>
      <c r="F1683" s="24" t="str">
        <f t="shared" si="132"/>
        <v>Aug</v>
      </c>
      <c r="G1683" s="24">
        <f t="shared" si="133"/>
        <v>8</v>
      </c>
      <c r="H1683" s="19">
        <v>1174</v>
      </c>
      <c r="I1683" s="19" t="s">
        <v>3</v>
      </c>
      <c r="J1683" s="19" t="s">
        <v>8</v>
      </c>
      <c r="K1683" s="20">
        <v>4</v>
      </c>
      <c r="L1683" s="21">
        <v>562.54</v>
      </c>
      <c r="M1683" s="22">
        <v>0.35</v>
      </c>
      <c r="N1683" s="21">
        <f t="shared" si="134"/>
        <v>365.65099999999995</v>
      </c>
      <c r="O1683" s="21">
        <v>1462.6</v>
      </c>
      <c r="P1683" s="19" t="s">
        <v>6</v>
      </c>
      <c r="Q1683" s="23">
        <v>1</v>
      </c>
      <c r="R1683" s="45">
        <v>4</v>
      </c>
    </row>
    <row r="1684" spans="2:18" x14ac:dyDescent="0.2">
      <c r="B1684" s="25">
        <v>1681</v>
      </c>
      <c r="C1684" s="18">
        <v>45511</v>
      </c>
      <c r="D1684" s="24">
        <f t="shared" si="130"/>
        <v>2024</v>
      </c>
      <c r="E1684" s="24" t="str">
        <f t="shared" si="131"/>
        <v>Q3</v>
      </c>
      <c r="F1684" s="24" t="str">
        <f t="shared" si="132"/>
        <v>Aug</v>
      </c>
      <c r="G1684" s="24">
        <f t="shared" si="133"/>
        <v>8</v>
      </c>
      <c r="H1684" s="19">
        <v>1193</v>
      </c>
      <c r="I1684" s="19" t="s">
        <v>0</v>
      </c>
      <c r="J1684" s="19" t="s">
        <v>1</v>
      </c>
      <c r="K1684" s="20">
        <v>7</v>
      </c>
      <c r="L1684" s="21">
        <v>593.69000000000005</v>
      </c>
      <c r="M1684" s="22">
        <v>0.15</v>
      </c>
      <c r="N1684" s="21">
        <f t="shared" si="134"/>
        <v>504.63650000000007</v>
      </c>
      <c r="O1684" s="21">
        <v>3532.46</v>
      </c>
      <c r="P1684" s="19" t="s">
        <v>6</v>
      </c>
      <c r="Q1684" s="23">
        <v>8</v>
      </c>
      <c r="R1684" s="45">
        <v>1.7</v>
      </c>
    </row>
    <row r="1685" spans="2:18" x14ac:dyDescent="0.2">
      <c r="B1685" s="25">
        <v>1682</v>
      </c>
      <c r="C1685" s="18">
        <v>45512</v>
      </c>
      <c r="D1685" s="24">
        <f t="shared" si="130"/>
        <v>2024</v>
      </c>
      <c r="E1685" s="24" t="str">
        <f t="shared" si="131"/>
        <v>Q3</v>
      </c>
      <c r="F1685" s="24" t="str">
        <f t="shared" si="132"/>
        <v>Aug</v>
      </c>
      <c r="G1685" s="24">
        <f t="shared" si="133"/>
        <v>8</v>
      </c>
      <c r="H1685" s="19">
        <v>1501</v>
      </c>
      <c r="I1685" s="19" t="s">
        <v>3</v>
      </c>
      <c r="J1685" s="19" t="s">
        <v>5</v>
      </c>
      <c r="K1685" s="20">
        <v>1</v>
      </c>
      <c r="L1685" s="21">
        <v>246.98</v>
      </c>
      <c r="M1685" s="22">
        <v>0.25</v>
      </c>
      <c r="N1685" s="21">
        <f t="shared" si="134"/>
        <v>185.23499999999999</v>
      </c>
      <c r="O1685" s="21">
        <v>185.24</v>
      </c>
      <c r="P1685" s="19" t="s">
        <v>6</v>
      </c>
      <c r="Q1685" s="23">
        <v>10</v>
      </c>
      <c r="R1685" s="45">
        <v>1.6</v>
      </c>
    </row>
    <row r="1686" spans="2:18" x14ac:dyDescent="0.2">
      <c r="B1686" s="25">
        <v>1683</v>
      </c>
      <c r="C1686" s="18">
        <v>45513</v>
      </c>
      <c r="D1686" s="24">
        <f t="shared" si="130"/>
        <v>2024</v>
      </c>
      <c r="E1686" s="24" t="str">
        <f t="shared" si="131"/>
        <v>Q3</v>
      </c>
      <c r="F1686" s="24" t="str">
        <f t="shared" si="132"/>
        <v>Aug</v>
      </c>
      <c r="G1686" s="24">
        <f t="shared" si="133"/>
        <v>8</v>
      </c>
      <c r="H1686" s="19">
        <v>1987</v>
      </c>
      <c r="I1686" s="19" t="s">
        <v>7</v>
      </c>
      <c r="J1686" s="19" t="s">
        <v>9</v>
      </c>
      <c r="K1686" s="20">
        <v>7</v>
      </c>
      <c r="L1686" s="21">
        <v>594.69000000000005</v>
      </c>
      <c r="M1686" s="22">
        <v>0.24</v>
      </c>
      <c r="N1686" s="21">
        <f t="shared" si="134"/>
        <v>451.96440000000007</v>
      </c>
      <c r="O1686" s="21">
        <v>3163.75</v>
      </c>
      <c r="P1686" s="19" t="s">
        <v>4</v>
      </c>
      <c r="Q1686" s="23">
        <v>4</v>
      </c>
      <c r="R1686" s="45">
        <v>2.1</v>
      </c>
    </row>
    <row r="1687" spans="2:18" x14ac:dyDescent="0.2">
      <c r="B1687" s="25">
        <v>1684</v>
      </c>
      <c r="C1687" s="18">
        <v>45514</v>
      </c>
      <c r="D1687" s="24">
        <f t="shared" si="130"/>
        <v>2024</v>
      </c>
      <c r="E1687" s="24" t="str">
        <f t="shared" si="131"/>
        <v>Q3</v>
      </c>
      <c r="F1687" s="24" t="str">
        <f t="shared" si="132"/>
        <v>Aug</v>
      </c>
      <c r="G1687" s="24">
        <f t="shared" si="133"/>
        <v>8</v>
      </c>
      <c r="H1687" s="19">
        <v>1112</v>
      </c>
      <c r="I1687" s="19" t="s">
        <v>7</v>
      </c>
      <c r="J1687" s="19" t="s">
        <v>8</v>
      </c>
      <c r="K1687" s="20">
        <v>3</v>
      </c>
      <c r="L1687" s="21">
        <v>106.22</v>
      </c>
      <c r="M1687" s="22">
        <v>7.0000000000000007E-2</v>
      </c>
      <c r="N1687" s="21">
        <f t="shared" si="134"/>
        <v>98.784599999999998</v>
      </c>
      <c r="O1687" s="21">
        <v>296.35000000000002</v>
      </c>
      <c r="P1687" s="19" t="s">
        <v>6</v>
      </c>
      <c r="Q1687" s="23">
        <v>11</v>
      </c>
      <c r="R1687" s="45">
        <v>2.5</v>
      </c>
    </row>
    <row r="1688" spans="2:18" x14ac:dyDescent="0.2">
      <c r="B1688" s="25">
        <v>1685</v>
      </c>
      <c r="C1688" s="18">
        <v>45515</v>
      </c>
      <c r="D1688" s="24">
        <f t="shared" si="130"/>
        <v>2024</v>
      </c>
      <c r="E1688" s="24" t="str">
        <f t="shared" si="131"/>
        <v>Q3</v>
      </c>
      <c r="F1688" s="24" t="str">
        <f t="shared" si="132"/>
        <v>Aug</v>
      </c>
      <c r="G1688" s="24">
        <f t="shared" si="133"/>
        <v>8</v>
      </c>
      <c r="H1688" s="19">
        <v>1113</v>
      </c>
      <c r="I1688" s="19" t="s">
        <v>3</v>
      </c>
      <c r="J1688" s="19" t="s">
        <v>5</v>
      </c>
      <c r="K1688" s="20">
        <v>5</v>
      </c>
      <c r="L1688" s="21">
        <v>163.33000000000001</v>
      </c>
      <c r="M1688" s="22">
        <v>0.02</v>
      </c>
      <c r="N1688" s="21">
        <f t="shared" si="134"/>
        <v>160.0634</v>
      </c>
      <c r="O1688" s="21">
        <v>800.32</v>
      </c>
      <c r="P1688" s="19" t="s">
        <v>6</v>
      </c>
      <c r="Q1688" s="23">
        <v>11</v>
      </c>
      <c r="R1688" s="45">
        <v>2.2999999999999998</v>
      </c>
    </row>
    <row r="1689" spans="2:18" x14ac:dyDescent="0.2">
      <c r="B1689" s="25">
        <v>1686</v>
      </c>
      <c r="C1689" s="18">
        <v>45516</v>
      </c>
      <c r="D1689" s="24">
        <f t="shared" si="130"/>
        <v>2024</v>
      </c>
      <c r="E1689" s="24" t="str">
        <f t="shared" si="131"/>
        <v>Q3</v>
      </c>
      <c r="F1689" s="24" t="str">
        <f t="shared" si="132"/>
        <v>Aug</v>
      </c>
      <c r="G1689" s="24">
        <f t="shared" si="133"/>
        <v>8</v>
      </c>
      <c r="H1689" s="19">
        <v>1221</v>
      </c>
      <c r="I1689" s="19" t="s">
        <v>7</v>
      </c>
      <c r="J1689" s="19" t="s">
        <v>8</v>
      </c>
      <c r="K1689" s="20">
        <v>2</v>
      </c>
      <c r="L1689" s="21">
        <v>67.069999999999993</v>
      </c>
      <c r="M1689" s="22">
        <v>0.19</v>
      </c>
      <c r="N1689" s="21">
        <f t="shared" si="134"/>
        <v>54.326699999999995</v>
      </c>
      <c r="O1689" s="21">
        <v>108.65</v>
      </c>
      <c r="P1689" s="19" t="s">
        <v>6</v>
      </c>
      <c r="Q1689" s="23">
        <v>7</v>
      </c>
      <c r="R1689" s="45">
        <v>2.5</v>
      </c>
    </row>
    <row r="1690" spans="2:18" x14ac:dyDescent="0.2">
      <c r="B1690" s="25">
        <v>1687</v>
      </c>
      <c r="C1690" s="18">
        <v>45517</v>
      </c>
      <c r="D1690" s="24">
        <f t="shared" si="130"/>
        <v>2024</v>
      </c>
      <c r="E1690" s="24" t="str">
        <f t="shared" si="131"/>
        <v>Q3</v>
      </c>
      <c r="F1690" s="24" t="str">
        <f t="shared" si="132"/>
        <v>Aug</v>
      </c>
      <c r="G1690" s="24">
        <f t="shared" si="133"/>
        <v>8</v>
      </c>
      <c r="H1690" s="19">
        <v>1677</v>
      </c>
      <c r="I1690" s="19" t="s">
        <v>10</v>
      </c>
      <c r="J1690" s="19" t="s">
        <v>5</v>
      </c>
      <c r="K1690" s="20">
        <v>4</v>
      </c>
      <c r="L1690" s="21">
        <v>173.97</v>
      </c>
      <c r="M1690" s="22">
        <v>0.25</v>
      </c>
      <c r="N1690" s="21">
        <f t="shared" si="134"/>
        <v>130.47749999999999</v>
      </c>
      <c r="O1690" s="21">
        <v>521.91</v>
      </c>
      <c r="P1690" s="19" t="s">
        <v>2</v>
      </c>
      <c r="Q1690" s="23">
        <v>10</v>
      </c>
      <c r="R1690" s="45">
        <v>1.6</v>
      </c>
    </row>
    <row r="1691" spans="2:18" x14ac:dyDescent="0.2">
      <c r="B1691" s="25">
        <v>1688</v>
      </c>
      <c r="C1691" s="18">
        <v>45518</v>
      </c>
      <c r="D1691" s="24">
        <f t="shared" si="130"/>
        <v>2024</v>
      </c>
      <c r="E1691" s="24" t="str">
        <f t="shared" si="131"/>
        <v>Q3</v>
      </c>
      <c r="F1691" s="24" t="str">
        <f t="shared" si="132"/>
        <v>Aug</v>
      </c>
      <c r="G1691" s="24">
        <f t="shared" si="133"/>
        <v>8</v>
      </c>
      <c r="H1691" s="19">
        <v>1946</v>
      </c>
      <c r="I1691" s="19" t="s">
        <v>0</v>
      </c>
      <c r="J1691" s="19" t="s">
        <v>5</v>
      </c>
      <c r="K1691" s="20">
        <v>4</v>
      </c>
      <c r="L1691" s="21">
        <v>464.24</v>
      </c>
      <c r="M1691" s="22">
        <v>0.35</v>
      </c>
      <c r="N1691" s="21">
        <f t="shared" si="134"/>
        <v>301.75600000000003</v>
      </c>
      <c r="O1691" s="21">
        <v>1207.02</v>
      </c>
      <c r="P1691" s="19" t="s">
        <v>2</v>
      </c>
      <c r="Q1691" s="23">
        <v>4</v>
      </c>
      <c r="R1691" s="45">
        <v>1.7</v>
      </c>
    </row>
    <row r="1692" spans="2:18" x14ac:dyDescent="0.2">
      <c r="B1692" s="25">
        <v>1689</v>
      </c>
      <c r="C1692" s="18">
        <v>45519</v>
      </c>
      <c r="D1692" s="24">
        <f t="shared" si="130"/>
        <v>2024</v>
      </c>
      <c r="E1692" s="24" t="str">
        <f t="shared" si="131"/>
        <v>Q3</v>
      </c>
      <c r="F1692" s="24" t="str">
        <f t="shared" si="132"/>
        <v>Aug</v>
      </c>
      <c r="G1692" s="24">
        <f t="shared" si="133"/>
        <v>8</v>
      </c>
      <c r="H1692" s="19">
        <v>1830</v>
      </c>
      <c r="I1692" s="19" t="s">
        <v>3</v>
      </c>
      <c r="J1692" s="19" t="s">
        <v>5</v>
      </c>
      <c r="K1692" s="20">
        <v>6</v>
      </c>
      <c r="L1692" s="21">
        <v>513.96</v>
      </c>
      <c r="M1692" s="22">
        <v>0.13</v>
      </c>
      <c r="N1692" s="21">
        <f t="shared" si="134"/>
        <v>447.14520000000005</v>
      </c>
      <c r="O1692" s="21">
        <v>2682.87</v>
      </c>
      <c r="P1692" s="19" t="s">
        <v>6</v>
      </c>
      <c r="Q1692" s="23">
        <v>1</v>
      </c>
      <c r="R1692" s="45">
        <v>1.9</v>
      </c>
    </row>
    <row r="1693" spans="2:18" x14ac:dyDescent="0.2">
      <c r="B1693" s="25">
        <v>1690</v>
      </c>
      <c r="C1693" s="18">
        <v>45520</v>
      </c>
      <c r="D1693" s="24">
        <f t="shared" si="130"/>
        <v>2024</v>
      </c>
      <c r="E1693" s="24" t="str">
        <f t="shared" si="131"/>
        <v>Q3</v>
      </c>
      <c r="F1693" s="24" t="str">
        <f t="shared" si="132"/>
        <v>Aug</v>
      </c>
      <c r="G1693" s="24">
        <f t="shared" si="133"/>
        <v>8</v>
      </c>
      <c r="H1693" s="19">
        <v>1643</v>
      </c>
      <c r="I1693" s="19" t="s">
        <v>3</v>
      </c>
      <c r="J1693" s="19" t="s">
        <v>5</v>
      </c>
      <c r="K1693" s="20">
        <v>5</v>
      </c>
      <c r="L1693" s="21">
        <v>470.65</v>
      </c>
      <c r="M1693" s="22">
        <v>0.31</v>
      </c>
      <c r="N1693" s="21">
        <f t="shared" si="134"/>
        <v>324.74849999999998</v>
      </c>
      <c r="O1693" s="21">
        <v>1623.74</v>
      </c>
      <c r="P1693" s="19" t="s">
        <v>6</v>
      </c>
      <c r="Q1693" s="23">
        <v>8</v>
      </c>
      <c r="R1693" s="45">
        <v>2.6</v>
      </c>
    </row>
    <row r="1694" spans="2:18" x14ac:dyDescent="0.2">
      <c r="B1694" s="25">
        <v>1691</v>
      </c>
      <c r="C1694" s="18">
        <v>45521</v>
      </c>
      <c r="D1694" s="24">
        <f t="shared" si="130"/>
        <v>2024</v>
      </c>
      <c r="E1694" s="24" t="str">
        <f t="shared" si="131"/>
        <v>Q3</v>
      </c>
      <c r="F1694" s="24" t="str">
        <f t="shared" si="132"/>
        <v>Aug</v>
      </c>
      <c r="G1694" s="24">
        <f t="shared" si="133"/>
        <v>8</v>
      </c>
      <c r="H1694" s="19">
        <v>1896</v>
      </c>
      <c r="I1694" s="19" t="s">
        <v>3</v>
      </c>
      <c r="J1694" s="19" t="s">
        <v>8</v>
      </c>
      <c r="K1694" s="20">
        <v>4</v>
      </c>
      <c r="L1694" s="21">
        <v>384.17</v>
      </c>
      <c r="M1694" s="22">
        <v>0.13</v>
      </c>
      <c r="N1694" s="21">
        <f t="shared" si="134"/>
        <v>334.22790000000003</v>
      </c>
      <c r="O1694" s="21">
        <v>1336.91</v>
      </c>
      <c r="P1694" s="19" t="s">
        <v>6</v>
      </c>
      <c r="Q1694" s="23">
        <v>10</v>
      </c>
      <c r="R1694" s="45">
        <v>2.2999999999999998</v>
      </c>
    </row>
    <row r="1695" spans="2:18" x14ac:dyDescent="0.2">
      <c r="B1695" s="25">
        <v>1692</v>
      </c>
      <c r="C1695" s="18">
        <v>45522</v>
      </c>
      <c r="D1695" s="24">
        <f t="shared" si="130"/>
        <v>2024</v>
      </c>
      <c r="E1695" s="24" t="str">
        <f t="shared" si="131"/>
        <v>Q3</v>
      </c>
      <c r="F1695" s="24" t="str">
        <f t="shared" si="132"/>
        <v>Aug</v>
      </c>
      <c r="G1695" s="24">
        <f t="shared" si="133"/>
        <v>8</v>
      </c>
      <c r="H1695" s="19">
        <v>1263</v>
      </c>
      <c r="I1695" s="19" t="s">
        <v>7</v>
      </c>
      <c r="J1695" s="19" t="s">
        <v>1</v>
      </c>
      <c r="K1695" s="20">
        <v>6</v>
      </c>
      <c r="L1695" s="21">
        <v>315.67</v>
      </c>
      <c r="M1695" s="22">
        <v>0.24</v>
      </c>
      <c r="N1695" s="21">
        <f t="shared" si="134"/>
        <v>239.9092</v>
      </c>
      <c r="O1695" s="21">
        <v>1439.46</v>
      </c>
      <c r="P1695" s="19" t="s">
        <v>6</v>
      </c>
      <c r="Q1695" s="23">
        <v>9</v>
      </c>
      <c r="R1695" s="45">
        <v>4.2</v>
      </c>
    </row>
    <row r="1696" spans="2:18" x14ac:dyDescent="0.2">
      <c r="B1696" s="25">
        <v>1693</v>
      </c>
      <c r="C1696" s="18">
        <v>45523</v>
      </c>
      <c r="D1696" s="24">
        <f t="shared" si="130"/>
        <v>2024</v>
      </c>
      <c r="E1696" s="24" t="str">
        <f t="shared" si="131"/>
        <v>Q3</v>
      </c>
      <c r="F1696" s="24" t="str">
        <f t="shared" si="132"/>
        <v>Aug</v>
      </c>
      <c r="G1696" s="24">
        <f t="shared" si="133"/>
        <v>8</v>
      </c>
      <c r="H1696" s="19">
        <v>1924</v>
      </c>
      <c r="I1696" s="19" t="s">
        <v>0</v>
      </c>
      <c r="J1696" s="19" t="s">
        <v>8</v>
      </c>
      <c r="K1696" s="20">
        <v>6</v>
      </c>
      <c r="L1696" s="21">
        <v>429.59</v>
      </c>
      <c r="M1696" s="22">
        <v>0.21</v>
      </c>
      <c r="N1696" s="21">
        <f t="shared" si="134"/>
        <v>339.37609999999995</v>
      </c>
      <c r="O1696" s="21">
        <v>2036.26</v>
      </c>
      <c r="P1696" s="19" t="s">
        <v>2</v>
      </c>
      <c r="Q1696" s="23">
        <v>10</v>
      </c>
      <c r="R1696" s="45">
        <v>3.1</v>
      </c>
    </row>
    <row r="1697" spans="2:18" x14ac:dyDescent="0.2">
      <c r="B1697" s="25">
        <v>1694</v>
      </c>
      <c r="C1697" s="18">
        <v>45524</v>
      </c>
      <c r="D1697" s="24">
        <f t="shared" si="130"/>
        <v>2024</v>
      </c>
      <c r="E1697" s="24" t="str">
        <f t="shared" si="131"/>
        <v>Q3</v>
      </c>
      <c r="F1697" s="24" t="str">
        <f t="shared" si="132"/>
        <v>Aug</v>
      </c>
      <c r="G1697" s="24">
        <f t="shared" si="133"/>
        <v>8</v>
      </c>
      <c r="H1697" s="19">
        <v>1054</v>
      </c>
      <c r="I1697" s="19" t="s">
        <v>3</v>
      </c>
      <c r="J1697" s="19" t="s">
        <v>5</v>
      </c>
      <c r="K1697" s="20">
        <v>6</v>
      </c>
      <c r="L1697" s="21">
        <v>243.64</v>
      </c>
      <c r="M1697" s="22">
        <v>0.02</v>
      </c>
      <c r="N1697" s="21">
        <f t="shared" si="134"/>
        <v>238.76719999999997</v>
      </c>
      <c r="O1697" s="21">
        <v>1432.6</v>
      </c>
      <c r="P1697" s="19" t="s">
        <v>6</v>
      </c>
      <c r="Q1697" s="23">
        <v>9</v>
      </c>
      <c r="R1697" s="45">
        <v>3.3</v>
      </c>
    </row>
    <row r="1698" spans="2:18" x14ac:dyDescent="0.2">
      <c r="B1698" s="25">
        <v>1695</v>
      </c>
      <c r="C1698" s="18">
        <v>45525</v>
      </c>
      <c r="D1698" s="24">
        <f t="shared" si="130"/>
        <v>2024</v>
      </c>
      <c r="E1698" s="24" t="str">
        <f t="shared" si="131"/>
        <v>Q3</v>
      </c>
      <c r="F1698" s="24" t="str">
        <f t="shared" si="132"/>
        <v>Aug</v>
      </c>
      <c r="G1698" s="24">
        <f t="shared" si="133"/>
        <v>8</v>
      </c>
      <c r="H1698" s="19">
        <v>1870</v>
      </c>
      <c r="I1698" s="19" t="s">
        <v>3</v>
      </c>
      <c r="J1698" s="19" t="s">
        <v>8</v>
      </c>
      <c r="K1698" s="20">
        <v>4</v>
      </c>
      <c r="L1698" s="21">
        <v>507.17</v>
      </c>
      <c r="M1698" s="22">
        <v>0.03</v>
      </c>
      <c r="N1698" s="21">
        <f t="shared" si="134"/>
        <v>491.95490000000001</v>
      </c>
      <c r="O1698" s="21">
        <v>1967.82</v>
      </c>
      <c r="P1698" s="19" t="s">
        <v>4</v>
      </c>
      <c r="Q1698" s="23">
        <v>9</v>
      </c>
      <c r="R1698" s="45">
        <v>3.2</v>
      </c>
    </row>
    <row r="1699" spans="2:18" x14ac:dyDescent="0.2">
      <c r="B1699" s="25">
        <v>1696</v>
      </c>
      <c r="C1699" s="18">
        <v>45526</v>
      </c>
      <c r="D1699" s="24">
        <f t="shared" si="130"/>
        <v>2024</v>
      </c>
      <c r="E1699" s="24" t="str">
        <f t="shared" si="131"/>
        <v>Q3</v>
      </c>
      <c r="F1699" s="24" t="str">
        <f t="shared" si="132"/>
        <v>Aug</v>
      </c>
      <c r="G1699" s="24">
        <f t="shared" si="133"/>
        <v>8</v>
      </c>
      <c r="H1699" s="19">
        <v>1642</v>
      </c>
      <c r="I1699" s="19" t="s">
        <v>10</v>
      </c>
      <c r="J1699" s="19" t="s">
        <v>8</v>
      </c>
      <c r="K1699" s="20">
        <v>4</v>
      </c>
      <c r="L1699" s="21">
        <v>411.16</v>
      </c>
      <c r="M1699" s="22">
        <v>0.01</v>
      </c>
      <c r="N1699" s="21">
        <f t="shared" si="134"/>
        <v>407.04840000000002</v>
      </c>
      <c r="O1699" s="21">
        <v>1628.19</v>
      </c>
      <c r="P1699" s="19" t="s">
        <v>6</v>
      </c>
      <c r="Q1699" s="23">
        <v>11</v>
      </c>
      <c r="R1699" s="45">
        <v>2.6</v>
      </c>
    </row>
    <row r="1700" spans="2:18" x14ac:dyDescent="0.2">
      <c r="B1700" s="25">
        <v>1697</v>
      </c>
      <c r="C1700" s="18">
        <v>45527</v>
      </c>
      <c r="D1700" s="24">
        <f t="shared" si="130"/>
        <v>2024</v>
      </c>
      <c r="E1700" s="24" t="str">
        <f t="shared" si="131"/>
        <v>Q3</v>
      </c>
      <c r="F1700" s="24" t="str">
        <f t="shared" si="132"/>
        <v>Aug</v>
      </c>
      <c r="G1700" s="24">
        <f t="shared" si="133"/>
        <v>8</v>
      </c>
      <c r="H1700" s="19">
        <v>1799</v>
      </c>
      <c r="I1700" s="19" t="s">
        <v>3</v>
      </c>
      <c r="J1700" s="19" t="s">
        <v>8</v>
      </c>
      <c r="K1700" s="20">
        <v>4</v>
      </c>
      <c r="L1700" s="21">
        <v>423.22</v>
      </c>
      <c r="M1700" s="22">
        <v>0.13</v>
      </c>
      <c r="N1700" s="21">
        <f t="shared" si="134"/>
        <v>368.20140000000004</v>
      </c>
      <c r="O1700" s="21">
        <v>1472.81</v>
      </c>
      <c r="P1700" s="19" t="s">
        <v>6</v>
      </c>
      <c r="Q1700" s="23">
        <v>11</v>
      </c>
      <c r="R1700" s="45">
        <v>4.9000000000000004</v>
      </c>
    </row>
    <row r="1701" spans="2:18" x14ac:dyDescent="0.2">
      <c r="B1701" s="25">
        <v>1698</v>
      </c>
      <c r="C1701" s="18">
        <v>45528</v>
      </c>
      <c r="D1701" s="24">
        <f t="shared" si="130"/>
        <v>2024</v>
      </c>
      <c r="E1701" s="24" t="str">
        <f t="shared" si="131"/>
        <v>Q3</v>
      </c>
      <c r="F1701" s="24" t="str">
        <f t="shared" si="132"/>
        <v>Aug</v>
      </c>
      <c r="G1701" s="24">
        <f t="shared" si="133"/>
        <v>8</v>
      </c>
      <c r="H1701" s="19">
        <v>1777</v>
      </c>
      <c r="I1701" s="19" t="s">
        <v>3</v>
      </c>
      <c r="J1701" s="19" t="s">
        <v>5</v>
      </c>
      <c r="K1701" s="20">
        <v>3</v>
      </c>
      <c r="L1701" s="21">
        <v>328.52</v>
      </c>
      <c r="M1701" s="22">
        <v>0.26</v>
      </c>
      <c r="N1701" s="21">
        <f t="shared" si="134"/>
        <v>243.10479999999998</v>
      </c>
      <c r="O1701" s="21">
        <v>729.31</v>
      </c>
      <c r="P1701" s="19" t="s">
        <v>6</v>
      </c>
      <c r="Q1701" s="23">
        <v>4</v>
      </c>
      <c r="R1701" s="45">
        <v>1.1000000000000001</v>
      </c>
    </row>
    <row r="1702" spans="2:18" x14ac:dyDescent="0.2">
      <c r="B1702" s="25">
        <v>1699</v>
      </c>
      <c r="C1702" s="18">
        <v>45529</v>
      </c>
      <c r="D1702" s="24">
        <f t="shared" si="130"/>
        <v>2024</v>
      </c>
      <c r="E1702" s="24" t="str">
        <f t="shared" si="131"/>
        <v>Q3</v>
      </c>
      <c r="F1702" s="24" t="str">
        <f t="shared" si="132"/>
        <v>Aug</v>
      </c>
      <c r="G1702" s="24">
        <f t="shared" si="133"/>
        <v>8</v>
      </c>
      <c r="H1702" s="19">
        <v>1457</v>
      </c>
      <c r="I1702" s="19" t="s">
        <v>7</v>
      </c>
      <c r="J1702" s="19" t="s">
        <v>8</v>
      </c>
      <c r="K1702" s="20">
        <v>6</v>
      </c>
      <c r="L1702" s="21">
        <v>532.86</v>
      </c>
      <c r="M1702" s="22">
        <v>0.06</v>
      </c>
      <c r="N1702" s="21">
        <f t="shared" si="134"/>
        <v>500.88839999999999</v>
      </c>
      <c r="O1702" s="21">
        <v>3005.33</v>
      </c>
      <c r="P1702" s="19" t="s">
        <v>6</v>
      </c>
      <c r="Q1702" s="23">
        <v>9</v>
      </c>
      <c r="R1702" s="45">
        <v>1.9</v>
      </c>
    </row>
    <row r="1703" spans="2:18" x14ac:dyDescent="0.2">
      <c r="B1703" s="25">
        <v>1700</v>
      </c>
      <c r="C1703" s="18">
        <v>45530</v>
      </c>
      <c r="D1703" s="24">
        <f t="shared" si="130"/>
        <v>2024</v>
      </c>
      <c r="E1703" s="24" t="str">
        <f t="shared" si="131"/>
        <v>Q3</v>
      </c>
      <c r="F1703" s="24" t="str">
        <f t="shared" si="132"/>
        <v>Aug</v>
      </c>
      <c r="G1703" s="24">
        <f t="shared" si="133"/>
        <v>8</v>
      </c>
      <c r="H1703" s="19">
        <v>1978</v>
      </c>
      <c r="I1703" s="19" t="s">
        <v>10</v>
      </c>
      <c r="J1703" s="19" t="s">
        <v>9</v>
      </c>
      <c r="K1703" s="20">
        <v>3</v>
      </c>
      <c r="L1703" s="21">
        <v>162.43</v>
      </c>
      <c r="M1703" s="22">
        <v>0.21</v>
      </c>
      <c r="N1703" s="21">
        <f t="shared" si="134"/>
        <v>128.31970000000001</v>
      </c>
      <c r="O1703" s="21">
        <v>384.96</v>
      </c>
      <c r="P1703" s="19" t="s">
        <v>4</v>
      </c>
      <c r="Q1703" s="23">
        <v>11</v>
      </c>
      <c r="R1703" s="45">
        <v>2.1</v>
      </c>
    </row>
    <row r="1704" spans="2:18" x14ac:dyDescent="0.2">
      <c r="B1704" s="25">
        <v>1701</v>
      </c>
      <c r="C1704" s="18">
        <v>45531</v>
      </c>
      <c r="D1704" s="24">
        <f t="shared" si="130"/>
        <v>2024</v>
      </c>
      <c r="E1704" s="24" t="str">
        <f t="shared" si="131"/>
        <v>Q3</v>
      </c>
      <c r="F1704" s="24" t="str">
        <f t="shared" si="132"/>
        <v>Aug</v>
      </c>
      <c r="G1704" s="24">
        <f t="shared" si="133"/>
        <v>8</v>
      </c>
      <c r="H1704" s="19">
        <v>1877</v>
      </c>
      <c r="I1704" s="19" t="s">
        <v>0</v>
      </c>
      <c r="J1704" s="19" t="s">
        <v>5</v>
      </c>
      <c r="K1704" s="20">
        <v>2</v>
      </c>
      <c r="L1704" s="21">
        <v>237.97</v>
      </c>
      <c r="M1704" s="22">
        <v>0.1</v>
      </c>
      <c r="N1704" s="21">
        <f t="shared" si="134"/>
        <v>214.173</v>
      </c>
      <c r="O1704" s="21">
        <v>428.35</v>
      </c>
      <c r="P1704" s="19" t="s">
        <v>4</v>
      </c>
      <c r="Q1704" s="23">
        <v>4</v>
      </c>
      <c r="R1704" s="45">
        <v>4.5</v>
      </c>
    </row>
    <row r="1705" spans="2:18" x14ac:dyDescent="0.2">
      <c r="B1705" s="25">
        <v>1702</v>
      </c>
      <c r="C1705" s="18">
        <v>45532</v>
      </c>
      <c r="D1705" s="24">
        <f t="shared" si="130"/>
        <v>2024</v>
      </c>
      <c r="E1705" s="24" t="str">
        <f t="shared" si="131"/>
        <v>Q3</v>
      </c>
      <c r="F1705" s="24" t="str">
        <f t="shared" si="132"/>
        <v>Aug</v>
      </c>
      <c r="G1705" s="24">
        <f t="shared" si="133"/>
        <v>8</v>
      </c>
      <c r="H1705" s="19">
        <v>1161</v>
      </c>
      <c r="I1705" s="19" t="s">
        <v>3</v>
      </c>
      <c r="J1705" s="19" t="s">
        <v>8</v>
      </c>
      <c r="K1705" s="20">
        <v>4</v>
      </c>
      <c r="L1705" s="21">
        <v>469.92</v>
      </c>
      <c r="M1705" s="22">
        <v>0.28000000000000003</v>
      </c>
      <c r="N1705" s="21">
        <f t="shared" si="134"/>
        <v>338.3424</v>
      </c>
      <c r="O1705" s="21">
        <v>1353.37</v>
      </c>
      <c r="P1705" s="19" t="s">
        <v>4</v>
      </c>
      <c r="Q1705" s="23">
        <v>2</v>
      </c>
      <c r="R1705" s="45">
        <v>4.7</v>
      </c>
    </row>
    <row r="1706" spans="2:18" x14ac:dyDescent="0.2">
      <c r="B1706" s="25">
        <v>1703</v>
      </c>
      <c r="C1706" s="18">
        <v>45533</v>
      </c>
      <c r="D1706" s="24">
        <f t="shared" si="130"/>
        <v>2024</v>
      </c>
      <c r="E1706" s="24" t="str">
        <f t="shared" si="131"/>
        <v>Q3</v>
      </c>
      <c r="F1706" s="24" t="str">
        <f t="shared" si="132"/>
        <v>Aug</v>
      </c>
      <c r="G1706" s="24">
        <f t="shared" si="133"/>
        <v>8</v>
      </c>
      <c r="H1706" s="19">
        <v>1379</v>
      </c>
      <c r="I1706" s="19" t="s">
        <v>0</v>
      </c>
      <c r="J1706" s="19" t="s">
        <v>9</v>
      </c>
      <c r="K1706" s="20">
        <v>7</v>
      </c>
      <c r="L1706" s="21">
        <v>303.26</v>
      </c>
      <c r="M1706" s="22">
        <v>0.28000000000000003</v>
      </c>
      <c r="N1706" s="21">
        <f t="shared" si="134"/>
        <v>218.34719999999999</v>
      </c>
      <c r="O1706" s="21">
        <v>1528.43</v>
      </c>
      <c r="P1706" s="19" t="s">
        <v>4</v>
      </c>
      <c r="Q1706" s="23">
        <v>10</v>
      </c>
      <c r="R1706" s="45">
        <v>4.4000000000000004</v>
      </c>
    </row>
    <row r="1707" spans="2:18" x14ac:dyDescent="0.2">
      <c r="B1707" s="25">
        <v>1704</v>
      </c>
      <c r="C1707" s="18">
        <v>45534</v>
      </c>
      <c r="D1707" s="24">
        <f t="shared" si="130"/>
        <v>2024</v>
      </c>
      <c r="E1707" s="24" t="str">
        <f t="shared" si="131"/>
        <v>Q3</v>
      </c>
      <c r="F1707" s="24" t="str">
        <f t="shared" si="132"/>
        <v>Aug</v>
      </c>
      <c r="G1707" s="24">
        <f t="shared" si="133"/>
        <v>8</v>
      </c>
      <c r="H1707" s="19">
        <v>1992</v>
      </c>
      <c r="I1707" s="19" t="s">
        <v>7</v>
      </c>
      <c r="J1707" s="19" t="s">
        <v>8</v>
      </c>
      <c r="K1707" s="20">
        <v>5</v>
      </c>
      <c r="L1707" s="21">
        <v>535.19000000000005</v>
      </c>
      <c r="M1707" s="22">
        <v>0.27</v>
      </c>
      <c r="N1707" s="21">
        <f t="shared" si="134"/>
        <v>390.68870000000004</v>
      </c>
      <c r="O1707" s="21">
        <v>1953.44</v>
      </c>
      <c r="P1707" s="19" t="s">
        <v>4</v>
      </c>
      <c r="Q1707" s="23">
        <v>3</v>
      </c>
      <c r="R1707" s="45">
        <v>2.7</v>
      </c>
    </row>
    <row r="1708" spans="2:18" x14ac:dyDescent="0.2">
      <c r="B1708" s="25">
        <v>1705</v>
      </c>
      <c r="C1708" s="18">
        <v>45535</v>
      </c>
      <c r="D1708" s="24">
        <f t="shared" si="130"/>
        <v>2024</v>
      </c>
      <c r="E1708" s="24" t="str">
        <f t="shared" si="131"/>
        <v>Q3</v>
      </c>
      <c r="F1708" s="24" t="str">
        <f t="shared" si="132"/>
        <v>Aug</v>
      </c>
      <c r="G1708" s="24">
        <f t="shared" si="133"/>
        <v>8</v>
      </c>
      <c r="H1708" s="19">
        <v>1086</v>
      </c>
      <c r="I1708" s="19" t="s">
        <v>3</v>
      </c>
      <c r="J1708" s="19" t="s">
        <v>1</v>
      </c>
      <c r="K1708" s="20">
        <v>1</v>
      </c>
      <c r="L1708" s="21">
        <v>217.64</v>
      </c>
      <c r="M1708" s="22">
        <v>0.18</v>
      </c>
      <c r="N1708" s="21">
        <f t="shared" si="134"/>
        <v>178.4648</v>
      </c>
      <c r="O1708" s="21">
        <v>178.46</v>
      </c>
      <c r="P1708" s="19" t="s">
        <v>2</v>
      </c>
      <c r="Q1708" s="23">
        <v>2</v>
      </c>
      <c r="R1708" s="45">
        <v>4.7</v>
      </c>
    </row>
    <row r="1709" spans="2:18" x14ac:dyDescent="0.2">
      <c r="B1709" s="25">
        <v>1706</v>
      </c>
      <c r="C1709" s="18">
        <v>45536</v>
      </c>
      <c r="D1709" s="24">
        <f t="shared" si="130"/>
        <v>2024</v>
      </c>
      <c r="E1709" s="24" t="str">
        <f t="shared" si="131"/>
        <v>Q3</v>
      </c>
      <c r="F1709" s="24" t="str">
        <f t="shared" si="132"/>
        <v>Sep</v>
      </c>
      <c r="G1709" s="24">
        <f t="shared" si="133"/>
        <v>9</v>
      </c>
      <c r="H1709" s="19">
        <v>1054</v>
      </c>
      <c r="I1709" s="19" t="s">
        <v>3</v>
      </c>
      <c r="J1709" s="19" t="s">
        <v>8</v>
      </c>
      <c r="K1709" s="20">
        <v>2</v>
      </c>
      <c r="L1709" s="21">
        <v>231.06</v>
      </c>
      <c r="M1709" s="22">
        <v>0.1</v>
      </c>
      <c r="N1709" s="21">
        <f t="shared" si="134"/>
        <v>207.95400000000001</v>
      </c>
      <c r="O1709" s="21">
        <v>415.91</v>
      </c>
      <c r="P1709" s="19" t="s">
        <v>4</v>
      </c>
      <c r="Q1709" s="23">
        <v>1</v>
      </c>
      <c r="R1709" s="45">
        <v>1.4</v>
      </c>
    </row>
    <row r="1710" spans="2:18" x14ac:dyDescent="0.2">
      <c r="B1710" s="25">
        <v>1707</v>
      </c>
      <c r="C1710" s="18">
        <v>45537</v>
      </c>
      <c r="D1710" s="24">
        <f t="shared" si="130"/>
        <v>2024</v>
      </c>
      <c r="E1710" s="24" t="str">
        <f t="shared" si="131"/>
        <v>Q3</v>
      </c>
      <c r="F1710" s="24" t="str">
        <f t="shared" si="132"/>
        <v>Sep</v>
      </c>
      <c r="G1710" s="24">
        <f t="shared" si="133"/>
        <v>9</v>
      </c>
      <c r="H1710" s="19">
        <v>1475</v>
      </c>
      <c r="I1710" s="19" t="s">
        <v>3</v>
      </c>
      <c r="J1710" s="19" t="s">
        <v>8</v>
      </c>
      <c r="K1710" s="20">
        <v>7</v>
      </c>
      <c r="L1710" s="21">
        <v>534.91</v>
      </c>
      <c r="M1710" s="22">
        <v>0.28000000000000003</v>
      </c>
      <c r="N1710" s="21">
        <f t="shared" si="134"/>
        <v>385.13519999999994</v>
      </c>
      <c r="O1710" s="21">
        <v>2695.95</v>
      </c>
      <c r="P1710" s="19" t="s">
        <v>2</v>
      </c>
      <c r="Q1710" s="23">
        <v>11</v>
      </c>
      <c r="R1710" s="45">
        <v>3.6</v>
      </c>
    </row>
    <row r="1711" spans="2:18" x14ac:dyDescent="0.2">
      <c r="B1711" s="25">
        <v>1708</v>
      </c>
      <c r="C1711" s="18">
        <v>45538</v>
      </c>
      <c r="D1711" s="24">
        <f t="shared" si="130"/>
        <v>2024</v>
      </c>
      <c r="E1711" s="24" t="str">
        <f t="shared" si="131"/>
        <v>Q3</v>
      </c>
      <c r="F1711" s="24" t="str">
        <f t="shared" si="132"/>
        <v>Sep</v>
      </c>
      <c r="G1711" s="24">
        <f t="shared" si="133"/>
        <v>9</v>
      </c>
      <c r="H1711" s="19">
        <v>1799</v>
      </c>
      <c r="I1711" s="19" t="s">
        <v>3</v>
      </c>
      <c r="J1711" s="19" t="s">
        <v>1</v>
      </c>
      <c r="K1711" s="20">
        <v>1</v>
      </c>
      <c r="L1711" s="21">
        <v>286.66000000000003</v>
      </c>
      <c r="M1711" s="22">
        <v>7.0000000000000007E-2</v>
      </c>
      <c r="N1711" s="21">
        <f t="shared" si="134"/>
        <v>266.59380000000004</v>
      </c>
      <c r="O1711" s="21">
        <v>266.58999999999997</v>
      </c>
      <c r="P1711" s="19" t="s">
        <v>4</v>
      </c>
      <c r="Q1711" s="23">
        <v>6</v>
      </c>
      <c r="R1711" s="45">
        <v>4.7</v>
      </c>
    </row>
    <row r="1712" spans="2:18" x14ac:dyDescent="0.2">
      <c r="B1712" s="25">
        <v>1709</v>
      </c>
      <c r="C1712" s="18">
        <v>45539</v>
      </c>
      <c r="D1712" s="24">
        <f t="shared" si="130"/>
        <v>2024</v>
      </c>
      <c r="E1712" s="24" t="str">
        <f t="shared" si="131"/>
        <v>Q3</v>
      </c>
      <c r="F1712" s="24" t="str">
        <f t="shared" si="132"/>
        <v>Sep</v>
      </c>
      <c r="G1712" s="24">
        <f t="shared" si="133"/>
        <v>9</v>
      </c>
      <c r="H1712" s="19">
        <v>1177</v>
      </c>
      <c r="I1712" s="19" t="s">
        <v>7</v>
      </c>
      <c r="J1712" s="19" t="s">
        <v>5</v>
      </c>
      <c r="K1712" s="20">
        <v>1</v>
      </c>
      <c r="L1712" s="21">
        <v>316.93</v>
      </c>
      <c r="M1712" s="22">
        <v>0.1</v>
      </c>
      <c r="N1712" s="21">
        <f t="shared" si="134"/>
        <v>285.23700000000002</v>
      </c>
      <c r="O1712" s="21">
        <v>285.24</v>
      </c>
      <c r="P1712" s="19" t="s">
        <v>4</v>
      </c>
      <c r="Q1712" s="23">
        <v>4</v>
      </c>
      <c r="R1712" s="45">
        <v>4</v>
      </c>
    </row>
    <row r="1713" spans="2:18" x14ac:dyDescent="0.2">
      <c r="B1713" s="25">
        <v>1710</v>
      </c>
      <c r="C1713" s="18">
        <v>45540</v>
      </c>
      <c r="D1713" s="24">
        <f t="shared" si="130"/>
        <v>2024</v>
      </c>
      <c r="E1713" s="24" t="str">
        <f t="shared" si="131"/>
        <v>Q3</v>
      </c>
      <c r="F1713" s="24" t="str">
        <f t="shared" si="132"/>
        <v>Sep</v>
      </c>
      <c r="G1713" s="24">
        <f t="shared" si="133"/>
        <v>9</v>
      </c>
      <c r="H1713" s="19">
        <v>1390</v>
      </c>
      <c r="I1713" s="19" t="s">
        <v>7</v>
      </c>
      <c r="J1713" s="19" t="s">
        <v>1</v>
      </c>
      <c r="K1713" s="20">
        <v>4</v>
      </c>
      <c r="L1713" s="21">
        <v>209.67</v>
      </c>
      <c r="M1713" s="22">
        <v>0.06</v>
      </c>
      <c r="N1713" s="21">
        <f t="shared" si="134"/>
        <v>197.0898</v>
      </c>
      <c r="O1713" s="21">
        <v>788.36</v>
      </c>
      <c r="P1713" s="19" t="s">
        <v>6</v>
      </c>
      <c r="Q1713" s="23">
        <v>7</v>
      </c>
      <c r="R1713" s="45">
        <v>2.1</v>
      </c>
    </row>
    <row r="1714" spans="2:18" x14ac:dyDescent="0.2">
      <c r="B1714" s="25">
        <v>1711</v>
      </c>
      <c r="C1714" s="18">
        <v>45541</v>
      </c>
      <c r="D1714" s="24">
        <f t="shared" si="130"/>
        <v>2024</v>
      </c>
      <c r="E1714" s="24" t="str">
        <f t="shared" si="131"/>
        <v>Q3</v>
      </c>
      <c r="F1714" s="24" t="str">
        <f t="shared" si="132"/>
        <v>Sep</v>
      </c>
      <c r="G1714" s="24">
        <f t="shared" si="133"/>
        <v>9</v>
      </c>
      <c r="H1714" s="19">
        <v>1348</v>
      </c>
      <c r="I1714" s="19" t="s">
        <v>3</v>
      </c>
      <c r="J1714" s="19" t="s">
        <v>5</v>
      </c>
      <c r="K1714" s="20">
        <v>5</v>
      </c>
      <c r="L1714" s="21">
        <v>176.85</v>
      </c>
      <c r="M1714" s="22">
        <v>0.24</v>
      </c>
      <c r="N1714" s="21">
        <f t="shared" si="134"/>
        <v>134.40600000000001</v>
      </c>
      <c r="O1714" s="21">
        <v>672.03</v>
      </c>
      <c r="P1714" s="19" t="s">
        <v>4</v>
      </c>
      <c r="Q1714" s="23">
        <v>7</v>
      </c>
      <c r="R1714" s="45">
        <v>3.9</v>
      </c>
    </row>
    <row r="1715" spans="2:18" x14ac:dyDescent="0.2">
      <c r="B1715" s="25">
        <v>1712</v>
      </c>
      <c r="C1715" s="18">
        <v>45542</v>
      </c>
      <c r="D1715" s="24">
        <f t="shared" si="130"/>
        <v>2024</v>
      </c>
      <c r="E1715" s="24" t="str">
        <f t="shared" si="131"/>
        <v>Q3</v>
      </c>
      <c r="F1715" s="24" t="str">
        <f t="shared" si="132"/>
        <v>Sep</v>
      </c>
      <c r="G1715" s="24">
        <f t="shared" si="133"/>
        <v>9</v>
      </c>
      <c r="H1715" s="19">
        <v>1007</v>
      </c>
      <c r="I1715" s="19" t="s">
        <v>7</v>
      </c>
      <c r="J1715" s="19" t="s">
        <v>1</v>
      </c>
      <c r="K1715" s="20">
        <v>1</v>
      </c>
      <c r="L1715" s="21">
        <v>398.73</v>
      </c>
      <c r="M1715" s="22">
        <v>0.24</v>
      </c>
      <c r="N1715" s="21">
        <f t="shared" si="134"/>
        <v>303.03480000000002</v>
      </c>
      <c r="O1715" s="21">
        <v>303.02999999999997</v>
      </c>
      <c r="P1715" s="19" t="s">
        <v>2</v>
      </c>
      <c r="Q1715" s="23">
        <v>10</v>
      </c>
      <c r="R1715" s="45">
        <v>2.2000000000000002</v>
      </c>
    </row>
    <row r="1716" spans="2:18" x14ac:dyDescent="0.2">
      <c r="B1716" s="25">
        <v>1713</v>
      </c>
      <c r="C1716" s="18">
        <v>45543</v>
      </c>
      <c r="D1716" s="24">
        <f t="shared" si="130"/>
        <v>2024</v>
      </c>
      <c r="E1716" s="24" t="str">
        <f t="shared" si="131"/>
        <v>Q3</v>
      </c>
      <c r="F1716" s="24" t="str">
        <f t="shared" si="132"/>
        <v>Sep</v>
      </c>
      <c r="G1716" s="24">
        <f t="shared" si="133"/>
        <v>9</v>
      </c>
      <c r="H1716" s="19">
        <v>1832</v>
      </c>
      <c r="I1716" s="19" t="s">
        <v>10</v>
      </c>
      <c r="J1716" s="19" t="s">
        <v>8</v>
      </c>
      <c r="K1716" s="20">
        <v>6</v>
      </c>
      <c r="L1716" s="21">
        <v>85.11</v>
      </c>
      <c r="M1716" s="22">
        <v>0.23</v>
      </c>
      <c r="N1716" s="21">
        <f t="shared" si="134"/>
        <v>65.534700000000001</v>
      </c>
      <c r="O1716" s="21">
        <v>393.21</v>
      </c>
      <c r="P1716" s="19" t="s">
        <v>4</v>
      </c>
      <c r="Q1716" s="23">
        <v>1</v>
      </c>
      <c r="R1716" s="45">
        <v>1.4</v>
      </c>
    </row>
    <row r="1717" spans="2:18" x14ac:dyDescent="0.2">
      <c r="B1717" s="25">
        <v>1714</v>
      </c>
      <c r="C1717" s="18">
        <v>45544</v>
      </c>
      <c r="D1717" s="24">
        <f t="shared" si="130"/>
        <v>2024</v>
      </c>
      <c r="E1717" s="24" t="str">
        <f t="shared" si="131"/>
        <v>Q3</v>
      </c>
      <c r="F1717" s="24" t="str">
        <f t="shared" si="132"/>
        <v>Sep</v>
      </c>
      <c r="G1717" s="24">
        <f t="shared" si="133"/>
        <v>9</v>
      </c>
      <c r="H1717" s="19">
        <v>1312</v>
      </c>
      <c r="I1717" s="19" t="s">
        <v>7</v>
      </c>
      <c r="J1717" s="19" t="s">
        <v>8</v>
      </c>
      <c r="K1717" s="20">
        <v>7</v>
      </c>
      <c r="L1717" s="21">
        <v>529.37</v>
      </c>
      <c r="M1717" s="22">
        <v>0.15</v>
      </c>
      <c r="N1717" s="21">
        <f t="shared" si="134"/>
        <v>449.96449999999999</v>
      </c>
      <c r="O1717" s="21">
        <v>3149.75</v>
      </c>
      <c r="P1717" s="19" t="s">
        <v>4</v>
      </c>
      <c r="Q1717" s="23">
        <v>9</v>
      </c>
      <c r="R1717" s="45">
        <v>3.9</v>
      </c>
    </row>
    <row r="1718" spans="2:18" x14ac:dyDescent="0.2">
      <c r="B1718" s="25">
        <v>1715</v>
      </c>
      <c r="C1718" s="18">
        <v>45545</v>
      </c>
      <c r="D1718" s="24">
        <f t="shared" si="130"/>
        <v>2024</v>
      </c>
      <c r="E1718" s="24" t="str">
        <f t="shared" si="131"/>
        <v>Q3</v>
      </c>
      <c r="F1718" s="24" t="str">
        <f t="shared" si="132"/>
        <v>Sep</v>
      </c>
      <c r="G1718" s="24">
        <f t="shared" si="133"/>
        <v>9</v>
      </c>
      <c r="H1718" s="19">
        <v>1758</v>
      </c>
      <c r="I1718" s="19" t="s">
        <v>7</v>
      </c>
      <c r="J1718" s="19" t="s">
        <v>5</v>
      </c>
      <c r="K1718" s="20">
        <v>1</v>
      </c>
      <c r="L1718" s="21">
        <v>470.83</v>
      </c>
      <c r="M1718" s="22">
        <v>0.04</v>
      </c>
      <c r="N1718" s="21">
        <f t="shared" si="134"/>
        <v>451.99680000000001</v>
      </c>
      <c r="O1718" s="21">
        <v>452</v>
      </c>
      <c r="P1718" s="19" t="s">
        <v>2</v>
      </c>
      <c r="Q1718" s="23">
        <v>8</v>
      </c>
      <c r="R1718" s="45">
        <v>1.7</v>
      </c>
    </row>
    <row r="1719" spans="2:18" x14ac:dyDescent="0.2">
      <c r="B1719" s="25">
        <v>1716</v>
      </c>
      <c r="C1719" s="18">
        <v>45546</v>
      </c>
      <c r="D1719" s="24">
        <f t="shared" si="130"/>
        <v>2024</v>
      </c>
      <c r="E1719" s="24" t="str">
        <f t="shared" si="131"/>
        <v>Q3</v>
      </c>
      <c r="F1719" s="24" t="str">
        <f t="shared" si="132"/>
        <v>Sep</v>
      </c>
      <c r="G1719" s="24">
        <f t="shared" si="133"/>
        <v>9</v>
      </c>
      <c r="H1719" s="19">
        <v>1834</v>
      </c>
      <c r="I1719" s="19" t="s">
        <v>3</v>
      </c>
      <c r="J1719" s="19" t="s">
        <v>5</v>
      </c>
      <c r="K1719" s="20">
        <v>2</v>
      </c>
      <c r="L1719" s="21">
        <v>126.59</v>
      </c>
      <c r="M1719" s="22">
        <v>0.32</v>
      </c>
      <c r="N1719" s="21">
        <f t="shared" si="134"/>
        <v>86.081199999999995</v>
      </c>
      <c r="O1719" s="21">
        <v>172.16</v>
      </c>
      <c r="P1719" s="19" t="s">
        <v>4</v>
      </c>
      <c r="Q1719" s="23">
        <v>10</v>
      </c>
      <c r="R1719" s="45">
        <v>1.4</v>
      </c>
    </row>
    <row r="1720" spans="2:18" x14ac:dyDescent="0.2">
      <c r="B1720" s="25">
        <v>1717</v>
      </c>
      <c r="C1720" s="18">
        <v>45547</v>
      </c>
      <c r="D1720" s="24">
        <f t="shared" si="130"/>
        <v>2024</v>
      </c>
      <c r="E1720" s="24" t="str">
        <f t="shared" si="131"/>
        <v>Q3</v>
      </c>
      <c r="F1720" s="24" t="str">
        <f t="shared" si="132"/>
        <v>Sep</v>
      </c>
      <c r="G1720" s="24">
        <f t="shared" si="133"/>
        <v>9</v>
      </c>
      <c r="H1720" s="19">
        <v>1983</v>
      </c>
      <c r="I1720" s="19" t="s">
        <v>3</v>
      </c>
      <c r="J1720" s="19" t="s">
        <v>9</v>
      </c>
      <c r="K1720" s="20">
        <v>5</v>
      </c>
      <c r="L1720" s="21">
        <v>421</v>
      </c>
      <c r="M1720" s="22">
        <v>0.18</v>
      </c>
      <c r="N1720" s="21">
        <f t="shared" si="134"/>
        <v>345.22</v>
      </c>
      <c r="O1720" s="21">
        <v>1726.1</v>
      </c>
      <c r="P1720" s="19" t="s">
        <v>4</v>
      </c>
      <c r="Q1720" s="23">
        <v>1</v>
      </c>
      <c r="R1720" s="45">
        <v>3.2</v>
      </c>
    </row>
    <row r="1721" spans="2:18" x14ac:dyDescent="0.2">
      <c r="B1721" s="25">
        <v>1718</v>
      </c>
      <c r="C1721" s="18">
        <v>45548</v>
      </c>
      <c r="D1721" s="24">
        <f t="shared" si="130"/>
        <v>2024</v>
      </c>
      <c r="E1721" s="24" t="str">
        <f t="shared" si="131"/>
        <v>Q3</v>
      </c>
      <c r="F1721" s="24" t="str">
        <f t="shared" si="132"/>
        <v>Sep</v>
      </c>
      <c r="G1721" s="24">
        <f t="shared" si="133"/>
        <v>9</v>
      </c>
      <c r="H1721" s="19">
        <v>1982</v>
      </c>
      <c r="I1721" s="19" t="s">
        <v>0</v>
      </c>
      <c r="J1721" s="19" t="s">
        <v>9</v>
      </c>
      <c r="K1721" s="20">
        <v>5</v>
      </c>
      <c r="L1721" s="21">
        <v>367.54</v>
      </c>
      <c r="M1721" s="22">
        <v>0.14000000000000001</v>
      </c>
      <c r="N1721" s="21">
        <f t="shared" si="134"/>
        <v>316.08440000000002</v>
      </c>
      <c r="O1721" s="21">
        <v>1580.42</v>
      </c>
      <c r="P1721" s="19" t="s">
        <v>4</v>
      </c>
      <c r="Q1721" s="23">
        <v>8</v>
      </c>
      <c r="R1721" s="45">
        <v>3.5</v>
      </c>
    </row>
    <row r="1722" spans="2:18" x14ac:dyDescent="0.2">
      <c r="B1722" s="25">
        <v>1719</v>
      </c>
      <c r="C1722" s="18">
        <v>45549</v>
      </c>
      <c r="D1722" s="24">
        <f t="shared" si="130"/>
        <v>2024</v>
      </c>
      <c r="E1722" s="24" t="str">
        <f t="shared" si="131"/>
        <v>Q3</v>
      </c>
      <c r="F1722" s="24" t="str">
        <f t="shared" si="132"/>
        <v>Sep</v>
      </c>
      <c r="G1722" s="24">
        <f t="shared" si="133"/>
        <v>9</v>
      </c>
      <c r="H1722" s="19">
        <v>1442</v>
      </c>
      <c r="I1722" s="19" t="s">
        <v>3</v>
      </c>
      <c r="J1722" s="19" t="s">
        <v>8</v>
      </c>
      <c r="K1722" s="20">
        <v>1</v>
      </c>
      <c r="L1722" s="21">
        <v>122.95</v>
      </c>
      <c r="M1722" s="22">
        <v>0.21</v>
      </c>
      <c r="N1722" s="21">
        <f t="shared" si="134"/>
        <v>97.130500000000012</v>
      </c>
      <c r="O1722" s="21">
        <v>97.13</v>
      </c>
      <c r="P1722" s="19" t="s">
        <v>6</v>
      </c>
      <c r="Q1722" s="23">
        <v>5</v>
      </c>
      <c r="R1722" s="45">
        <v>1.2</v>
      </c>
    </row>
    <row r="1723" spans="2:18" x14ac:dyDescent="0.2">
      <c r="B1723" s="25">
        <v>1720</v>
      </c>
      <c r="C1723" s="18">
        <v>45550</v>
      </c>
      <c r="D1723" s="24">
        <f t="shared" si="130"/>
        <v>2024</v>
      </c>
      <c r="E1723" s="24" t="str">
        <f t="shared" si="131"/>
        <v>Q3</v>
      </c>
      <c r="F1723" s="24" t="str">
        <f t="shared" si="132"/>
        <v>Sep</v>
      </c>
      <c r="G1723" s="24">
        <f t="shared" si="133"/>
        <v>9</v>
      </c>
      <c r="H1723" s="19">
        <v>1766</v>
      </c>
      <c r="I1723" s="19" t="s">
        <v>7</v>
      </c>
      <c r="J1723" s="19" t="s">
        <v>8</v>
      </c>
      <c r="K1723" s="20">
        <v>5</v>
      </c>
      <c r="L1723" s="21">
        <v>174.82</v>
      </c>
      <c r="M1723" s="22">
        <v>7.0000000000000007E-2</v>
      </c>
      <c r="N1723" s="21">
        <f t="shared" si="134"/>
        <v>162.58259999999999</v>
      </c>
      <c r="O1723" s="21">
        <v>812.91</v>
      </c>
      <c r="P1723" s="19" t="s">
        <v>4</v>
      </c>
      <c r="Q1723" s="23">
        <v>1</v>
      </c>
      <c r="R1723" s="45">
        <v>1</v>
      </c>
    </row>
    <row r="1724" spans="2:18" x14ac:dyDescent="0.2">
      <c r="B1724" s="25">
        <v>1721</v>
      </c>
      <c r="C1724" s="18">
        <v>45551</v>
      </c>
      <c r="D1724" s="24">
        <f t="shared" si="130"/>
        <v>2024</v>
      </c>
      <c r="E1724" s="24" t="str">
        <f t="shared" si="131"/>
        <v>Q3</v>
      </c>
      <c r="F1724" s="24" t="str">
        <f t="shared" si="132"/>
        <v>Sep</v>
      </c>
      <c r="G1724" s="24">
        <f t="shared" si="133"/>
        <v>9</v>
      </c>
      <c r="H1724" s="19">
        <v>1327</v>
      </c>
      <c r="I1724" s="19" t="s">
        <v>10</v>
      </c>
      <c r="J1724" s="19" t="s">
        <v>9</v>
      </c>
      <c r="K1724" s="20">
        <v>2</v>
      </c>
      <c r="L1724" s="21">
        <v>254.26</v>
      </c>
      <c r="M1724" s="22">
        <v>0.05</v>
      </c>
      <c r="N1724" s="21">
        <f t="shared" si="134"/>
        <v>241.547</v>
      </c>
      <c r="O1724" s="21">
        <v>483.09</v>
      </c>
      <c r="P1724" s="19" t="s">
        <v>6</v>
      </c>
      <c r="Q1724" s="23">
        <v>4</v>
      </c>
      <c r="R1724" s="45">
        <v>4.5</v>
      </c>
    </row>
    <row r="1725" spans="2:18" x14ac:dyDescent="0.2">
      <c r="B1725" s="25">
        <v>1722</v>
      </c>
      <c r="C1725" s="18">
        <v>45552</v>
      </c>
      <c r="D1725" s="24">
        <f t="shared" si="130"/>
        <v>2024</v>
      </c>
      <c r="E1725" s="24" t="str">
        <f t="shared" si="131"/>
        <v>Q3</v>
      </c>
      <c r="F1725" s="24" t="str">
        <f t="shared" si="132"/>
        <v>Sep</v>
      </c>
      <c r="G1725" s="24">
        <f t="shared" si="133"/>
        <v>9</v>
      </c>
      <c r="H1725" s="19">
        <v>1053</v>
      </c>
      <c r="I1725" s="19" t="s">
        <v>3</v>
      </c>
      <c r="J1725" s="19" t="s">
        <v>9</v>
      </c>
      <c r="K1725" s="20">
        <v>7</v>
      </c>
      <c r="L1725" s="21">
        <v>424.06</v>
      </c>
      <c r="M1725" s="22">
        <v>0.14000000000000001</v>
      </c>
      <c r="N1725" s="21">
        <f t="shared" si="134"/>
        <v>364.69159999999999</v>
      </c>
      <c r="O1725" s="21">
        <v>2552.84</v>
      </c>
      <c r="P1725" s="19" t="s">
        <v>2</v>
      </c>
      <c r="Q1725" s="23">
        <v>7</v>
      </c>
      <c r="R1725" s="45">
        <v>1.5</v>
      </c>
    </row>
    <row r="1726" spans="2:18" x14ac:dyDescent="0.2">
      <c r="B1726" s="25">
        <v>1723</v>
      </c>
      <c r="C1726" s="18">
        <v>45553</v>
      </c>
      <c r="D1726" s="24">
        <f t="shared" si="130"/>
        <v>2024</v>
      </c>
      <c r="E1726" s="24" t="str">
        <f t="shared" si="131"/>
        <v>Q3</v>
      </c>
      <c r="F1726" s="24" t="str">
        <f t="shared" si="132"/>
        <v>Sep</v>
      </c>
      <c r="G1726" s="24">
        <f t="shared" si="133"/>
        <v>9</v>
      </c>
      <c r="H1726" s="19">
        <v>1760</v>
      </c>
      <c r="I1726" s="19" t="s">
        <v>7</v>
      </c>
      <c r="J1726" s="19" t="s">
        <v>5</v>
      </c>
      <c r="K1726" s="20">
        <v>2</v>
      </c>
      <c r="L1726" s="21">
        <v>388.65</v>
      </c>
      <c r="M1726" s="22">
        <v>0.08</v>
      </c>
      <c r="N1726" s="21">
        <f t="shared" si="134"/>
        <v>357.55799999999999</v>
      </c>
      <c r="O1726" s="21">
        <v>715.12</v>
      </c>
      <c r="P1726" s="19" t="s">
        <v>2</v>
      </c>
      <c r="Q1726" s="23">
        <v>5</v>
      </c>
      <c r="R1726" s="45">
        <v>3.3</v>
      </c>
    </row>
    <row r="1727" spans="2:18" x14ac:dyDescent="0.2">
      <c r="B1727" s="25">
        <v>1724</v>
      </c>
      <c r="C1727" s="18">
        <v>45554</v>
      </c>
      <c r="D1727" s="24">
        <f t="shared" si="130"/>
        <v>2024</v>
      </c>
      <c r="E1727" s="24" t="str">
        <f t="shared" si="131"/>
        <v>Q3</v>
      </c>
      <c r="F1727" s="24" t="str">
        <f t="shared" si="132"/>
        <v>Sep</v>
      </c>
      <c r="G1727" s="24">
        <f t="shared" si="133"/>
        <v>9</v>
      </c>
      <c r="H1727" s="19">
        <v>1238</v>
      </c>
      <c r="I1727" s="19" t="s">
        <v>3</v>
      </c>
      <c r="J1727" s="19" t="s">
        <v>1</v>
      </c>
      <c r="K1727" s="20">
        <v>2</v>
      </c>
      <c r="L1727" s="21">
        <v>326.36</v>
      </c>
      <c r="M1727" s="22">
        <v>0.09</v>
      </c>
      <c r="N1727" s="21">
        <f t="shared" si="134"/>
        <v>296.98760000000004</v>
      </c>
      <c r="O1727" s="21">
        <v>593.98</v>
      </c>
      <c r="P1727" s="19" t="s">
        <v>4</v>
      </c>
      <c r="Q1727" s="23">
        <v>11</v>
      </c>
      <c r="R1727" s="45">
        <v>4.8</v>
      </c>
    </row>
    <row r="1728" spans="2:18" x14ac:dyDescent="0.2">
      <c r="B1728" s="25">
        <v>1725</v>
      </c>
      <c r="C1728" s="18">
        <v>45555</v>
      </c>
      <c r="D1728" s="24">
        <f t="shared" si="130"/>
        <v>2024</v>
      </c>
      <c r="E1728" s="24" t="str">
        <f t="shared" si="131"/>
        <v>Q3</v>
      </c>
      <c r="F1728" s="24" t="str">
        <f t="shared" si="132"/>
        <v>Sep</v>
      </c>
      <c r="G1728" s="24">
        <f t="shared" si="133"/>
        <v>9</v>
      </c>
      <c r="H1728" s="19">
        <v>1228</v>
      </c>
      <c r="I1728" s="19" t="s">
        <v>0</v>
      </c>
      <c r="J1728" s="19" t="s">
        <v>5</v>
      </c>
      <c r="K1728" s="20">
        <v>6</v>
      </c>
      <c r="L1728" s="21">
        <v>464.52</v>
      </c>
      <c r="M1728" s="22">
        <v>0.31</v>
      </c>
      <c r="N1728" s="21">
        <f t="shared" si="134"/>
        <v>320.5188</v>
      </c>
      <c r="O1728" s="21">
        <v>1923.11</v>
      </c>
      <c r="P1728" s="19" t="s">
        <v>4</v>
      </c>
      <c r="Q1728" s="23">
        <v>3</v>
      </c>
      <c r="R1728" s="45">
        <v>3</v>
      </c>
    </row>
    <row r="1729" spans="2:18" x14ac:dyDescent="0.2">
      <c r="B1729" s="25">
        <v>1726</v>
      </c>
      <c r="C1729" s="18">
        <v>45556</v>
      </c>
      <c r="D1729" s="24">
        <f t="shared" si="130"/>
        <v>2024</v>
      </c>
      <c r="E1729" s="24" t="str">
        <f t="shared" si="131"/>
        <v>Q3</v>
      </c>
      <c r="F1729" s="24" t="str">
        <f t="shared" si="132"/>
        <v>Sep</v>
      </c>
      <c r="G1729" s="24">
        <f t="shared" si="133"/>
        <v>9</v>
      </c>
      <c r="H1729" s="19">
        <v>1578</v>
      </c>
      <c r="I1729" s="19" t="s">
        <v>3</v>
      </c>
      <c r="J1729" s="19" t="s">
        <v>9</v>
      </c>
      <c r="K1729" s="20">
        <v>4</v>
      </c>
      <c r="L1729" s="21">
        <v>458.39</v>
      </c>
      <c r="M1729" s="22">
        <v>0.19</v>
      </c>
      <c r="N1729" s="21">
        <f t="shared" si="134"/>
        <v>371.29589999999996</v>
      </c>
      <c r="O1729" s="21">
        <v>1485.18</v>
      </c>
      <c r="P1729" s="19" t="s">
        <v>4</v>
      </c>
      <c r="Q1729" s="23">
        <v>11</v>
      </c>
      <c r="R1729" s="45">
        <v>1.6</v>
      </c>
    </row>
    <row r="1730" spans="2:18" x14ac:dyDescent="0.2">
      <c r="B1730" s="25">
        <v>1727</v>
      </c>
      <c r="C1730" s="18">
        <v>45557</v>
      </c>
      <c r="D1730" s="24">
        <f t="shared" si="130"/>
        <v>2024</v>
      </c>
      <c r="E1730" s="24" t="str">
        <f t="shared" si="131"/>
        <v>Q3</v>
      </c>
      <c r="F1730" s="24" t="str">
        <f t="shared" si="132"/>
        <v>Sep</v>
      </c>
      <c r="G1730" s="24">
        <f t="shared" si="133"/>
        <v>9</v>
      </c>
      <c r="H1730" s="19">
        <v>1050</v>
      </c>
      <c r="I1730" s="19" t="s">
        <v>7</v>
      </c>
      <c r="J1730" s="19" t="s">
        <v>8</v>
      </c>
      <c r="K1730" s="20">
        <v>1</v>
      </c>
      <c r="L1730" s="21">
        <v>376.45</v>
      </c>
      <c r="M1730" s="22">
        <v>0.17</v>
      </c>
      <c r="N1730" s="21">
        <f t="shared" si="134"/>
        <v>312.45349999999996</v>
      </c>
      <c r="O1730" s="21">
        <v>312.45</v>
      </c>
      <c r="P1730" s="19" t="s">
        <v>6</v>
      </c>
      <c r="Q1730" s="23">
        <v>4</v>
      </c>
      <c r="R1730" s="45">
        <v>2.6</v>
      </c>
    </row>
    <row r="1731" spans="2:18" x14ac:dyDescent="0.2">
      <c r="B1731" s="25">
        <v>1728</v>
      </c>
      <c r="C1731" s="18">
        <v>45558</v>
      </c>
      <c r="D1731" s="24">
        <f t="shared" si="130"/>
        <v>2024</v>
      </c>
      <c r="E1731" s="24" t="str">
        <f t="shared" si="131"/>
        <v>Q3</v>
      </c>
      <c r="F1731" s="24" t="str">
        <f t="shared" si="132"/>
        <v>Sep</v>
      </c>
      <c r="G1731" s="24">
        <f t="shared" si="133"/>
        <v>9</v>
      </c>
      <c r="H1731" s="19">
        <v>1608</v>
      </c>
      <c r="I1731" s="19" t="s">
        <v>7</v>
      </c>
      <c r="J1731" s="19" t="s">
        <v>9</v>
      </c>
      <c r="K1731" s="20">
        <v>7</v>
      </c>
      <c r="L1731" s="21">
        <v>475.39</v>
      </c>
      <c r="M1731" s="22">
        <v>0.24</v>
      </c>
      <c r="N1731" s="21">
        <f t="shared" si="134"/>
        <v>361.29640000000001</v>
      </c>
      <c r="O1731" s="21">
        <v>2529.0700000000002</v>
      </c>
      <c r="P1731" s="19" t="s">
        <v>4</v>
      </c>
      <c r="Q1731" s="23">
        <v>2</v>
      </c>
      <c r="R1731" s="45">
        <v>3.5</v>
      </c>
    </row>
    <row r="1732" spans="2:18" x14ac:dyDescent="0.2">
      <c r="B1732" s="25">
        <v>1729</v>
      </c>
      <c r="C1732" s="18">
        <v>45559</v>
      </c>
      <c r="D1732" s="24">
        <f t="shared" ref="D1732:D1795" si="135">YEAR(C1732)</f>
        <v>2024</v>
      </c>
      <c r="E1732" s="24" t="str">
        <f t="shared" ref="E1732:E1795" si="136">"Q"&amp;ROUNDUP(MONTH(C1732)/3,0)</f>
        <v>Q3</v>
      </c>
      <c r="F1732" s="24" t="str">
        <f t="shared" ref="F1732:F1795" si="137">TEXT(C1732,"mmm")</f>
        <v>Sep</v>
      </c>
      <c r="G1732" s="24">
        <f t="shared" ref="G1732:G1795" si="138">MONTH(C1732)</f>
        <v>9</v>
      </c>
      <c r="H1732" s="19">
        <v>1603</v>
      </c>
      <c r="I1732" s="19" t="s">
        <v>7</v>
      </c>
      <c r="J1732" s="19" t="s">
        <v>8</v>
      </c>
      <c r="K1732" s="20">
        <v>5</v>
      </c>
      <c r="L1732" s="21">
        <v>210.54</v>
      </c>
      <c r="M1732" s="22">
        <v>0.33</v>
      </c>
      <c r="N1732" s="21">
        <f t="shared" si="134"/>
        <v>141.06180000000001</v>
      </c>
      <c r="O1732" s="21">
        <v>705.31</v>
      </c>
      <c r="P1732" s="19" t="s">
        <v>2</v>
      </c>
      <c r="Q1732" s="23">
        <v>8</v>
      </c>
      <c r="R1732" s="45">
        <v>4.0999999999999996</v>
      </c>
    </row>
    <row r="1733" spans="2:18" x14ac:dyDescent="0.2">
      <c r="B1733" s="25">
        <v>1730</v>
      </c>
      <c r="C1733" s="18">
        <v>45560</v>
      </c>
      <c r="D1733" s="24">
        <f t="shared" si="135"/>
        <v>2024</v>
      </c>
      <c r="E1733" s="24" t="str">
        <f t="shared" si="136"/>
        <v>Q3</v>
      </c>
      <c r="F1733" s="24" t="str">
        <f t="shared" si="137"/>
        <v>Sep</v>
      </c>
      <c r="G1733" s="24">
        <f t="shared" si="138"/>
        <v>9</v>
      </c>
      <c r="H1733" s="19">
        <v>1263</v>
      </c>
      <c r="I1733" s="19" t="s">
        <v>3</v>
      </c>
      <c r="J1733" s="19" t="s">
        <v>8</v>
      </c>
      <c r="K1733" s="20">
        <v>2</v>
      </c>
      <c r="L1733" s="21">
        <v>530.53</v>
      </c>
      <c r="M1733" s="22">
        <v>0.04</v>
      </c>
      <c r="N1733" s="21">
        <f t="shared" ref="N1733:N1796" si="139">L1733-(L1733*M1733)</f>
        <v>509.30879999999996</v>
      </c>
      <c r="O1733" s="21">
        <v>1018.62</v>
      </c>
      <c r="P1733" s="19" t="s">
        <v>6</v>
      </c>
      <c r="Q1733" s="23">
        <v>2</v>
      </c>
      <c r="R1733" s="45">
        <v>3.4</v>
      </c>
    </row>
    <row r="1734" spans="2:18" x14ac:dyDescent="0.2">
      <c r="B1734" s="25">
        <v>1731</v>
      </c>
      <c r="C1734" s="18">
        <v>45561</v>
      </c>
      <c r="D1734" s="24">
        <f t="shared" si="135"/>
        <v>2024</v>
      </c>
      <c r="E1734" s="24" t="str">
        <f t="shared" si="136"/>
        <v>Q3</v>
      </c>
      <c r="F1734" s="24" t="str">
        <f t="shared" si="137"/>
        <v>Sep</v>
      </c>
      <c r="G1734" s="24">
        <f t="shared" si="138"/>
        <v>9</v>
      </c>
      <c r="H1734" s="19">
        <v>1417</v>
      </c>
      <c r="I1734" s="19" t="s">
        <v>3</v>
      </c>
      <c r="J1734" s="19" t="s">
        <v>8</v>
      </c>
      <c r="K1734" s="20">
        <v>1</v>
      </c>
      <c r="L1734" s="21">
        <v>374.72</v>
      </c>
      <c r="M1734" s="22">
        <v>0.28999999999999998</v>
      </c>
      <c r="N1734" s="21">
        <f t="shared" si="139"/>
        <v>266.05119999999999</v>
      </c>
      <c r="O1734" s="21">
        <v>266.05</v>
      </c>
      <c r="P1734" s="19" t="s">
        <v>4</v>
      </c>
      <c r="Q1734" s="23">
        <v>11</v>
      </c>
      <c r="R1734" s="45">
        <v>1.1000000000000001</v>
      </c>
    </row>
    <row r="1735" spans="2:18" x14ac:dyDescent="0.2">
      <c r="B1735" s="25">
        <v>1732</v>
      </c>
      <c r="C1735" s="18">
        <v>45562</v>
      </c>
      <c r="D1735" s="24">
        <f t="shared" si="135"/>
        <v>2024</v>
      </c>
      <c r="E1735" s="24" t="str">
        <f t="shared" si="136"/>
        <v>Q3</v>
      </c>
      <c r="F1735" s="24" t="str">
        <f t="shared" si="137"/>
        <v>Sep</v>
      </c>
      <c r="G1735" s="24">
        <f t="shared" si="138"/>
        <v>9</v>
      </c>
      <c r="H1735" s="19">
        <v>1802</v>
      </c>
      <c r="I1735" s="19" t="s">
        <v>7</v>
      </c>
      <c r="J1735" s="19" t="s">
        <v>8</v>
      </c>
      <c r="K1735" s="20">
        <v>7</v>
      </c>
      <c r="L1735" s="21">
        <v>496.08</v>
      </c>
      <c r="M1735" s="22">
        <v>0.2</v>
      </c>
      <c r="N1735" s="21">
        <f t="shared" si="139"/>
        <v>396.86399999999998</v>
      </c>
      <c r="O1735" s="21">
        <v>2778.05</v>
      </c>
      <c r="P1735" s="19" t="s">
        <v>6</v>
      </c>
      <c r="Q1735" s="23">
        <v>6</v>
      </c>
      <c r="R1735" s="45">
        <v>1.6</v>
      </c>
    </row>
    <row r="1736" spans="2:18" x14ac:dyDescent="0.2">
      <c r="B1736" s="25">
        <v>1733</v>
      </c>
      <c r="C1736" s="18">
        <v>45563</v>
      </c>
      <c r="D1736" s="24">
        <f t="shared" si="135"/>
        <v>2024</v>
      </c>
      <c r="E1736" s="24" t="str">
        <f t="shared" si="136"/>
        <v>Q3</v>
      </c>
      <c r="F1736" s="24" t="str">
        <f t="shared" si="137"/>
        <v>Sep</v>
      </c>
      <c r="G1736" s="24">
        <f t="shared" si="138"/>
        <v>9</v>
      </c>
      <c r="H1736" s="19">
        <v>1095</v>
      </c>
      <c r="I1736" s="19" t="s">
        <v>0</v>
      </c>
      <c r="J1736" s="19" t="s">
        <v>1</v>
      </c>
      <c r="K1736" s="20">
        <v>7</v>
      </c>
      <c r="L1736" s="21">
        <v>334.57</v>
      </c>
      <c r="M1736" s="22">
        <v>0.05</v>
      </c>
      <c r="N1736" s="21">
        <f t="shared" si="139"/>
        <v>317.8415</v>
      </c>
      <c r="O1736" s="21">
        <v>2224.89</v>
      </c>
      <c r="P1736" s="19" t="s">
        <v>4</v>
      </c>
      <c r="Q1736" s="23">
        <v>7</v>
      </c>
      <c r="R1736" s="45">
        <v>2.5</v>
      </c>
    </row>
    <row r="1737" spans="2:18" x14ac:dyDescent="0.2">
      <c r="B1737" s="25">
        <v>1734</v>
      </c>
      <c r="C1737" s="18">
        <v>45564</v>
      </c>
      <c r="D1737" s="24">
        <f t="shared" si="135"/>
        <v>2024</v>
      </c>
      <c r="E1737" s="24" t="str">
        <f t="shared" si="136"/>
        <v>Q3</v>
      </c>
      <c r="F1737" s="24" t="str">
        <f t="shared" si="137"/>
        <v>Sep</v>
      </c>
      <c r="G1737" s="24">
        <f t="shared" si="138"/>
        <v>9</v>
      </c>
      <c r="H1737" s="19">
        <v>1087</v>
      </c>
      <c r="I1737" s="19" t="s">
        <v>10</v>
      </c>
      <c r="J1737" s="19" t="s">
        <v>9</v>
      </c>
      <c r="K1737" s="20">
        <v>1</v>
      </c>
      <c r="L1737" s="21">
        <v>142.79</v>
      </c>
      <c r="M1737" s="22">
        <v>0.1</v>
      </c>
      <c r="N1737" s="21">
        <f t="shared" si="139"/>
        <v>128.511</v>
      </c>
      <c r="O1737" s="21">
        <v>128.51</v>
      </c>
      <c r="P1737" s="19" t="s">
        <v>4</v>
      </c>
      <c r="Q1737" s="23">
        <v>7</v>
      </c>
      <c r="R1737" s="45">
        <v>3.8</v>
      </c>
    </row>
    <row r="1738" spans="2:18" x14ac:dyDescent="0.2">
      <c r="B1738" s="25">
        <v>1735</v>
      </c>
      <c r="C1738" s="18">
        <v>45565</v>
      </c>
      <c r="D1738" s="24">
        <f t="shared" si="135"/>
        <v>2024</v>
      </c>
      <c r="E1738" s="24" t="str">
        <f t="shared" si="136"/>
        <v>Q3</v>
      </c>
      <c r="F1738" s="24" t="str">
        <f t="shared" si="137"/>
        <v>Sep</v>
      </c>
      <c r="G1738" s="24">
        <f t="shared" si="138"/>
        <v>9</v>
      </c>
      <c r="H1738" s="19">
        <v>1077</v>
      </c>
      <c r="I1738" s="19" t="s">
        <v>3</v>
      </c>
      <c r="J1738" s="19" t="s">
        <v>5</v>
      </c>
      <c r="K1738" s="20">
        <v>4</v>
      </c>
      <c r="L1738" s="21">
        <v>332.31</v>
      </c>
      <c r="M1738" s="22">
        <v>0.17</v>
      </c>
      <c r="N1738" s="21">
        <f t="shared" si="139"/>
        <v>275.81729999999999</v>
      </c>
      <c r="O1738" s="21">
        <v>1103.27</v>
      </c>
      <c r="P1738" s="19" t="s">
        <v>4</v>
      </c>
      <c r="Q1738" s="23">
        <v>1</v>
      </c>
      <c r="R1738" s="45">
        <v>3.3</v>
      </c>
    </row>
    <row r="1739" spans="2:18" x14ac:dyDescent="0.2">
      <c r="B1739" s="25">
        <v>1736</v>
      </c>
      <c r="C1739" s="18">
        <v>45566</v>
      </c>
      <c r="D1739" s="24">
        <f t="shared" si="135"/>
        <v>2024</v>
      </c>
      <c r="E1739" s="24" t="str">
        <f t="shared" si="136"/>
        <v>Q4</v>
      </c>
      <c r="F1739" s="24" t="str">
        <f t="shared" si="137"/>
        <v>Oct</v>
      </c>
      <c r="G1739" s="24">
        <f t="shared" si="138"/>
        <v>10</v>
      </c>
      <c r="H1739" s="19">
        <v>1287</v>
      </c>
      <c r="I1739" s="19" t="s">
        <v>10</v>
      </c>
      <c r="J1739" s="19" t="s">
        <v>8</v>
      </c>
      <c r="K1739" s="20">
        <v>6</v>
      </c>
      <c r="L1739" s="21">
        <v>232.1</v>
      </c>
      <c r="M1739" s="22">
        <v>0.24</v>
      </c>
      <c r="N1739" s="21">
        <f t="shared" si="139"/>
        <v>176.39600000000002</v>
      </c>
      <c r="O1739" s="21">
        <v>1058.3800000000001</v>
      </c>
      <c r="P1739" s="19" t="s">
        <v>4</v>
      </c>
      <c r="Q1739" s="23">
        <v>8</v>
      </c>
      <c r="R1739" s="45">
        <v>1.2</v>
      </c>
    </row>
    <row r="1740" spans="2:18" x14ac:dyDescent="0.2">
      <c r="B1740" s="25">
        <v>1737</v>
      </c>
      <c r="C1740" s="18">
        <v>45567</v>
      </c>
      <c r="D1740" s="24">
        <f t="shared" si="135"/>
        <v>2024</v>
      </c>
      <c r="E1740" s="24" t="str">
        <f t="shared" si="136"/>
        <v>Q4</v>
      </c>
      <c r="F1740" s="24" t="str">
        <f t="shared" si="137"/>
        <v>Oct</v>
      </c>
      <c r="G1740" s="24">
        <f t="shared" si="138"/>
        <v>10</v>
      </c>
      <c r="H1740" s="19">
        <v>1119</v>
      </c>
      <c r="I1740" s="19" t="s">
        <v>7</v>
      </c>
      <c r="J1740" s="19" t="s">
        <v>8</v>
      </c>
      <c r="K1740" s="20">
        <v>5</v>
      </c>
      <c r="L1740" s="21">
        <v>423.04</v>
      </c>
      <c r="M1740" s="22">
        <v>0.08</v>
      </c>
      <c r="N1740" s="21">
        <f t="shared" si="139"/>
        <v>389.1968</v>
      </c>
      <c r="O1740" s="21">
        <v>1945.98</v>
      </c>
      <c r="P1740" s="19" t="s">
        <v>6</v>
      </c>
      <c r="Q1740" s="23">
        <v>9</v>
      </c>
      <c r="R1740" s="45">
        <v>4.2</v>
      </c>
    </row>
    <row r="1741" spans="2:18" x14ac:dyDescent="0.2">
      <c r="B1741" s="25">
        <v>1738</v>
      </c>
      <c r="C1741" s="18">
        <v>45568</v>
      </c>
      <c r="D1741" s="24">
        <f t="shared" si="135"/>
        <v>2024</v>
      </c>
      <c r="E1741" s="24" t="str">
        <f t="shared" si="136"/>
        <v>Q4</v>
      </c>
      <c r="F1741" s="24" t="str">
        <f t="shared" si="137"/>
        <v>Oct</v>
      </c>
      <c r="G1741" s="24">
        <f t="shared" si="138"/>
        <v>10</v>
      </c>
      <c r="H1741" s="19">
        <v>1813</v>
      </c>
      <c r="I1741" s="19" t="s">
        <v>3</v>
      </c>
      <c r="J1741" s="19" t="s">
        <v>5</v>
      </c>
      <c r="K1741" s="20">
        <v>6</v>
      </c>
      <c r="L1741" s="21">
        <v>293.33999999999997</v>
      </c>
      <c r="M1741" s="22">
        <v>0.19</v>
      </c>
      <c r="N1741" s="21">
        <f t="shared" si="139"/>
        <v>237.60539999999997</v>
      </c>
      <c r="O1741" s="21">
        <v>1425.63</v>
      </c>
      <c r="P1741" s="19" t="s">
        <v>6</v>
      </c>
      <c r="Q1741" s="23">
        <v>7</v>
      </c>
      <c r="R1741" s="45">
        <v>3.4</v>
      </c>
    </row>
    <row r="1742" spans="2:18" x14ac:dyDescent="0.2">
      <c r="B1742" s="25">
        <v>1739</v>
      </c>
      <c r="C1742" s="18">
        <v>45569</v>
      </c>
      <c r="D1742" s="24">
        <f t="shared" si="135"/>
        <v>2024</v>
      </c>
      <c r="E1742" s="24" t="str">
        <f t="shared" si="136"/>
        <v>Q4</v>
      </c>
      <c r="F1742" s="24" t="str">
        <f t="shared" si="137"/>
        <v>Oct</v>
      </c>
      <c r="G1742" s="24">
        <f t="shared" si="138"/>
        <v>10</v>
      </c>
      <c r="H1742" s="19">
        <v>1490</v>
      </c>
      <c r="I1742" s="19" t="s">
        <v>3</v>
      </c>
      <c r="J1742" s="19" t="s">
        <v>5</v>
      </c>
      <c r="K1742" s="20">
        <v>7</v>
      </c>
      <c r="L1742" s="21">
        <v>504.13</v>
      </c>
      <c r="M1742" s="22">
        <v>0.24</v>
      </c>
      <c r="N1742" s="21">
        <f t="shared" si="139"/>
        <v>383.1388</v>
      </c>
      <c r="O1742" s="21">
        <v>2681.97</v>
      </c>
      <c r="P1742" s="19" t="s">
        <v>4</v>
      </c>
      <c r="Q1742" s="23">
        <v>8</v>
      </c>
      <c r="R1742" s="45">
        <v>4.5</v>
      </c>
    </row>
    <row r="1743" spans="2:18" x14ac:dyDescent="0.2">
      <c r="B1743" s="25">
        <v>1740</v>
      </c>
      <c r="C1743" s="18">
        <v>45570</v>
      </c>
      <c r="D1743" s="24">
        <f t="shared" si="135"/>
        <v>2024</v>
      </c>
      <c r="E1743" s="24" t="str">
        <f t="shared" si="136"/>
        <v>Q4</v>
      </c>
      <c r="F1743" s="24" t="str">
        <f t="shared" si="137"/>
        <v>Oct</v>
      </c>
      <c r="G1743" s="24">
        <f t="shared" si="138"/>
        <v>10</v>
      </c>
      <c r="H1743" s="19">
        <v>1911</v>
      </c>
      <c r="I1743" s="19" t="s">
        <v>10</v>
      </c>
      <c r="J1743" s="19" t="s">
        <v>8</v>
      </c>
      <c r="K1743" s="20">
        <v>5</v>
      </c>
      <c r="L1743" s="21">
        <v>411.67</v>
      </c>
      <c r="M1743" s="22">
        <v>0.16</v>
      </c>
      <c r="N1743" s="21">
        <f t="shared" si="139"/>
        <v>345.80280000000005</v>
      </c>
      <c r="O1743" s="21">
        <v>1729.01</v>
      </c>
      <c r="P1743" s="19" t="s">
        <v>2</v>
      </c>
      <c r="Q1743" s="23">
        <v>4</v>
      </c>
      <c r="R1743" s="45">
        <v>2.7</v>
      </c>
    </row>
    <row r="1744" spans="2:18" x14ac:dyDescent="0.2">
      <c r="B1744" s="25">
        <v>1741</v>
      </c>
      <c r="C1744" s="18">
        <v>45571</v>
      </c>
      <c r="D1744" s="24">
        <f t="shared" si="135"/>
        <v>2024</v>
      </c>
      <c r="E1744" s="24" t="str">
        <f t="shared" si="136"/>
        <v>Q4</v>
      </c>
      <c r="F1744" s="24" t="str">
        <f t="shared" si="137"/>
        <v>Oct</v>
      </c>
      <c r="G1744" s="24">
        <f t="shared" si="138"/>
        <v>10</v>
      </c>
      <c r="H1744" s="19">
        <v>1451</v>
      </c>
      <c r="I1744" s="19" t="s">
        <v>10</v>
      </c>
      <c r="J1744" s="19" t="s">
        <v>5</v>
      </c>
      <c r="K1744" s="20">
        <v>7</v>
      </c>
      <c r="L1744" s="21">
        <v>415.46</v>
      </c>
      <c r="M1744" s="22">
        <v>0.3</v>
      </c>
      <c r="N1744" s="21">
        <f t="shared" si="139"/>
        <v>290.822</v>
      </c>
      <c r="O1744" s="21">
        <v>2035.75</v>
      </c>
      <c r="P1744" s="19" t="s">
        <v>4</v>
      </c>
      <c r="Q1744" s="23">
        <v>8</v>
      </c>
      <c r="R1744" s="45">
        <v>3</v>
      </c>
    </row>
    <row r="1745" spans="2:18" x14ac:dyDescent="0.2">
      <c r="B1745" s="25">
        <v>1742</v>
      </c>
      <c r="C1745" s="18">
        <v>45572</v>
      </c>
      <c r="D1745" s="24">
        <f t="shared" si="135"/>
        <v>2024</v>
      </c>
      <c r="E1745" s="24" t="str">
        <f t="shared" si="136"/>
        <v>Q4</v>
      </c>
      <c r="F1745" s="24" t="str">
        <f t="shared" si="137"/>
        <v>Oct</v>
      </c>
      <c r="G1745" s="24">
        <f t="shared" si="138"/>
        <v>10</v>
      </c>
      <c r="H1745" s="19">
        <v>1499</v>
      </c>
      <c r="I1745" s="19" t="s">
        <v>7</v>
      </c>
      <c r="J1745" s="19" t="s">
        <v>5</v>
      </c>
      <c r="K1745" s="20">
        <v>2</v>
      </c>
      <c r="L1745" s="21">
        <v>142.04</v>
      </c>
      <c r="M1745" s="22">
        <v>0.3</v>
      </c>
      <c r="N1745" s="21">
        <f t="shared" si="139"/>
        <v>99.427999999999997</v>
      </c>
      <c r="O1745" s="21">
        <v>198.86</v>
      </c>
      <c r="P1745" s="19" t="s">
        <v>4</v>
      </c>
      <c r="Q1745" s="23">
        <v>3</v>
      </c>
      <c r="R1745" s="45">
        <v>2.6</v>
      </c>
    </row>
    <row r="1746" spans="2:18" x14ac:dyDescent="0.2">
      <c r="B1746" s="25">
        <v>1743</v>
      </c>
      <c r="C1746" s="18">
        <v>45573</v>
      </c>
      <c r="D1746" s="24">
        <f t="shared" si="135"/>
        <v>2024</v>
      </c>
      <c r="E1746" s="24" t="str">
        <f t="shared" si="136"/>
        <v>Q4</v>
      </c>
      <c r="F1746" s="24" t="str">
        <f t="shared" si="137"/>
        <v>Oct</v>
      </c>
      <c r="G1746" s="24">
        <f t="shared" si="138"/>
        <v>10</v>
      </c>
      <c r="H1746" s="19">
        <v>1164</v>
      </c>
      <c r="I1746" s="19" t="s">
        <v>0</v>
      </c>
      <c r="J1746" s="19" t="s">
        <v>1</v>
      </c>
      <c r="K1746" s="20">
        <v>2</v>
      </c>
      <c r="L1746" s="21">
        <v>590.79</v>
      </c>
      <c r="M1746" s="22">
        <v>0.16</v>
      </c>
      <c r="N1746" s="21">
        <f t="shared" si="139"/>
        <v>496.2636</v>
      </c>
      <c r="O1746" s="21">
        <v>992.53</v>
      </c>
      <c r="P1746" s="19" t="s">
        <v>4</v>
      </c>
      <c r="Q1746" s="23">
        <v>1</v>
      </c>
      <c r="R1746" s="45">
        <v>3.9</v>
      </c>
    </row>
    <row r="1747" spans="2:18" x14ac:dyDescent="0.2">
      <c r="B1747" s="25">
        <v>1744</v>
      </c>
      <c r="C1747" s="18">
        <v>45574</v>
      </c>
      <c r="D1747" s="24">
        <f t="shared" si="135"/>
        <v>2024</v>
      </c>
      <c r="E1747" s="24" t="str">
        <f t="shared" si="136"/>
        <v>Q4</v>
      </c>
      <c r="F1747" s="24" t="str">
        <f t="shared" si="137"/>
        <v>Oct</v>
      </c>
      <c r="G1747" s="24">
        <f t="shared" si="138"/>
        <v>10</v>
      </c>
      <c r="H1747" s="19">
        <v>1181</v>
      </c>
      <c r="I1747" s="19" t="s">
        <v>7</v>
      </c>
      <c r="J1747" s="19" t="s">
        <v>5</v>
      </c>
      <c r="K1747" s="20">
        <v>1</v>
      </c>
      <c r="L1747" s="21">
        <v>507.38</v>
      </c>
      <c r="M1747" s="22">
        <v>0.34</v>
      </c>
      <c r="N1747" s="21">
        <f t="shared" si="139"/>
        <v>334.87079999999997</v>
      </c>
      <c r="O1747" s="21">
        <v>334.87</v>
      </c>
      <c r="P1747" s="19" t="s">
        <v>6</v>
      </c>
      <c r="Q1747" s="23">
        <v>8</v>
      </c>
      <c r="R1747" s="45">
        <v>4</v>
      </c>
    </row>
    <row r="1748" spans="2:18" x14ac:dyDescent="0.2">
      <c r="B1748" s="25">
        <v>1745</v>
      </c>
      <c r="C1748" s="18">
        <v>45575</v>
      </c>
      <c r="D1748" s="24">
        <f t="shared" si="135"/>
        <v>2024</v>
      </c>
      <c r="E1748" s="24" t="str">
        <f t="shared" si="136"/>
        <v>Q4</v>
      </c>
      <c r="F1748" s="24" t="str">
        <f t="shared" si="137"/>
        <v>Oct</v>
      </c>
      <c r="G1748" s="24">
        <f t="shared" si="138"/>
        <v>10</v>
      </c>
      <c r="H1748" s="19">
        <v>1468</v>
      </c>
      <c r="I1748" s="19" t="s">
        <v>0</v>
      </c>
      <c r="J1748" s="19" t="s">
        <v>9</v>
      </c>
      <c r="K1748" s="20">
        <v>5</v>
      </c>
      <c r="L1748" s="21">
        <v>476.57</v>
      </c>
      <c r="M1748" s="22">
        <v>0.03</v>
      </c>
      <c r="N1748" s="21">
        <f t="shared" si="139"/>
        <v>462.27289999999999</v>
      </c>
      <c r="O1748" s="21">
        <v>2311.36</v>
      </c>
      <c r="P1748" s="19" t="s">
        <v>2</v>
      </c>
      <c r="Q1748" s="23">
        <v>11</v>
      </c>
      <c r="R1748" s="45">
        <v>3.9</v>
      </c>
    </row>
    <row r="1749" spans="2:18" x14ac:dyDescent="0.2">
      <c r="B1749" s="25">
        <v>1746</v>
      </c>
      <c r="C1749" s="18">
        <v>45576</v>
      </c>
      <c r="D1749" s="24">
        <f t="shared" si="135"/>
        <v>2024</v>
      </c>
      <c r="E1749" s="24" t="str">
        <f t="shared" si="136"/>
        <v>Q4</v>
      </c>
      <c r="F1749" s="24" t="str">
        <f t="shared" si="137"/>
        <v>Oct</v>
      </c>
      <c r="G1749" s="24">
        <f t="shared" si="138"/>
        <v>10</v>
      </c>
      <c r="H1749" s="19">
        <v>1909</v>
      </c>
      <c r="I1749" s="19" t="s">
        <v>0</v>
      </c>
      <c r="J1749" s="19" t="s">
        <v>9</v>
      </c>
      <c r="K1749" s="20">
        <v>5</v>
      </c>
      <c r="L1749" s="21">
        <v>208.18</v>
      </c>
      <c r="M1749" s="22">
        <v>0</v>
      </c>
      <c r="N1749" s="21">
        <f t="shared" si="139"/>
        <v>208.18</v>
      </c>
      <c r="O1749" s="21">
        <v>1040.9000000000001</v>
      </c>
      <c r="P1749" s="19" t="s">
        <v>6</v>
      </c>
      <c r="Q1749" s="23">
        <v>6</v>
      </c>
      <c r="R1749" s="45">
        <v>2.2000000000000002</v>
      </c>
    </row>
    <row r="1750" spans="2:18" x14ac:dyDescent="0.2">
      <c r="B1750" s="25">
        <v>1747</v>
      </c>
      <c r="C1750" s="18">
        <v>45577</v>
      </c>
      <c r="D1750" s="24">
        <f t="shared" si="135"/>
        <v>2024</v>
      </c>
      <c r="E1750" s="24" t="str">
        <f t="shared" si="136"/>
        <v>Q4</v>
      </c>
      <c r="F1750" s="24" t="str">
        <f t="shared" si="137"/>
        <v>Oct</v>
      </c>
      <c r="G1750" s="24">
        <f t="shared" si="138"/>
        <v>10</v>
      </c>
      <c r="H1750" s="19">
        <v>1734</v>
      </c>
      <c r="I1750" s="19" t="s">
        <v>7</v>
      </c>
      <c r="J1750" s="19" t="s">
        <v>9</v>
      </c>
      <c r="K1750" s="20">
        <v>7</v>
      </c>
      <c r="L1750" s="21">
        <v>328.34</v>
      </c>
      <c r="M1750" s="22">
        <v>0.13</v>
      </c>
      <c r="N1750" s="21">
        <f t="shared" si="139"/>
        <v>285.6558</v>
      </c>
      <c r="O1750" s="21">
        <v>1999.59</v>
      </c>
      <c r="P1750" s="19" t="s">
        <v>2</v>
      </c>
      <c r="Q1750" s="23">
        <v>9</v>
      </c>
      <c r="R1750" s="45">
        <v>3.5</v>
      </c>
    </row>
    <row r="1751" spans="2:18" x14ac:dyDescent="0.2">
      <c r="B1751" s="25">
        <v>1748</v>
      </c>
      <c r="C1751" s="18">
        <v>45578</v>
      </c>
      <c r="D1751" s="24">
        <f t="shared" si="135"/>
        <v>2024</v>
      </c>
      <c r="E1751" s="24" t="str">
        <f t="shared" si="136"/>
        <v>Q4</v>
      </c>
      <c r="F1751" s="24" t="str">
        <f t="shared" si="137"/>
        <v>Oct</v>
      </c>
      <c r="G1751" s="24">
        <f t="shared" si="138"/>
        <v>10</v>
      </c>
      <c r="H1751" s="19">
        <v>1822</v>
      </c>
      <c r="I1751" s="19" t="s">
        <v>10</v>
      </c>
      <c r="J1751" s="19" t="s">
        <v>8</v>
      </c>
      <c r="K1751" s="20">
        <v>6</v>
      </c>
      <c r="L1751" s="21">
        <v>95.21</v>
      </c>
      <c r="M1751" s="22">
        <v>0.21</v>
      </c>
      <c r="N1751" s="21">
        <f t="shared" si="139"/>
        <v>75.215899999999991</v>
      </c>
      <c r="O1751" s="21">
        <v>451.3</v>
      </c>
      <c r="P1751" s="19" t="s">
        <v>4</v>
      </c>
      <c r="Q1751" s="23">
        <v>3</v>
      </c>
      <c r="R1751" s="45">
        <v>2.4</v>
      </c>
    </row>
    <row r="1752" spans="2:18" x14ac:dyDescent="0.2">
      <c r="B1752" s="25">
        <v>1749</v>
      </c>
      <c r="C1752" s="18">
        <v>45579</v>
      </c>
      <c r="D1752" s="24">
        <f t="shared" si="135"/>
        <v>2024</v>
      </c>
      <c r="E1752" s="24" t="str">
        <f t="shared" si="136"/>
        <v>Q4</v>
      </c>
      <c r="F1752" s="24" t="str">
        <f t="shared" si="137"/>
        <v>Oct</v>
      </c>
      <c r="G1752" s="24">
        <f t="shared" si="138"/>
        <v>10</v>
      </c>
      <c r="H1752" s="19">
        <v>1943</v>
      </c>
      <c r="I1752" s="19" t="s">
        <v>7</v>
      </c>
      <c r="J1752" s="19" t="s">
        <v>9</v>
      </c>
      <c r="K1752" s="20">
        <v>2</v>
      </c>
      <c r="L1752" s="21">
        <v>330.01</v>
      </c>
      <c r="M1752" s="22">
        <v>0.22</v>
      </c>
      <c r="N1752" s="21">
        <f t="shared" si="139"/>
        <v>257.40780000000001</v>
      </c>
      <c r="O1752" s="21">
        <v>514.82000000000005</v>
      </c>
      <c r="P1752" s="19" t="s">
        <v>4</v>
      </c>
      <c r="Q1752" s="23">
        <v>8</v>
      </c>
      <c r="R1752" s="45">
        <v>4.3</v>
      </c>
    </row>
    <row r="1753" spans="2:18" x14ac:dyDescent="0.2">
      <c r="B1753" s="25">
        <v>1750</v>
      </c>
      <c r="C1753" s="18">
        <v>45580</v>
      </c>
      <c r="D1753" s="24">
        <f t="shared" si="135"/>
        <v>2024</v>
      </c>
      <c r="E1753" s="24" t="str">
        <f t="shared" si="136"/>
        <v>Q4</v>
      </c>
      <c r="F1753" s="24" t="str">
        <f t="shared" si="137"/>
        <v>Oct</v>
      </c>
      <c r="G1753" s="24">
        <f t="shared" si="138"/>
        <v>10</v>
      </c>
      <c r="H1753" s="19">
        <v>1977</v>
      </c>
      <c r="I1753" s="19" t="s">
        <v>3</v>
      </c>
      <c r="J1753" s="19" t="s">
        <v>1</v>
      </c>
      <c r="K1753" s="20">
        <v>3</v>
      </c>
      <c r="L1753" s="21">
        <v>100.35</v>
      </c>
      <c r="M1753" s="22">
        <v>0.17</v>
      </c>
      <c r="N1753" s="21">
        <f t="shared" si="139"/>
        <v>83.290499999999994</v>
      </c>
      <c r="O1753" s="21">
        <v>249.87</v>
      </c>
      <c r="P1753" s="19" t="s">
        <v>6</v>
      </c>
      <c r="Q1753" s="23">
        <v>9</v>
      </c>
      <c r="R1753" s="45">
        <v>1.2</v>
      </c>
    </row>
    <row r="1754" spans="2:18" x14ac:dyDescent="0.2">
      <c r="B1754" s="25">
        <v>1751</v>
      </c>
      <c r="C1754" s="18">
        <v>45581</v>
      </c>
      <c r="D1754" s="24">
        <f t="shared" si="135"/>
        <v>2024</v>
      </c>
      <c r="E1754" s="24" t="str">
        <f t="shared" si="136"/>
        <v>Q4</v>
      </c>
      <c r="F1754" s="24" t="str">
        <f t="shared" si="137"/>
        <v>Oct</v>
      </c>
      <c r="G1754" s="24">
        <f t="shared" si="138"/>
        <v>10</v>
      </c>
      <c r="H1754" s="19">
        <v>1006</v>
      </c>
      <c r="I1754" s="19" t="s">
        <v>3</v>
      </c>
      <c r="J1754" s="19" t="s">
        <v>9</v>
      </c>
      <c r="K1754" s="20">
        <v>1</v>
      </c>
      <c r="L1754" s="21">
        <v>338.53</v>
      </c>
      <c r="M1754" s="22">
        <v>0.04</v>
      </c>
      <c r="N1754" s="21">
        <f t="shared" si="139"/>
        <v>324.98879999999997</v>
      </c>
      <c r="O1754" s="21">
        <v>324.99</v>
      </c>
      <c r="P1754" s="19" t="s">
        <v>6</v>
      </c>
      <c r="Q1754" s="23">
        <v>9</v>
      </c>
      <c r="R1754" s="45">
        <v>1.2</v>
      </c>
    </row>
    <row r="1755" spans="2:18" x14ac:dyDescent="0.2">
      <c r="B1755" s="25">
        <v>1752</v>
      </c>
      <c r="C1755" s="18">
        <v>45582</v>
      </c>
      <c r="D1755" s="24">
        <f t="shared" si="135"/>
        <v>2024</v>
      </c>
      <c r="E1755" s="24" t="str">
        <f t="shared" si="136"/>
        <v>Q4</v>
      </c>
      <c r="F1755" s="24" t="str">
        <f t="shared" si="137"/>
        <v>Oct</v>
      </c>
      <c r="G1755" s="24">
        <f t="shared" si="138"/>
        <v>10</v>
      </c>
      <c r="H1755" s="19">
        <v>1329</v>
      </c>
      <c r="I1755" s="19" t="s">
        <v>3</v>
      </c>
      <c r="J1755" s="19" t="s">
        <v>8</v>
      </c>
      <c r="K1755" s="20">
        <v>5</v>
      </c>
      <c r="L1755" s="21">
        <v>394.5</v>
      </c>
      <c r="M1755" s="22">
        <v>0.06</v>
      </c>
      <c r="N1755" s="21">
        <f t="shared" si="139"/>
        <v>370.83</v>
      </c>
      <c r="O1755" s="21">
        <v>1854.15</v>
      </c>
      <c r="P1755" s="19" t="s">
        <v>4</v>
      </c>
      <c r="Q1755" s="23">
        <v>7</v>
      </c>
      <c r="R1755" s="45">
        <v>1.4</v>
      </c>
    </row>
    <row r="1756" spans="2:18" x14ac:dyDescent="0.2">
      <c r="B1756" s="25">
        <v>1753</v>
      </c>
      <c r="C1756" s="18">
        <v>45583</v>
      </c>
      <c r="D1756" s="24">
        <f t="shared" si="135"/>
        <v>2024</v>
      </c>
      <c r="E1756" s="24" t="str">
        <f t="shared" si="136"/>
        <v>Q4</v>
      </c>
      <c r="F1756" s="24" t="str">
        <f t="shared" si="137"/>
        <v>Oct</v>
      </c>
      <c r="G1756" s="24">
        <f t="shared" si="138"/>
        <v>10</v>
      </c>
      <c r="H1756" s="19">
        <v>1774</v>
      </c>
      <c r="I1756" s="19" t="s">
        <v>0</v>
      </c>
      <c r="J1756" s="19" t="s">
        <v>1</v>
      </c>
      <c r="K1756" s="20">
        <v>4</v>
      </c>
      <c r="L1756" s="21">
        <v>243.26</v>
      </c>
      <c r="M1756" s="22">
        <v>0.3</v>
      </c>
      <c r="N1756" s="21">
        <f t="shared" si="139"/>
        <v>170.28199999999998</v>
      </c>
      <c r="O1756" s="21">
        <v>681.13</v>
      </c>
      <c r="P1756" s="19" t="s">
        <v>2</v>
      </c>
      <c r="Q1756" s="23">
        <v>11</v>
      </c>
      <c r="R1756" s="45">
        <v>1.8</v>
      </c>
    </row>
    <row r="1757" spans="2:18" x14ac:dyDescent="0.2">
      <c r="B1757" s="25">
        <v>1754</v>
      </c>
      <c r="C1757" s="18">
        <v>45584</v>
      </c>
      <c r="D1757" s="24">
        <f t="shared" si="135"/>
        <v>2024</v>
      </c>
      <c r="E1757" s="24" t="str">
        <f t="shared" si="136"/>
        <v>Q4</v>
      </c>
      <c r="F1757" s="24" t="str">
        <f t="shared" si="137"/>
        <v>Oct</v>
      </c>
      <c r="G1757" s="24">
        <f t="shared" si="138"/>
        <v>10</v>
      </c>
      <c r="H1757" s="19">
        <v>1672</v>
      </c>
      <c r="I1757" s="19" t="s">
        <v>10</v>
      </c>
      <c r="J1757" s="19" t="s">
        <v>9</v>
      </c>
      <c r="K1757" s="20">
        <v>4</v>
      </c>
      <c r="L1757" s="21">
        <v>306.64999999999998</v>
      </c>
      <c r="M1757" s="22">
        <v>0.3</v>
      </c>
      <c r="N1757" s="21">
        <f t="shared" si="139"/>
        <v>214.65499999999997</v>
      </c>
      <c r="O1757" s="21">
        <v>858.62</v>
      </c>
      <c r="P1757" s="19" t="s">
        <v>4</v>
      </c>
      <c r="Q1757" s="23">
        <v>10</v>
      </c>
      <c r="R1757" s="45">
        <v>1.2</v>
      </c>
    </row>
    <row r="1758" spans="2:18" x14ac:dyDescent="0.2">
      <c r="B1758" s="25">
        <v>1755</v>
      </c>
      <c r="C1758" s="18">
        <v>45585</v>
      </c>
      <c r="D1758" s="24">
        <f t="shared" si="135"/>
        <v>2024</v>
      </c>
      <c r="E1758" s="24" t="str">
        <f t="shared" si="136"/>
        <v>Q4</v>
      </c>
      <c r="F1758" s="24" t="str">
        <f t="shared" si="137"/>
        <v>Oct</v>
      </c>
      <c r="G1758" s="24">
        <f t="shared" si="138"/>
        <v>10</v>
      </c>
      <c r="H1758" s="19">
        <v>1150</v>
      </c>
      <c r="I1758" s="19" t="s">
        <v>3</v>
      </c>
      <c r="J1758" s="19" t="s">
        <v>1</v>
      </c>
      <c r="K1758" s="20">
        <v>3</v>
      </c>
      <c r="L1758" s="21">
        <v>527.26</v>
      </c>
      <c r="M1758" s="22">
        <v>0.24</v>
      </c>
      <c r="N1758" s="21">
        <f t="shared" si="139"/>
        <v>400.7176</v>
      </c>
      <c r="O1758" s="21">
        <v>1202.1500000000001</v>
      </c>
      <c r="P1758" s="19" t="s">
        <v>4</v>
      </c>
      <c r="Q1758" s="23">
        <v>3</v>
      </c>
      <c r="R1758" s="45">
        <v>1.3</v>
      </c>
    </row>
    <row r="1759" spans="2:18" x14ac:dyDescent="0.2">
      <c r="B1759" s="25">
        <v>1756</v>
      </c>
      <c r="C1759" s="18">
        <v>45586</v>
      </c>
      <c r="D1759" s="24">
        <f t="shared" si="135"/>
        <v>2024</v>
      </c>
      <c r="E1759" s="24" t="str">
        <f t="shared" si="136"/>
        <v>Q4</v>
      </c>
      <c r="F1759" s="24" t="str">
        <f t="shared" si="137"/>
        <v>Oct</v>
      </c>
      <c r="G1759" s="24">
        <f t="shared" si="138"/>
        <v>10</v>
      </c>
      <c r="H1759" s="19">
        <v>1084</v>
      </c>
      <c r="I1759" s="19" t="s">
        <v>10</v>
      </c>
      <c r="J1759" s="19" t="s">
        <v>1</v>
      </c>
      <c r="K1759" s="20">
        <v>2</v>
      </c>
      <c r="L1759" s="21">
        <v>78.510000000000005</v>
      </c>
      <c r="M1759" s="22">
        <v>0.23</v>
      </c>
      <c r="N1759" s="21">
        <f t="shared" si="139"/>
        <v>60.452700000000007</v>
      </c>
      <c r="O1759" s="21">
        <v>120.91</v>
      </c>
      <c r="P1759" s="19" t="s">
        <v>6</v>
      </c>
      <c r="Q1759" s="23">
        <v>3</v>
      </c>
      <c r="R1759" s="45">
        <v>2.2000000000000002</v>
      </c>
    </row>
    <row r="1760" spans="2:18" x14ac:dyDescent="0.2">
      <c r="B1760" s="25">
        <v>1757</v>
      </c>
      <c r="C1760" s="18">
        <v>45587</v>
      </c>
      <c r="D1760" s="24">
        <f t="shared" si="135"/>
        <v>2024</v>
      </c>
      <c r="E1760" s="24" t="str">
        <f t="shared" si="136"/>
        <v>Q4</v>
      </c>
      <c r="F1760" s="24" t="str">
        <f t="shared" si="137"/>
        <v>Oct</v>
      </c>
      <c r="G1760" s="24">
        <f t="shared" si="138"/>
        <v>10</v>
      </c>
      <c r="H1760" s="19">
        <v>1146</v>
      </c>
      <c r="I1760" s="19" t="s">
        <v>0</v>
      </c>
      <c r="J1760" s="19" t="s">
        <v>8</v>
      </c>
      <c r="K1760" s="20">
        <v>2</v>
      </c>
      <c r="L1760" s="21">
        <v>478.16</v>
      </c>
      <c r="M1760" s="22">
        <v>0.21</v>
      </c>
      <c r="N1760" s="21">
        <f t="shared" si="139"/>
        <v>377.74639999999999</v>
      </c>
      <c r="O1760" s="21">
        <v>755.49</v>
      </c>
      <c r="P1760" s="19" t="s">
        <v>6</v>
      </c>
      <c r="Q1760" s="23">
        <v>2</v>
      </c>
      <c r="R1760" s="45">
        <v>1.4</v>
      </c>
    </row>
    <row r="1761" spans="2:18" x14ac:dyDescent="0.2">
      <c r="B1761" s="25">
        <v>1758</v>
      </c>
      <c r="C1761" s="18">
        <v>45588</v>
      </c>
      <c r="D1761" s="24">
        <f t="shared" si="135"/>
        <v>2024</v>
      </c>
      <c r="E1761" s="24" t="str">
        <f t="shared" si="136"/>
        <v>Q4</v>
      </c>
      <c r="F1761" s="24" t="str">
        <f t="shared" si="137"/>
        <v>Oct</v>
      </c>
      <c r="G1761" s="24">
        <f t="shared" si="138"/>
        <v>10</v>
      </c>
      <c r="H1761" s="19">
        <v>1623</v>
      </c>
      <c r="I1761" s="19" t="s">
        <v>7</v>
      </c>
      <c r="J1761" s="19" t="s">
        <v>8</v>
      </c>
      <c r="K1761" s="20">
        <v>2</v>
      </c>
      <c r="L1761" s="21">
        <v>114.89</v>
      </c>
      <c r="M1761" s="22">
        <v>7.0000000000000007E-2</v>
      </c>
      <c r="N1761" s="21">
        <f t="shared" si="139"/>
        <v>106.8477</v>
      </c>
      <c r="O1761" s="21">
        <v>213.7</v>
      </c>
      <c r="P1761" s="19" t="s">
        <v>4</v>
      </c>
      <c r="Q1761" s="23">
        <v>1</v>
      </c>
      <c r="R1761" s="45">
        <v>4.2</v>
      </c>
    </row>
    <row r="1762" spans="2:18" x14ac:dyDescent="0.2">
      <c r="B1762" s="25">
        <v>1759</v>
      </c>
      <c r="C1762" s="18">
        <v>45589</v>
      </c>
      <c r="D1762" s="24">
        <f t="shared" si="135"/>
        <v>2024</v>
      </c>
      <c r="E1762" s="24" t="str">
        <f t="shared" si="136"/>
        <v>Q4</v>
      </c>
      <c r="F1762" s="24" t="str">
        <f t="shared" si="137"/>
        <v>Oct</v>
      </c>
      <c r="G1762" s="24">
        <f t="shared" si="138"/>
        <v>10</v>
      </c>
      <c r="H1762" s="19">
        <v>1380</v>
      </c>
      <c r="I1762" s="19" t="s">
        <v>0</v>
      </c>
      <c r="J1762" s="19" t="s">
        <v>1</v>
      </c>
      <c r="K1762" s="20">
        <v>6</v>
      </c>
      <c r="L1762" s="21">
        <v>36.47</v>
      </c>
      <c r="M1762" s="22">
        <v>0.15</v>
      </c>
      <c r="N1762" s="21">
        <f t="shared" si="139"/>
        <v>30.999499999999998</v>
      </c>
      <c r="O1762" s="21">
        <v>186</v>
      </c>
      <c r="P1762" s="19" t="s">
        <v>4</v>
      </c>
      <c r="Q1762" s="23">
        <v>2</v>
      </c>
      <c r="R1762" s="45">
        <v>1.2</v>
      </c>
    </row>
    <row r="1763" spans="2:18" x14ac:dyDescent="0.2">
      <c r="B1763" s="25">
        <v>1760</v>
      </c>
      <c r="C1763" s="18">
        <v>45590</v>
      </c>
      <c r="D1763" s="24">
        <f t="shared" si="135"/>
        <v>2024</v>
      </c>
      <c r="E1763" s="24" t="str">
        <f t="shared" si="136"/>
        <v>Q4</v>
      </c>
      <c r="F1763" s="24" t="str">
        <f t="shared" si="137"/>
        <v>Oct</v>
      </c>
      <c r="G1763" s="24">
        <f t="shared" si="138"/>
        <v>10</v>
      </c>
      <c r="H1763" s="19">
        <v>1914</v>
      </c>
      <c r="I1763" s="19" t="s">
        <v>7</v>
      </c>
      <c r="J1763" s="19" t="s">
        <v>9</v>
      </c>
      <c r="K1763" s="20">
        <v>7</v>
      </c>
      <c r="L1763" s="21">
        <v>123.56</v>
      </c>
      <c r="M1763" s="22">
        <v>0.24</v>
      </c>
      <c r="N1763" s="21">
        <f t="shared" si="139"/>
        <v>93.905600000000007</v>
      </c>
      <c r="O1763" s="21">
        <v>657.34</v>
      </c>
      <c r="P1763" s="19" t="s">
        <v>6</v>
      </c>
      <c r="Q1763" s="23">
        <v>5</v>
      </c>
      <c r="R1763" s="45">
        <v>4.5999999999999996</v>
      </c>
    </row>
    <row r="1764" spans="2:18" x14ac:dyDescent="0.2">
      <c r="B1764" s="25">
        <v>1761</v>
      </c>
      <c r="C1764" s="18">
        <v>45591</v>
      </c>
      <c r="D1764" s="24">
        <f t="shared" si="135"/>
        <v>2024</v>
      </c>
      <c r="E1764" s="24" t="str">
        <f t="shared" si="136"/>
        <v>Q4</v>
      </c>
      <c r="F1764" s="24" t="str">
        <f t="shared" si="137"/>
        <v>Oct</v>
      </c>
      <c r="G1764" s="24">
        <f t="shared" si="138"/>
        <v>10</v>
      </c>
      <c r="H1764" s="19">
        <v>1547</v>
      </c>
      <c r="I1764" s="19" t="s">
        <v>10</v>
      </c>
      <c r="J1764" s="19" t="s">
        <v>8</v>
      </c>
      <c r="K1764" s="20">
        <v>4</v>
      </c>
      <c r="L1764" s="21">
        <v>462.55</v>
      </c>
      <c r="M1764" s="22">
        <v>0.19</v>
      </c>
      <c r="N1764" s="21">
        <f t="shared" si="139"/>
        <v>374.66550000000001</v>
      </c>
      <c r="O1764" s="21">
        <v>1498.66</v>
      </c>
      <c r="P1764" s="19" t="s">
        <v>6</v>
      </c>
      <c r="Q1764" s="23">
        <v>1</v>
      </c>
      <c r="R1764" s="45">
        <v>4.5</v>
      </c>
    </row>
    <row r="1765" spans="2:18" x14ac:dyDescent="0.2">
      <c r="B1765" s="25">
        <v>1762</v>
      </c>
      <c r="C1765" s="18">
        <v>45592</v>
      </c>
      <c r="D1765" s="24">
        <f t="shared" si="135"/>
        <v>2024</v>
      </c>
      <c r="E1765" s="24" t="str">
        <f t="shared" si="136"/>
        <v>Q4</v>
      </c>
      <c r="F1765" s="24" t="str">
        <f t="shared" si="137"/>
        <v>Oct</v>
      </c>
      <c r="G1765" s="24">
        <f t="shared" si="138"/>
        <v>10</v>
      </c>
      <c r="H1765" s="19">
        <v>1284</v>
      </c>
      <c r="I1765" s="19" t="s">
        <v>7</v>
      </c>
      <c r="J1765" s="19" t="s">
        <v>1</v>
      </c>
      <c r="K1765" s="20">
        <v>2</v>
      </c>
      <c r="L1765" s="21">
        <v>252</v>
      </c>
      <c r="M1765" s="22">
        <v>0.01</v>
      </c>
      <c r="N1765" s="21">
        <f t="shared" si="139"/>
        <v>249.48</v>
      </c>
      <c r="O1765" s="21">
        <v>498.96</v>
      </c>
      <c r="P1765" s="19" t="s">
        <v>6</v>
      </c>
      <c r="Q1765" s="23">
        <v>10</v>
      </c>
      <c r="R1765" s="45">
        <v>1.8</v>
      </c>
    </row>
    <row r="1766" spans="2:18" x14ac:dyDescent="0.2">
      <c r="B1766" s="25">
        <v>1763</v>
      </c>
      <c r="C1766" s="18">
        <v>45593</v>
      </c>
      <c r="D1766" s="24">
        <f t="shared" si="135"/>
        <v>2024</v>
      </c>
      <c r="E1766" s="24" t="str">
        <f t="shared" si="136"/>
        <v>Q4</v>
      </c>
      <c r="F1766" s="24" t="str">
        <f t="shared" si="137"/>
        <v>Oct</v>
      </c>
      <c r="G1766" s="24">
        <f t="shared" si="138"/>
        <v>10</v>
      </c>
      <c r="H1766" s="19">
        <v>1699</v>
      </c>
      <c r="I1766" s="19" t="s">
        <v>7</v>
      </c>
      <c r="J1766" s="19" t="s">
        <v>5</v>
      </c>
      <c r="K1766" s="20">
        <v>4</v>
      </c>
      <c r="L1766" s="21">
        <v>525.41999999999996</v>
      </c>
      <c r="M1766" s="22">
        <v>0.33</v>
      </c>
      <c r="N1766" s="21">
        <f t="shared" si="139"/>
        <v>352.03139999999996</v>
      </c>
      <c r="O1766" s="21">
        <v>1408.13</v>
      </c>
      <c r="P1766" s="19" t="s">
        <v>6</v>
      </c>
      <c r="Q1766" s="23">
        <v>4</v>
      </c>
      <c r="R1766" s="45">
        <v>1.3</v>
      </c>
    </row>
    <row r="1767" spans="2:18" x14ac:dyDescent="0.2">
      <c r="B1767" s="25">
        <v>1764</v>
      </c>
      <c r="C1767" s="18">
        <v>45594</v>
      </c>
      <c r="D1767" s="24">
        <f t="shared" si="135"/>
        <v>2024</v>
      </c>
      <c r="E1767" s="24" t="str">
        <f t="shared" si="136"/>
        <v>Q4</v>
      </c>
      <c r="F1767" s="24" t="str">
        <f t="shared" si="137"/>
        <v>Oct</v>
      </c>
      <c r="G1767" s="24">
        <f t="shared" si="138"/>
        <v>10</v>
      </c>
      <c r="H1767" s="19">
        <v>1081</v>
      </c>
      <c r="I1767" s="19" t="s">
        <v>3</v>
      </c>
      <c r="J1767" s="19" t="s">
        <v>5</v>
      </c>
      <c r="K1767" s="20">
        <v>3</v>
      </c>
      <c r="L1767" s="21">
        <v>321.95</v>
      </c>
      <c r="M1767" s="22">
        <v>0.3</v>
      </c>
      <c r="N1767" s="21">
        <f t="shared" si="139"/>
        <v>225.36500000000001</v>
      </c>
      <c r="O1767" s="21">
        <v>676.09</v>
      </c>
      <c r="P1767" s="19" t="s">
        <v>4</v>
      </c>
      <c r="Q1767" s="23">
        <v>11</v>
      </c>
      <c r="R1767" s="45">
        <v>1.4</v>
      </c>
    </row>
    <row r="1768" spans="2:18" x14ac:dyDescent="0.2">
      <c r="B1768" s="25">
        <v>1765</v>
      </c>
      <c r="C1768" s="18">
        <v>45595</v>
      </c>
      <c r="D1768" s="24">
        <f t="shared" si="135"/>
        <v>2024</v>
      </c>
      <c r="E1768" s="24" t="str">
        <f t="shared" si="136"/>
        <v>Q4</v>
      </c>
      <c r="F1768" s="24" t="str">
        <f t="shared" si="137"/>
        <v>Oct</v>
      </c>
      <c r="G1768" s="24">
        <f t="shared" si="138"/>
        <v>10</v>
      </c>
      <c r="H1768" s="19">
        <v>1513</v>
      </c>
      <c r="I1768" s="19" t="s">
        <v>3</v>
      </c>
      <c r="J1768" s="19" t="s">
        <v>8</v>
      </c>
      <c r="K1768" s="20">
        <v>1</v>
      </c>
      <c r="L1768" s="21">
        <v>28.02</v>
      </c>
      <c r="M1768" s="22">
        <v>0.09</v>
      </c>
      <c r="N1768" s="21">
        <f t="shared" si="139"/>
        <v>25.498200000000001</v>
      </c>
      <c r="O1768" s="21">
        <v>25.5</v>
      </c>
      <c r="P1768" s="19" t="s">
        <v>2</v>
      </c>
      <c r="Q1768" s="23">
        <v>10</v>
      </c>
      <c r="R1768" s="45">
        <v>3.2</v>
      </c>
    </row>
    <row r="1769" spans="2:18" x14ac:dyDescent="0.2">
      <c r="B1769" s="25">
        <v>1766</v>
      </c>
      <c r="C1769" s="18">
        <v>45596</v>
      </c>
      <c r="D1769" s="24">
        <f t="shared" si="135"/>
        <v>2024</v>
      </c>
      <c r="E1769" s="24" t="str">
        <f t="shared" si="136"/>
        <v>Q4</v>
      </c>
      <c r="F1769" s="24" t="str">
        <f t="shared" si="137"/>
        <v>Oct</v>
      </c>
      <c r="G1769" s="24">
        <f t="shared" si="138"/>
        <v>10</v>
      </c>
      <c r="H1769" s="19">
        <v>1896</v>
      </c>
      <c r="I1769" s="19" t="s">
        <v>3</v>
      </c>
      <c r="J1769" s="19" t="s">
        <v>9</v>
      </c>
      <c r="K1769" s="20">
        <v>7</v>
      </c>
      <c r="L1769" s="21">
        <v>434.28</v>
      </c>
      <c r="M1769" s="22">
        <v>0.22</v>
      </c>
      <c r="N1769" s="21">
        <f t="shared" si="139"/>
        <v>338.73839999999996</v>
      </c>
      <c r="O1769" s="21">
        <v>2371.17</v>
      </c>
      <c r="P1769" s="19" t="s">
        <v>2</v>
      </c>
      <c r="Q1769" s="23">
        <v>10</v>
      </c>
      <c r="R1769" s="45">
        <v>3.4</v>
      </c>
    </row>
    <row r="1770" spans="2:18" x14ac:dyDescent="0.2">
      <c r="B1770" s="25">
        <v>1767</v>
      </c>
      <c r="C1770" s="18">
        <v>45597</v>
      </c>
      <c r="D1770" s="24">
        <f t="shared" si="135"/>
        <v>2024</v>
      </c>
      <c r="E1770" s="24" t="str">
        <f t="shared" si="136"/>
        <v>Q4</v>
      </c>
      <c r="F1770" s="24" t="str">
        <f t="shared" si="137"/>
        <v>Nov</v>
      </c>
      <c r="G1770" s="24">
        <f t="shared" si="138"/>
        <v>11</v>
      </c>
      <c r="H1770" s="19">
        <v>1814</v>
      </c>
      <c r="I1770" s="19" t="s">
        <v>7</v>
      </c>
      <c r="J1770" s="19" t="s">
        <v>5</v>
      </c>
      <c r="K1770" s="20">
        <v>6</v>
      </c>
      <c r="L1770" s="21">
        <v>79.489999999999995</v>
      </c>
      <c r="M1770" s="22">
        <v>0.32</v>
      </c>
      <c r="N1770" s="21">
        <f t="shared" si="139"/>
        <v>54.053199999999997</v>
      </c>
      <c r="O1770" s="21">
        <v>324.32</v>
      </c>
      <c r="P1770" s="19" t="s">
        <v>4</v>
      </c>
      <c r="Q1770" s="23">
        <v>1</v>
      </c>
      <c r="R1770" s="45">
        <v>2.2999999999999998</v>
      </c>
    </row>
    <row r="1771" spans="2:18" x14ac:dyDescent="0.2">
      <c r="B1771" s="25">
        <v>1768</v>
      </c>
      <c r="C1771" s="18">
        <v>45598</v>
      </c>
      <c r="D1771" s="24">
        <f t="shared" si="135"/>
        <v>2024</v>
      </c>
      <c r="E1771" s="24" t="str">
        <f t="shared" si="136"/>
        <v>Q4</v>
      </c>
      <c r="F1771" s="24" t="str">
        <f t="shared" si="137"/>
        <v>Nov</v>
      </c>
      <c r="G1771" s="24">
        <f t="shared" si="138"/>
        <v>11</v>
      </c>
      <c r="H1771" s="19">
        <v>1708</v>
      </c>
      <c r="I1771" s="19" t="s">
        <v>3</v>
      </c>
      <c r="J1771" s="19" t="s">
        <v>5</v>
      </c>
      <c r="K1771" s="20">
        <v>5</v>
      </c>
      <c r="L1771" s="21">
        <v>476.79</v>
      </c>
      <c r="M1771" s="22">
        <v>0.03</v>
      </c>
      <c r="N1771" s="21">
        <f t="shared" si="139"/>
        <v>462.48630000000003</v>
      </c>
      <c r="O1771" s="21">
        <v>2312.4299999999998</v>
      </c>
      <c r="P1771" s="19" t="s">
        <v>4</v>
      </c>
      <c r="Q1771" s="23">
        <v>10</v>
      </c>
      <c r="R1771" s="45">
        <v>2.2000000000000002</v>
      </c>
    </row>
    <row r="1772" spans="2:18" x14ac:dyDescent="0.2">
      <c r="B1772" s="25">
        <v>1769</v>
      </c>
      <c r="C1772" s="18">
        <v>45599</v>
      </c>
      <c r="D1772" s="24">
        <f t="shared" si="135"/>
        <v>2024</v>
      </c>
      <c r="E1772" s="24" t="str">
        <f t="shared" si="136"/>
        <v>Q4</v>
      </c>
      <c r="F1772" s="24" t="str">
        <f t="shared" si="137"/>
        <v>Nov</v>
      </c>
      <c r="G1772" s="24">
        <f t="shared" si="138"/>
        <v>11</v>
      </c>
      <c r="H1772" s="19">
        <v>1915</v>
      </c>
      <c r="I1772" s="19" t="s">
        <v>0</v>
      </c>
      <c r="J1772" s="19" t="s">
        <v>5</v>
      </c>
      <c r="K1772" s="20">
        <v>3</v>
      </c>
      <c r="L1772" s="21">
        <v>113.34</v>
      </c>
      <c r="M1772" s="22">
        <v>0.18</v>
      </c>
      <c r="N1772" s="21">
        <f t="shared" si="139"/>
        <v>92.938800000000001</v>
      </c>
      <c r="O1772" s="21">
        <v>278.82</v>
      </c>
      <c r="P1772" s="19" t="s">
        <v>4</v>
      </c>
      <c r="Q1772" s="23">
        <v>8</v>
      </c>
      <c r="R1772" s="45">
        <v>3.1</v>
      </c>
    </row>
    <row r="1773" spans="2:18" x14ac:dyDescent="0.2">
      <c r="B1773" s="25">
        <v>1770</v>
      </c>
      <c r="C1773" s="18">
        <v>45600</v>
      </c>
      <c r="D1773" s="24">
        <f t="shared" si="135"/>
        <v>2024</v>
      </c>
      <c r="E1773" s="24" t="str">
        <f t="shared" si="136"/>
        <v>Q4</v>
      </c>
      <c r="F1773" s="24" t="str">
        <f t="shared" si="137"/>
        <v>Nov</v>
      </c>
      <c r="G1773" s="24">
        <f t="shared" si="138"/>
        <v>11</v>
      </c>
      <c r="H1773" s="19">
        <v>1522</v>
      </c>
      <c r="I1773" s="19" t="s">
        <v>3</v>
      </c>
      <c r="J1773" s="19" t="s">
        <v>9</v>
      </c>
      <c r="K1773" s="20">
        <v>7</v>
      </c>
      <c r="L1773" s="21">
        <v>217.09</v>
      </c>
      <c r="M1773" s="22">
        <v>0.16</v>
      </c>
      <c r="N1773" s="21">
        <f t="shared" si="139"/>
        <v>182.35560000000001</v>
      </c>
      <c r="O1773" s="21">
        <v>1276.49</v>
      </c>
      <c r="P1773" s="19" t="s">
        <v>6</v>
      </c>
      <c r="Q1773" s="23">
        <v>5</v>
      </c>
      <c r="R1773" s="45">
        <v>2.2000000000000002</v>
      </c>
    </row>
    <row r="1774" spans="2:18" x14ac:dyDescent="0.2">
      <c r="B1774" s="25">
        <v>1771</v>
      </c>
      <c r="C1774" s="18">
        <v>45601</v>
      </c>
      <c r="D1774" s="24">
        <f t="shared" si="135"/>
        <v>2024</v>
      </c>
      <c r="E1774" s="24" t="str">
        <f t="shared" si="136"/>
        <v>Q4</v>
      </c>
      <c r="F1774" s="24" t="str">
        <f t="shared" si="137"/>
        <v>Nov</v>
      </c>
      <c r="G1774" s="24">
        <f t="shared" si="138"/>
        <v>11</v>
      </c>
      <c r="H1774" s="19">
        <v>1745</v>
      </c>
      <c r="I1774" s="19" t="s">
        <v>7</v>
      </c>
      <c r="J1774" s="19" t="s">
        <v>9</v>
      </c>
      <c r="K1774" s="20">
        <v>4</v>
      </c>
      <c r="L1774" s="21">
        <v>460.34</v>
      </c>
      <c r="M1774" s="22">
        <v>0.14000000000000001</v>
      </c>
      <c r="N1774" s="21">
        <f t="shared" si="139"/>
        <v>395.89239999999995</v>
      </c>
      <c r="O1774" s="21">
        <v>1583.57</v>
      </c>
      <c r="P1774" s="19" t="s">
        <v>2</v>
      </c>
      <c r="Q1774" s="23">
        <v>10</v>
      </c>
      <c r="R1774" s="45">
        <v>4.7</v>
      </c>
    </row>
    <row r="1775" spans="2:18" x14ac:dyDescent="0.2">
      <c r="B1775" s="25">
        <v>1772</v>
      </c>
      <c r="C1775" s="18">
        <v>45602</v>
      </c>
      <c r="D1775" s="24">
        <f t="shared" si="135"/>
        <v>2024</v>
      </c>
      <c r="E1775" s="24" t="str">
        <f t="shared" si="136"/>
        <v>Q4</v>
      </c>
      <c r="F1775" s="24" t="str">
        <f t="shared" si="137"/>
        <v>Nov</v>
      </c>
      <c r="G1775" s="24">
        <f t="shared" si="138"/>
        <v>11</v>
      </c>
      <c r="H1775" s="19">
        <v>1385</v>
      </c>
      <c r="I1775" s="19" t="s">
        <v>3</v>
      </c>
      <c r="J1775" s="19" t="s">
        <v>8</v>
      </c>
      <c r="K1775" s="20">
        <v>3</v>
      </c>
      <c r="L1775" s="21">
        <v>573.23</v>
      </c>
      <c r="M1775" s="22">
        <v>0.28999999999999998</v>
      </c>
      <c r="N1775" s="21">
        <f t="shared" si="139"/>
        <v>406.99330000000003</v>
      </c>
      <c r="O1775" s="21">
        <v>1220.98</v>
      </c>
      <c r="P1775" s="19" t="s">
        <v>6</v>
      </c>
      <c r="Q1775" s="23">
        <v>4</v>
      </c>
      <c r="R1775" s="45">
        <v>2.5</v>
      </c>
    </row>
    <row r="1776" spans="2:18" x14ac:dyDescent="0.2">
      <c r="B1776" s="25">
        <v>1773</v>
      </c>
      <c r="C1776" s="18">
        <v>45603</v>
      </c>
      <c r="D1776" s="24">
        <f t="shared" si="135"/>
        <v>2024</v>
      </c>
      <c r="E1776" s="24" t="str">
        <f t="shared" si="136"/>
        <v>Q4</v>
      </c>
      <c r="F1776" s="24" t="str">
        <f t="shared" si="137"/>
        <v>Nov</v>
      </c>
      <c r="G1776" s="24">
        <f t="shared" si="138"/>
        <v>11</v>
      </c>
      <c r="H1776" s="19">
        <v>1706</v>
      </c>
      <c r="I1776" s="19" t="s">
        <v>7</v>
      </c>
      <c r="J1776" s="19" t="s">
        <v>8</v>
      </c>
      <c r="K1776" s="20">
        <v>5</v>
      </c>
      <c r="L1776" s="21">
        <v>232.29</v>
      </c>
      <c r="M1776" s="22">
        <v>0.13</v>
      </c>
      <c r="N1776" s="21">
        <f t="shared" si="139"/>
        <v>202.09229999999999</v>
      </c>
      <c r="O1776" s="21">
        <v>1010.46</v>
      </c>
      <c r="P1776" s="19" t="s">
        <v>2</v>
      </c>
      <c r="Q1776" s="23">
        <v>3</v>
      </c>
      <c r="R1776" s="45">
        <v>1.9</v>
      </c>
    </row>
    <row r="1777" spans="2:18" x14ac:dyDescent="0.2">
      <c r="B1777" s="25">
        <v>1774</v>
      </c>
      <c r="C1777" s="18">
        <v>45604</v>
      </c>
      <c r="D1777" s="24">
        <f t="shared" si="135"/>
        <v>2024</v>
      </c>
      <c r="E1777" s="24" t="str">
        <f t="shared" si="136"/>
        <v>Q4</v>
      </c>
      <c r="F1777" s="24" t="str">
        <f t="shared" si="137"/>
        <v>Nov</v>
      </c>
      <c r="G1777" s="24">
        <f t="shared" si="138"/>
        <v>11</v>
      </c>
      <c r="H1777" s="19">
        <v>1470</v>
      </c>
      <c r="I1777" s="19" t="s">
        <v>10</v>
      </c>
      <c r="J1777" s="19" t="s">
        <v>5</v>
      </c>
      <c r="K1777" s="20">
        <v>7</v>
      </c>
      <c r="L1777" s="21">
        <v>500.2</v>
      </c>
      <c r="M1777" s="22">
        <v>0.02</v>
      </c>
      <c r="N1777" s="21">
        <f t="shared" si="139"/>
        <v>490.19599999999997</v>
      </c>
      <c r="O1777" s="21">
        <v>3431.37</v>
      </c>
      <c r="P1777" s="19" t="s">
        <v>4</v>
      </c>
      <c r="Q1777" s="23">
        <v>9</v>
      </c>
      <c r="R1777" s="45">
        <v>1.6</v>
      </c>
    </row>
    <row r="1778" spans="2:18" x14ac:dyDescent="0.2">
      <c r="B1778" s="25">
        <v>1775</v>
      </c>
      <c r="C1778" s="18">
        <v>45605</v>
      </c>
      <c r="D1778" s="24">
        <f t="shared" si="135"/>
        <v>2024</v>
      </c>
      <c r="E1778" s="24" t="str">
        <f t="shared" si="136"/>
        <v>Q4</v>
      </c>
      <c r="F1778" s="24" t="str">
        <f t="shared" si="137"/>
        <v>Nov</v>
      </c>
      <c r="G1778" s="24">
        <f t="shared" si="138"/>
        <v>11</v>
      </c>
      <c r="H1778" s="19">
        <v>1118</v>
      </c>
      <c r="I1778" s="19" t="s">
        <v>10</v>
      </c>
      <c r="J1778" s="19" t="s">
        <v>9</v>
      </c>
      <c r="K1778" s="20">
        <v>6</v>
      </c>
      <c r="L1778" s="21">
        <v>126.61</v>
      </c>
      <c r="M1778" s="22">
        <v>0.02</v>
      </c>
      <c r="N1778" s="21">
        <f t="shared" si="139"/>
        <v>124.0778</v>
      </c>
      <c r="O1778" s="21">
        <v>744.47</v>
      </c>
      <c r="P1778" s="19" t="s">
        <v>6</v>
      </c>
      <c r="Q1778" s="23">
        <v>6</v>
      </c>
      <c r="R1778" s="45">
        <v>3.5</v>
      </c>
    </row>
    <row r="1779" spans="2:18" x14ac:dyDescent="0.2">
      <c r="B1779" s="25">
        <v>1776</v>
      </c>
      <c r="C1779" s="18">
        <v>45606</v>
      </c>
      <c r="D1779" s="24">
        <f t="shared" si="135"/>
        <v>2024</v>
      </c>
      <c r="E1779" s="24" t="str">
        <f t="shared" si="136"/>
        <v>Q4</v>
      </c>
      <c r="F1779" s="24" t="str">
        <f t="shared" si="137"/>
        <v>Nov</v>
      </c>
      <c r="G1779" s="24">
        <f t="shared" si="138"/>
        <v>11</v>
      </c>
      <c r="H1779" s="19">
        <v>1395</v>
      </c>
      <c r="I1779" s="19" t="s">
        <v>3</v>
      </c>
      <c r="J1779" s="19" t="s">
        <v>1</v>
      </c>
      <c r="K1779" s="20">
        <v>1</v>
      </c>
      <c r="L1779" s="21">
        <v>487.2</v>
      </c>
      <c r="M1779" s="22">
        <v>0.01</v>
      </c>
      <c r="N1779" s="21">
        <f t="shared" si="139"/>
        <v>482.32799999999997</v>
      </c>
      <c r="O1779" s="21">
        <v>482.33</v>
      </c>
      <c r="P1779" s="19" t="s">
        <v>4</v>
      </c>
      <c r="Q1779" s="23">
        <v>1</v>
      </c>
      <c r="R1779" s="45">
        <v>2.2999999999999998</v>
      </c>
    </row>
    <row r="1780" spans="2:18" x14ac:dyDescent="0.2">
      <c r="B1780" s="25">
        <v>1777</v>
      </c>
      <c r="C1780" s="18">
        <v>45607</v>
      </c>
      <c r="D1780" s="24">
        <f t="shared" si="135"/>
        <v>2024</v>
      </c>
      <c r="E1780" s="24" t="str">
        <f t="shared" si="136"/>
        <v>Q4</v>
      </c>
      <c r="F1780" s="24" t="str">
        <f t="shared" si="137"/>
        <v>Nov</v>
      </c>
      <c r="G1780" s="24">
        <f t="shared" si="138"/>
        <v>11</v>
      </c>
      <c r="H1780" s="19">
        <v>1531</v>
      </c>
      <c r="I1780" s="19" t="s">
        <v>3</v>
      </c>
      <c r="J1780" s="19" t="s">
        <v>5</v>
      </c>
      <c r="K1780" s="20">
        <v>5</v>
      </c>
      <c r="L1780" s="21">
        <v>399.63</v>
      </c>
      <c r="M1780" s="22">
        <v>0.14000000000000001</v>
      </c>
      <c r="N1780" s="21">
        <f t="shared" si="139"/>
        <v>343.68180000000001</v>
      </c>
      <c r="O1780" s="21">
        <v>1718.41</v>
      </c>
      <c r="P1780" s="19" t="s">
        <v>4</v>
      </c>
      <c r="Q1780" s="23">
        <v>8</v>
      </c>
      <c r="R1780" s="45">
        <v>1.8</v>
      </c>
    </row>
    <row r="1781" spans="2:18" x14ac:dyDescent="0.2">
      <c r="B1781" s="25">
        <v>1778</v>
      </c>
      <c r="C1781" s="18">
        <v>45608</v>
      </c>
      <c r="D1781" s="24">
        <f t="shared" si="135"/>
        <v>2024</v>
      </c>
      <c r="E1781" s="24" t="str">
        <f t="shared" si="136"/>
        <v>Q4</v>
      </c>
      <c r="F1781" s="24" t="str">
        <f t="shared" si="137"/>
        <v>Nov</v>
      </c>
      <c r="G1781" s="24">
        <f t="shared" si="138"/>
        <v>11</v>
      </c>
      <c r="H1781" s="19">
        <v>1260</v>
      </c>
      <c r="I1781" s="19" t="s">
        <v>10</v>
      </c>
      <c r="J1781" s="19" t="s">
        <v>8</v>
      </c>
      <c r="K1781" s="20">
        <v>7</v>
      </c>
      <c r="L1781" s="21">
        <v>127.75</v>
      </c>
      <c r="M1781" s="22">
        <v>0.25</v>
      </c>
      <c r="N1781" s="21">
        <f t="shared" si="139"/>
        <v>95.8125</v>
      </c>
      <c r="O1781" s="21">
        <v>670.69</v>
      </c>
      <c r="P1781" s="19" t="s">
        <v>6</v>
      </c>
      <c r="Q1781" s="23">
        <v>10</v>
      </c>
      <c r="R1781" s="45">
        <v>2.1</v>
      </c>
    </row>
    <row r="1782" spans="2:18" x14ac:dyDescent="0.2">
      <c r="B1782" s="25">
        <v>1779</v>
      </c>
      <c r="C1782" s="18">
        <v>45609</v>
      </c>
      <c r="D1782" s="24">
        <f t="shared" si="135"/>
        <v>2024</v>
      </c>
      <c r="E1782" s="24" t="str">
        <f t="shared" si="136"/>
        <v>Q4</v>
      </c>
      <c r="F1782" s="24" t="str">
        <f t="shared" si="137"/>
        <v>Nov</v>
      </c>
      <c r="G1782" s="24">
        <f t="shared" si="138"/>
        <v>11</v>
      </c>
      <c r="H1782" s="19">
        <v>1804</v>
      </c>
      <c r="I1782" s="19" t="s">
        <v>3</v>
      </c>
      <c r="J1782" s="19" t="s">
        <v>9</v>
      </c>
      <c r="K1782" s="20">
        <v>6</v>
      </c>
      <c r="L1782" s="21">
        <v>191.96</v>
      </c>
      <c r="M1782" s="22">
        <v>7.0000000000000007E-2</v>
      </c>
      <c r="N1782" s="21">
        <f t="shared" si="139"/>
        <v>178.52280000000002</v>
      </c>
      <c r="O1782" s="21">
        <v>1071.1400000000001</v>
      </c>
      <c r="P1782" s="19" t="s">
        <v>4</v>
      </c>
      <c r="Q1782" s="23">
        <v>2</v>
      </c>
      <c r="R1782" s="45">
        <v>2.2000000000000002</v>
      </c>
    </row>
    <row r="1783" spans="2:18" x14ac:dyDescent="0.2">
      <c r="B1783" s="25">
        <v>1780</v>
      </c>
      <c r="C1783" s="18">
        <v>45610</v>
      </c>
      <c r="D1783" s="24">
        <f t="shared" si="135"/>
        <v>2024</v>
      </c>
      <c r="E1783" s="24" t="str">
        <f t="shared" si="136"/>
        <v>Q4</v>
      </c>
      <c r="F1783" s="24" t="str">
        <f t="shared" si="137"/>
        <v>Nov</v>
      </c>
      <c r="G1783" s="24">
        <f t="shared" si="138"/>
        <v>11</v>
      </c>
      <c r="H1783" s="19">
        <v>1933</v>
      </c>
      <c r="I1783" s="19" t="s">
        <v>10</v>
      </c>
      <c r="J1783" s="19" t="s">
        <v>8</v>
      </c>
      <c r="K1783" s="20">
        <v>4</v>
      </c>
      <c r="L1783" s="21">
        <v>92.09</v>
      </c>
      <c r="M1783" s="22">
        <v>0.23</v>
      </c>
      <c r="N1783" s="21">
        <f t="shared" si="139"/>
        <v>70.909300000000002</v>
      </c>
      <c r="O1783" s="21">
        <v>283.64</v>
      </c>
      <c r="P1783" s="19" t="s">
        <v>6</v>
      </c>
      <c r="Q1783" s="23">
        <v>9</v>
      </c>
      <c r="R1783" s="45">
        <v>3.5</v>
      </c>
    </row>
    <row r="1784" spans="2:18" x14ac:dyDescent="0.2">
      <c r="B1784" s="25">
        <v>1781</v>
      </c>
      <c r="C1784" s="18">
        <v>45611</v>
      </c>
      <c r="D1784" s="24">
        <f t="shared" si="135"/>
        <v>2024</v>
      </c>
      <c r="E1784" s="24" t="str">
        <f t="shared" si="136"/>
        <v>Q4</v>
      </c>
      <c r="F1784" s="24" t="str">
        <f t="shared" si="137"/>
        <v>Nov</v>
      </c>
      <c r="G1784" s="24">
        <f t="shared" si="138"/>
        <v>11</v>
      </c>
      <c r="H1784" s="19">
        <v>1255</v>
      </c>
      <c r="I1784" s="19" t="s">
        <v>3</v>
      </c>
      <c r="J1784" s="19" t="s">
        <v>8</v>
      </c>
      <c r="K1784" s="20">
        <v>5</v>
      </c>
      <c r="L1784" s="21">
        <v>239.04</v>
      </c>
      <c r="M1784" s="22">
        <v>0.24</v>
      </c>
      <c r="N1784" s="21">
        <f t="shared" si="139"/>
        <v>181.6704</v>
      </c>
      <c r="O1784" s="21">
        <v>908.35</v>
      </c>
      <c r="P1784" s="19" t="s">
        <v>6</v>
      </c>
      <c r="Q1784" s="23">
        <v>11</v>
      </c>
      <c r="R1784" s="45">
        <v>1.7</v>
      </c>
    </row>
    <row r="1785" spans="2:18" x14ac:dyDescent="0.2">
      <c r="B1785" s="25">
        <v>1782</v>
      </c>
      <c r="C1785" s="18">
        <v>45612</v>
      </c>
      <c r="D1785" s="24">
        <f t="shared" si="135"/>
        <v>2024</v>
      </c>
      <c r="E1785" s="24" t="str">
        <f t="shared" si="136"/>
        <v>Q4</v>
      </c>
      <c r="F1785" s="24" t="str">
        <f t="shared" si="137"/>
        <v>Nov</v>
      </c>
      <c r="G1785" s="24">
        <f t="shared" si="138"/>
        <v>11</v>
      </c>
      <c r="H1785" s="19">
        <v>1733</v>
      </c>
      <c r="I1785" s="19" t="s">
        <v>10</v>
      </c>
      <c r="J1785" s="19" t="s">
        <v>9</v>
      </c>
      <c r="K1785" s="20">
        <v>3</v>
      </c>
      <c r="L1785" s="21">
        <v>134.13</v>
      </c>
      <c r="M1785" s="22">
        <v>0.09</v>
      </c>
      <c r="N1785" s="21">
        <f t="shared" si="139"/>
        <v>122.0583</v>
      </c>
      <c r="O1785" s="21">
        <v>366.17</v>
      </c>
      <c r="P1785" s="19" t="s">
        <v>2</v>
      </c>
      <c r="Q1785" s="23">
        <v>7</v>
      </c>
      <c r="R1785" s="45">
        <v>3.9</v>
      </c>
    </row>
    <row r="1786" spans="2:18" x14ac:dyDescent="0.2">
      <c r="B1786" s="25">
        <v>1783</v>
      </c>
      <c r="C1786" s="18">
        <v>45613</v>
      </c>
      <c r="D1786" s="24">
        <f t="shared" si="135"/>
        <v>2024</v>
      </c>
      <c r="E1786" s="24" t="str">
        <f t="shared" si="136"/>
        <v>Q4</v>
      </c>
      <c r="F1786" s="24" t="str">
        <f t="shared" si="137"/>
        <v>Nov</v>
      </c>
      <c r="G1786" s="24">
        <f t="shared" si="138"/>
        <v>11</v>
      </c>
      <c r="H1786" s="19">
        <v>1904</v>
      </c>
      <c r="I1786" s="19" t="s">
        <v>3</v>
      </c>
      <c r="J1786" s="19" t="s">
        <v>5</v>
      </c>
      <c r="K1786" s="20">
        <v>2</v>
      </c>
      <c r="L1786" s="21">
        <v>391.74</v>
      </c>
      <c r="M1786" s="22">
        <v>0.21</v>
      </c>
      <c r="N1786" s="21">
        <f t="shared" si="139"/>
        <v>309.47460000000001</v>
      </c>
      <c r="O1786" s="21">
        <v>618.95000000000005</v>
      </c>
      <c r="P1786" s="19" t="s">
        <v>4</v>
      </c>
      <c r="Q1786" s="23">
        <v>3</v>
      </c>
      <c r="R1786" s="45">
        <v>2.2000000000000002</v>
      </c>
    </row>
    <row r="1787" spans="2:18" x14ac:dyDescent="0.2">
      <c r="B1787" s="25">
        <v>1784</v>
      </c>
      <c r="C1787" s="18">
        <v>45614</v>
      </c>
      <c r="D1787" s="24">
        <f t="shared" si="135"/>
        <v>2024</v>
      </c>
      <c r="E1787" s="24" t="str">
        <f t="shared" si="136"/>
        <v>Q4</v>
      </c>
      <c r="F1787" s="24" t="str">
        <f t="shared" si="137"/>
        <v>Nov</v>
      </c>
      <c r="G1787" s="24">
        <f t="shared" si="138"/>
        <v>11</v>
      </c>
      <c r="H1787" s="19">
        <v>1225</v>
      </c>
      <c r="I1787" s="19" t="s">
        <v>3</v>
      </c>
      <c r="J1787" s="19" t="s">
        <v>9</v>
      </c>
      <c r="K1787" s="20">
        <v>3</v>
      </c>
      <c r="L1787" s="21">
        <v>596.79</v>
      </c>
      <c r="M1787" s="22">
        <v>0.24</v>
      </c>
      <c r="N1787" s="21">
        <f t="shared" si="139"/>
        <v>453.56039999999996</v>
      </c>
      <c r="O1787" s="21">
        <v>1360.68</v>
      </c>
      <c r="P1787" s="19" t="s">
        <v>6</v>
      </c>
      <c r="Q1787" s="23">
        <v>4</v>
      </c>
      <c r="R1787" s="45">
        <v>3</v>
      </c>
    </row>
    <row r="1788" spans="2:18" x14ac:dyDescent="0.2">
      <c r="B1788" s="25">
        <v>1785</v>
      </c>
      <c r="C1788" s="18">
        <v>45615</v>
      </c>
      <c r="D1788" s="24">
        <f t="shared" si="135"/>
        <v>2024</v>
      </c>
      <c r="E1788" s="24" t="str">
        <f t="shared" si="136"/>
        <v>Q4</v>
      </c>
      <c r="F1788" s="24" t="str">
        <f t="shared" si="137"/>
        <v>Nov</v>
      </c>
      <c r="G1788" s="24">
        <f t="shared" si="138"/>
        <v>11</v>
      </c>
      <c r="H1788" s="19">
        <v>1052</v>
      </c>
      <c r="I1788" s="19" t="s">
        <v>0</v>
      </c>
      <c r="J1788" s="19" t="s">
        <v>5</v>
      </c>
      <c r="K1788" s="20">
        <v>4</v>
      </c>
      <c r="L1788" s="21">
        <v>22.03</v>
      </c>
      <c r="M1788" s="22">
        <v>0.16</v>
      </c>
      <c r="N1788" s="21">
        <f t="shared" si="139"/>
        <v>18.505200000000002</v>
      </c>
      <c r="O1788" s="21">
        <v>74.02</v>
      </c>
      <c r="P1788" s="19" t="s">
        <v>2</v>
      </c>
      <c r="Q1788" s="23">
        <v>3</v>
      </c>
      <c r="R1788" s="45">
        <v>3.6</v>
      </c>
    </row>
    <row r="1789" spans="2:18" x14ac:dyDescent="0.2">
      <c r="B1789" s="25">
        <v>1786</v>
      </c>
      <c r="C1789" s="18">
        <v>45616</v>
      </c>
      <c r="D1789" s="24">
        <f t="shared" si="135"/>
        <v>2024</v>
      </c>
      <c r="E1789" s="24" t="str">
        <f t="shared" si="136"/>
        <v>Q4</v>
      </c>
      <c r="F1789" s="24" t="str">
        <f t="shared" si="137"/>
        <v>Nov</v>
      </c>
      <c r="G1789" s="24">
        <f t="shared" si="138"/>
        <v>11</v>
      </c>
      <c r="H1789" s="19">
        <v>1939</v>
      </c>
      <c r="I1789" s="19" t="s">
        <v>3</v>
      </c>
      <c r="J1789" s="19" t="s">
        <v>8</v>
      </c>
      <c r="K1789" s="20">
        <v>7</v>
      </c>
      <c r="L1789" s="21">
        <v>331.44</v>
      </c>
      <c r="M1789" s="22">
        <v>0.12</v>
      </c>
      <c r="N1789" s="21">
        <f t="shared" si="139"/>
        <v>291.66719999999998</v>
      </c>
      <c r="O1789" s="21">
        <v>2041.67</v>
      </c>
      <c r="P1789" s="19" t="s">
        <v>2</v>
      </c>
      <c r="Q1789" s="23">
        <v>6</v>
      </c>
      <c r="R1789" s="45">
        <v>3.2</v>
      </c>
    </row>
    <row r="1790" spans="2:18" x14ac:dyDescent="0.2">
      <c r="B1790" s="25">
        <v>1787</v>
      </c>
      <c r="C1790" s="18">
        <v>45617</v>
      </c>
      <c r="D1790" s="24">
        <f t="shared" si="135"/>
        <v>2024</v>
      </c>
      <c r="E1790" s="24" t="str">
        <f t="shared" si="136"/>
        <v>Q4</v>
      </c>
      <c r="F1790" s="24" t="str">
        <f t="shared" si="137"/>
        <v>Nov</v>
      </c>
      <c r="G1790" s="24">
        <f t="shared" si="138"/>
        <v>11</v>
      </c>
      <c r="H1790" s="19">
        <v>1866</v>
      </c>
      <c r="I1790" s="19" t="s">
        <v>3</v>
      </c>
      <c r="J1790" s="19" t="s">
        <v>9</v>
      </c>
      <c r="K1790" s="20">
        <v>1</v>
      </c>
      <c r="L1790" s="21">
        <v>350.59</v>
      </c>
      <c r="M1790" s="22">
        <v>0.22</v>
      </c>
      <c r="N1790" s="21">
        <f t="shared" si="139"/>
        <v>273.46019999999999</v>
      </c>
      <c r="O1790" s="21">
        <v>273.45999999999998</v>
      </c>
      <c r="P1790" s="19" t="s">
        <v>6</v>
      </c>
      <c r="Q1790" s="23">
        <v>9</v>
      </c>
      <c r="R1790" s="45">
        <v>3.6</v>
      </c>
    </row>
    <row r="1791" spans="2:18" x14ac:dyDescent="0.2">
      <c r="B1791" s="25">
        <v>1788</v>
      </c>
      <c r="C1791" s="18">
        <v>45618</v>
      </c>
      <c r="D1791" s="24">
        <f t="shared" si="135"/>
        <v>2024</v>
      </c>
      <c r="E1791" s="24" t="str">
        <f t="shared" si="136"/>
        <v>Q4</v>
      </c>
      <c r="F1791" s="24" t="str">
        <f t="shared" si="137"/>
        <v>Nov</v>
      </c>
      <c r="G1791" s="24">
        <f t="shared" si="138"/>
        <v>11</v>
      </c>
      <c r="H1791" s="19">
        <v>1499</v>
      </c>
      <c r="I1791" s="19" t="s">
        <v>7</v>
      </c>
      <c r="J1791" s="19" t="s">
        <v>1</v>
      </c>
      <c r="K1791" s="20">
        <v>5</v>
      </c>
      <c r="L1791" s="21">
        <v>549.80999999999995</v>
      </c>
      <c r="M1791" s="22">
        <v>0.34</v>
      </c>
      <c r="N1791" s="21">
        <f t="shared" si="139"/>
        <v>362.87459999999999</v>
      </c>
      <c r="O1791" s="21">
        <v>1814.37</v>
      </c>
      <c r="P1791" s="19" t="s">
        <v>6</v>
      </c>
      <c r="Q1791" s="23">
        <v>10</v>
      </c>
      <c r="R1791" s="45">
        <v>2.2999999999999998</v>
      </c>
    </row>
    <row r="1792" spans="2:18" x14ac:dyDescent="0.2">
      <c r="B1792" s="25">
        <v>1789</v>
      </c>
      <c r="C1792" s="18">
        <v>45619</v>
      </c>
      <c r="D1792" s="24">
        <f t="shared" si="135"/>
        <v>2024</v>
      </c>
      <c r="E1792" s="24" t="str">
        <f t="shared" si="136"/>
        <v>Q4</v>
      </c>
      <c r="F1792" s="24" t="str">
        <f t="shared" si="137"/>
        <v>Nov</v>
      </c>
      <c r="G1792" s="24">
        <f t="shared" si="138"/>
        <v>11</v>
      </c>
      <c r="H1792" s="19">
        <v>1505</v>
      </c>
      <c r="I1792" s="19" t="s">
        <v>3</v>
      </c>
      <c r="J1792" s="19" t="s">
        <v>5</v>
      </c>
      <c r="K1792" s="20">
        <v>7</v>
      </c>
      <c r="L1792" s="21">
        <v>311.01</v>
      </c>
      <c r="M1792" s="22">
        <v>0.15</v>
      </c>
      <c r="N1792" s="21">
        <f t="shared" si="139"/>
        <v>264.35849999999999</v>
      </c>
      <c r="O1792" s="21">
        <v>1850.51</v>
      </c>
      <c r="P1792" s="19" t="s">
        <v>4</v>
      </c>
      <c r="Q1792" s="23">
        <v>9</v>
      </c>
      <c r="R1792" s="45">
        <v>4.9000000000000004</v>
      </c>
    </row>
    <row r="1793" spans="2:18" x14ac:dyDescent="0.2">
      <c r="B1793" s="25">
        <v>1790</v>
      </c>
      <c r="C1793" s="18">
        <v>45620</v>
      </c>
      <c r="D1793" s="24">
        <f t="shared" si="135"/>
        <v>2024</v>
      </c>
      <c r="E1793" s="24" t="str">
        <f t="shared" si="136"/>
        <v>Q4</v>
      </c>
      <c r="F1793" s="24" t="str">
        <f t="shared" si="137"/>
        <v>Nov</v>
      </c>
      <c r="G1793" s="24">
        <f t="shared" si="138"/>
        <v>11</v>
      </c>
      <c r="H1793" s="19">
        <v>1853</v>
      </c>
      <c r="I1793" s="19" t="s">
        <v>3</v>
      </c>
      <c r="J1793" s="19" t="s">
        <v>1</v>
      </c>
      <c r="K1793" s="20">
        <v>1</v>
      </c>
      <c r="L1793" s="21">
        <v>333.07</v>
      </c>
      <c r="M1793" s="22">
        <v>0.14000000000000001</v>
      </c>
      <c r="N1793" s="21">
        <f t="shared" si="139"/>
        <v>286.4402</v>
      </c>
      <c r="O1793" s="21">
        <v>286.44</v>
      </c>
      <c r="P1793" s="19" t="s">
        <v>6</v>
      </c>
      <c r="Q1793" s="23">
        <v>1</v>
      </c>
      <c r="R1793" s="45">
        <v>2.8</v>
      </c>
    </row>
    <row r="1794" spans="2:18" x14ac:dyDescent="0.2">
      <c r="B1794" s="25">
        <v>1791</v>
      </c>
      <c r="C1794" s="18">
        <v>45621</v>
      </c>
      <c r="D1794" s="24">
        <f t="shared" si="135"/>
        <v>2024</v>
      </c>
      <c r="E1794" s="24" t="str">
        <f t="shared" si="136"/>
        <v>Q4</v>
      </c>
      <c r="F1794" s="24" t="str">
        <f t="shared" si="137"/>
        <v>Nov</v>
      </c>
      <c r="G1794" s="24">
        <f t="shared" si="138"/>
        <v>11</v>
      </c>
      <c r="H1794" s="19">
        <v>1363</v>
      </c>
      <c r="I1794" s="19" t="s">
        <v>7</v>
      </c>
      <c r="J1794" s="19" t="s">
        <v>5</v>
      </c>
      <c r="K1794" s="20">
        <v>4</v>
      </c>
      <c r="L1794" s="21">
        <v>290.92</v>
      </c>
      <c r="M1794" s="22">
        <v>0.16</v>
      </c>
      <c r="N1794" s="21">
        <f t="shared" si="139"/>
        <v>244.37280000000001</v>
      </c>
      <c r="O1794" s="21">
        <v>977.49</v>
      </c>
      <c r="P1794" s="19" t="s">
        <v>6</v>
      </c>
      <c r="Q1794" s="23">
        <v>10</v>
      </c>
      <c r="R1794" s="45">
        <v>2.2999999999999998</v>
      </c>
    </row>
    <row r="1795" spans="2:18" x14ac:dyDescent="0.2">
      <c r="B1795" s="25">
        <v>1792</v>
      </c>
      <c r="C1795" s="18">
        <v>45622</v>
      </c>
      <c r="D1795" s="24">
        <f t="shared" si="135"/>
        <v>2024</v>
      </c>
      <c r="E1795" s="24" t="str">
        <f t="shared" si="136"/>
        <v>Q4</v>
      </c>
      <c r="F1795" s="24" t="str">
        <f t="shared" si="137"/>
        <v>Nov</v>
      </c>
      <c r="G1795" s="24">
        <f t="shared" si="138"/>
        <v>11</v>
      </c>
      <c r="H1795" s="19">
        <v>1279</v>
      </c>
      <c r="I1795" s="19" t="s">
        <v>7</v>
      </c>
      <c r="J1795" s="19" t="s">
        <v>9</v>
      </c>
      <c r="K1795" s="20">
        <v>5</v>
      </c>
      <c r="L1795" s="21">
        <v>172.31</v>
      </c>
      <c r="M1795" s="22">
        <v>0.03</v>
      </c>
      <c r="N1795" s="21">
        <f t="shared" si="139"/>
        <v>167.14070000000001</v>
      </c>
      <c r="O1795" s="21">
        <v>835.7</v>
      </c>
      <c r="P1795" s="19" t="s">
        <v>6</v>
      </c>
      <c r="Q1795" s="23">
        <v>6</v>
      </c>
      <c r="R1795" s="45">
        <v>2.2000000000000002</v>
      </c>
    </row>
    <row r="1796" spans="2:18" x14ac:dyDescent="0.2">
      <c r="B1796" s="25">
        <v>1793</v>
      </c>
      <c r="C1796" s="18">
        <v>45623</v>
      </c>
      <c r="D1796" s="24">
        <f t="shared" ref="D1796:D1859" si="140">YEAR(C1796)</f>
        <v>2024</v>
      </c>
      <c r="E1796" s="24" t="str">
        <f t="shared" ref="E1796:E1859" si="141">"Q"&amp;ROUNDUP(MONTH(C1796)/3,0)</f>
        <v>Q4</v>
      </c>
      <c r="F1796" s="24" t="str">
        <f t="shared" ref="F1796:F1859" si="142">TEXT(C1796,"mmm")</f>
        <v>Nov</v>
      </c>
      <c r="G1796" s="24">
        <f t="shared" ref="G1796:G1859" si="143">MONTH(C1796)</f>
        <v>11</v>
      </c>
      <c r="H1796" s="19">
        <v>1592</v>
      </c>
      <c r="I1796" s="19" t="s">
        <v>3</v>
      </c>
      <c r="J1796" s="19" t="s">
        <v>1</v>
      </c>
      <c r="K1796" s="20">
        <v>6</v>
      </c>
      <c r="L1796" s="21">
        <v>47.78</v>
      </c>
      <c r="M1796" s="22">
        <v>0.19</v>
      </c>
      <c r="N1796" s="21">
        <f t="shared" si="139"/>
        <v>38.701799999999999</v>
      </c>
      <c r="O1796" s="21">
        <v>232.21</v>
      </c>
      <c r="P1796" s="19" t="s">
        <v>6</v>
      </c>
      <c r="Q1796" s="23">
        <v>1</v>
      </c>
      <c r="R1796" s="45">
        <v>1.2</v>
      </c>
    </row>
    <row r="1797" spans="2:18" x14ac:dyDescent="0.2">
      <c r="B1797" s="25">
        <v>1794</v>
      </c>
      <c r="C1797" s="18">
        <v>45624</v>
      </c>
      <c r="D1797" s="24">
        <f t="shared" si="140"/>
        <v>2024</v>
      </c>
      <c r="E1797" s="24" t="str">
        <f t="shared" si="141"/>
        <v>Q4</v>
      </c>
      <c r="F1797" s="24" t="str">
        <f t="shared" si="142"/>
        <v>Nov</v>
      </c>
      <c r="G1797" s="24">
        <f t="shared" si="143"/>
        <v>11</v>
      </c>
      <c r="H1797" s="19">
        <v>1713</v>
      </c>
      <c r="I1797" s="19" t="s">
        <v>10</v>
      </c>
      <c r="J1797" s="19" t="s">
        <v>9</v>
      </c>
      <c r="K1797" s="20">
        <v>6</v>
      </c>
      <c r="L1797" s="21">
        <v>254.06</v>
      </c>
      <c r="M1797" s="22">
        <v>0.12</v>
      </c>
      <c r="N1797" s="21">
        <f t="shared" ref="N1797:N1860" si="144">L1797-(L1797*M1797)</f>
        <v>223.5728</v>
      </c>
      <c r="O1797" s="21">
        <v>1341.44</v>
      </c>
      <c r="P1797" s="19" t="s">
        <v>4</v>
      </c>
      <c r="Q1797" s="23">
        <v>11</v>
      </c>
      <c r="R1797" s="45">
        <v>3.7</v>
      </c>
    </row>
    <row r="1798" spans="2:18" x14ac:dyDescent="0.2">
      <c r="B1798" s="25">
        <v>1795</v>
      </c>
      <c r="C1798" s="18">
        <v>45625</v>
      </c>
      <c r="D1798" s="24">
        <f t="shared" si="140"/>
        <v>2024</v>
      </c>
      <c r="E1798" s="24" t="str">
        <f t="shared" si="141"/>
        <v>Q4</v>
      </c>
      <c r="F1798" s="24" t="str">
        <f t="shared" si="142"/>
        <v>Nov</v>
      </c>
      <c r="G1798" s="24">
        <f t="shared" si="143"/>
        <v>11</v>
      </c>
      <c r="H1798" s="19">
        <v>1157</v>
      </c>
      <c r="I1798" s="19" t="s">
        <v>3</v>
      </c>
      <c r="J1798" s="19" t="s">
        <v>5</v>
      </c>
      <c r="K1798" s="20">
        <v>7</v>
      </c>
      <c r="L1798" s="21">
        <v>45.77</v>
      </c>
      <c r="M1798" s="22">
        <v>0.04</v>
      </c>
      <c r="N1798" s="21">
        <f t="shared" si="144"/>
        <v>43.9392</v>
      </c>
      <c r="O1798" s="21">
        <v>307.57</v>
      </c>
      <c r="P1798" s="19" t="s">
        <v>4</v>
      </c>
      <c r="Q1798" s="23">
        <v>4</v>
      </c>
      <c r="R1798" s="45">
        <v>2.1</v>
      </c>
    </row>
    <row r="1799" spans="2:18" x14ac:dyDescent="0.2">
      <c r="B1799" s="25">
        <v>1796</v>
      </c>
      <c r="C1799" s="18">
        <v>45626</v>
      </c>
      <c r="D1799" s="24">
        <f t="shared" si="140"/>
        <v>2024</v>
      </c>
      <c r="E1799" s="24" t="str">
        <f t="shared" si="141"/>
        <v>Q4</v>
      </c>
      <c r="F1799" s="24" t="str">
        <f t="shared" si="142"/>
        <v>Nov</v>
      </c>
      <c r="G1799" s="24">
        <f t="shared" si="143"/>
        <v>11</v>
      </c>
      <c r="H1799" s="19">
        <v>1631</v>
      </c>
      <c r="I1799" s="19" t="s">
        <v>7</v>
      </c>
      <c r="J1799" s="19" t="s">
        <v>5</v>
      </c>
      <c r="K1799" s="20">
        <v>3</v>
      </c>
      <c r="L1799" s="21">
        <v>337.04</v>
      </c>
      <c r="M1799" s="22">
        <v>0.16</v>
      </c>
      <c r="N1799" s="21">
        <f t="shared" si="144"/>
        <v>283.11360000000002</v>
      </c>
      <c r="O1799" s="21">
        <v>849.34</v>
      </c>
      <c r="P1799" s="19" t="s">
        <v>6</v>
      </c>
      <c r="Q1799" s="23">
        <v>7</v>
      </c>
      <c r="R1799" s="45">
        <v>4.8</v>
      </c>
    </row>
    <row r="1800" spans="2:18" x14ac:dyDescent="0.2">
      <c r="B1800" s="25">
        <v>1797</v>
      </c>
      <c r="C1800" s="18">
        <v>45627</v>
      </c>
      <c r="D1800" s="24">
        <f t="shared" si="140"/>
        <v>2024</v>
      </c>
      <c r="E1800" s="24" t="str">
        <f t="shared" si="141"/>
        <v>Q4</v>
      </c>
      <c r="F1800" s="24" t="str">
        <f t="shared" si="142"/>
        <v>Dec</v>
      </c>
      <c r="G1800" s="24">
        <f t="shared" si="143"/>
        <v>12</v>
      </c>
      <c r="H1800" s="19">
        <v>1058</v>
      </c>
      <c r="I1800" s="19" t="s">
        <v>10</v>
      </c>
      <c r="J1800" s="19" t="s">
        <v>5</v>
      </c>
      <c r="K1800" s="20">
        <v>7</v>
      </c>
      <c r="L1800" s="21">
        <v>194.77</v>
      </c>
      <c r="M1800" s="22">
        <v>0</v>
      </c>
      <c r="N1800" s="21">
        <f t="shared" si="144"/>
        <v>194.77</v>
      </c>
      <c r="O1800" s="21">
        <v>1363.39</v>
      </c>
      <c r="P1800" s="19" t="s">
        <v>4</v>
      </c>
      <c r="Q1800" s="23">
        <v>4</v>
      </c>
      <c r="R1800" s="45">
        <v>1.8</v>
      </c>
    </row>
    <row r="1801" spans="2:18" x14ac:dyDescent="0.2">
      <c r="B1801" s="25">
        <v>1798</v>
      </c>
      <c r="C1801" s="18">
        <v>45628</v>
      </c>
      <c r="D1801" s="24">
        <f t="shared" si="140"/>
        <v>2024</v>
      </c>
      <c r="E1801" s="24" t="str">
        <f t="shared" si="141"/>
        <v>Q4</v>
      </c>
      <c r="F1801" s="24" t="str">
        <f t="shared" si="142"/>
        <v>Dec</v>
      </c>
      <c r="G1801" s="24">
        <f t="shared" si="143"/>
        <v>12</v>
      </c>
      <c r="H1801" s="19">
        <v>1726</v>
      </c>
      <c r="I1801" s="19" t="s">
        <v>7</v>
      </c>
      <c r="J1801" s="19" t="s">
        <v>5</v>
      </c>
      <c r="K1801" s="20">
        <v>3</v>
      </c>
      <c r="L1801" s="21">
        <v>327.16000000000003</v>
      </c>
      <c r="M1801" s="22">
        <v>0.14000000000000001</v>
      </c>
      <c r="N1801" s="21">
        <f t="shared" si="144"/>
        <v>281.35760000000005</v>
      </c>
      <c r="O1801" s="21">
        <v>844.07</v>
      </c>
      <c r="P1801" s="19" t="s">
        <v>4</v>
      </c>
      <c r="Q1801" s="23">
        <v>9</v>
      </c>
      <c r="R1801" s="45">
        <v>3.1</v>
      </c>
    </row>
    <row r="1802" spans="2:18" x14ac:dyDescent="0.2">
      <c r="B1802" s="25">
        <v>1799</v>
      </c>
      <c r="C1802" s="18">
        <v>45629</v>
      </c>
      <c r="D1802" s="24">
        <f t="shared" si="140"/>
        <v>2024</v>
      </c>
      <c r="E1802" s="24" t="str">
        <f t="shared" si="141"/>
        <v>Q4</v>
      </c>
      <c r="F1802" s="24" t="str">
        <f t="shared" si="142"/>
        <v>Dec</v>
      </c>
      <c r="G1802" s="24">
        <f t="shared" si="143"/>
        <v>12</v>
      </c>
      <c r="H1802" s="19">
        <v>1127</v>
      </c>
      <c r="I1802" s="19" t="s">
        <v>3</v>
      </c>
      <c r="J1802" s="19" t="s">
        <v>8</v>
      </c>
      <c r="K1802" s="20">
        <v>4</v>
      </c>
      <c r="L1802" s="21">
        <v>93.56</v>
      </c>
      <c r="M1802" s="22">
        <v>0.04</v>
      </c>
      <c r="N1802" s="21">
        <f t="shared" si="144"/>
        <v>89.817599999999999</v>
      </c>
      <c r="O1802" s="21">
        <v>359.27</v>
      </c>
      <c r="P1802" s="19" t="s">
        <v>4</v>
      </c>
      <c r="Q1802" s="23">
        <v>10</v>
      </c>
      <c r="R1802" s="45">
        <v>3.9</v>
      </c>
    </row>
    <row r="1803" spans="2:18" x14ac:dyDescent="0.2">
      <c r="B1803" s="25">
        <v>1800</v>
      </c>
      <c r="C1803" s="18">
        <v>45630</v>
      </c>
      <c r="D1803" s="24">
        <f t="shared" si="140"/>
        <v>2024</v>
      </c>
      <c r="E1803" s="24" t="str">
        <f t="shared" si="141"/>
        <v>Q4</v>
      </c>
      <c r="F1803" s="24" t="str">
        <f t="shared" si="142"/>
        <v>Dec</v>
      </c>
      <c r="G1803" s="24">
        <f t="shared" si="143"/>
        <v>12</v>
      </c>
      <c r="H1803" s="19">
        <v>1735</v>
      </c>
      <c r="I1803" s="19" t="s">
        <v>7</v>
      </c>
      <c r="J1803" s="19" t="s">
        <v>5</v>
      </c>
      <c r="K1803" s="20">
        <v>6</v>
      </c>
      <c r="L1803" s="21">
        <v>560.59</v>
      </c>
      <c r="M1803" s="22">
        <v>0.01</v>
      </c>
      <c r="N1803" s="21">
        <f t="shared" si="144"/>
        <v>554.98410000000001</v>
      </c>
      <c r="O1803" s="21">
        <v>3329.9</v>
      </c>
      <c r="P1803" s="19" t="s">
        <v>4</v>
      </c>
      <c r="Q1803" s="23">
        <v>5</v>
      </c>
      <c r="R1803" s="45">
        <v>4.5</v>
      </c>
    </row>
    <row r="1804" spans="2:18" x14ac:dyDescent="0.2">
      <c r="B1804" s="25">
        <v>1801</v>
      </c>
      <c r="C1804" s="18">
        <v>45631</v>
      </c>
      <c r="D1804" s="24">
        <f t="shared" si="140"/>
        <v>2024</v>
      </c>
      <c r="E1804" s="24" t="str">
        <f t="shared" si="141"/>
        <v>Q4</v>
      </c>
      <c r="F1804" s="24" t="str">
        <f t="shared" si="142"/>
        <v>Dec</v>
      </c>
      <c r="G1804" s="24">
        <f t="shared" si="143"/>
        <v>12</v>
      </c>
      <c r="H1804" s="19">
        <v>1720</v>
      </c>
      <c r="I1804" s="19" t="s">
        <v>7</v>
      </c>
      <c r="J1804" s="19" t="s">
        <v>1</v>
      </c>
      <c r="K1804" s="20">
        <v>5</v>
      </c>
      <c r="L1804" s="21">
        <v>538.29</v>
      </c>
      <c r="M1804" s="22">
        <v>0.28999999999999998</v>
      </c>
      <c r="N1804" s="21">
        <f t="shared" si="144"/>
        <v>382.18589999999995</v>
      </c>
      <c r="O1804" s="21">
        <v>1910.93</v>
      </c>
      <c r="P1804" s="19" t="s">
        <v>2</v>
      </c>
      <c r="Q1804" s="23">
        <v>9</v>
      </c>
      <c r="R1804" s="45">
        <v>1.6</v>
      </c>
    </row>
    <row r="1805" spans="2:18" x14ac:dyDescent="0.2">
      <c r="B1805" s="25">
        <v>1802</v>
      </c>
      <c r="C1805" s="18">
        <v>45632</v>
      </c>
      <c r="D1805" s="24">
        <f t="shared" si="140"/>
        <v>2024</v>
      </c>
      <c r="E1805" s="24" t="str">
        <f t="shared" si="141"/>
        <v>Q4</v>
      </c>
      <c r="F1805" s="24" t="str">
        <f t="shared" si="142"/>
        <v>Dec</v>
      </c>
      <c r="G1805" s="24">
        <f t="shared" si="143"/>
        <v>12</v>
      </c>
      <c r="H1805" s="19">
        <v>1881</v>
      </c>
      <c r="I1805" s="19" t="s">
        <v>7</v>
      </c>
      <c r="J1805" s="19" t="s">
        <v>5</v>
      </c>
      <c r="K1805" s="20">
        <v>6</v>
      </c>
      <c r="L1805" s="21">
        <v>126.15</v>
      </c>
      <c r="M1805" s="22">
        <v>0.32</v>
      </c>
      <c r="N1805" s="21">
        <f t="shared" si="144"/>
        <v>85.782000000000011</v>
      </c>
      <c r="O1805" s="21">
        <v>514.69000000000005</v>
      </c>
      <c r="P1805" s="19" t="s">
        <v>6</v>
      </c>
      <c r="Q1805" s="23">
        <v>1</v>
      </c>
      <c r="R1805" s="45">
        <v>4.9000000000000004</v>
      </c>
    </row>
    <row r="1806" spans="2:18" x14ac:dyDescent="0.2">
      <c r="B1806" s="25">
        <v>1803</v>
      </c>
      <c r="C1806" s="18">
        <v>45633</v>
      </c>
      <c r="D1806" s="24">
        <f t="shared" si="140"/>
        <v>2024</v>
      </c>
      <c r="E1806" s="24" t="str">
        <f t="shared" si="141"/>
        <v>Q4</v>
      </c>
      <c r="F1806" s="24" t="str">
        <f t="shared" si="142"/>
        <v>Dec</v>
      </c>
      <c r="G1806" s="24">
        <f t="shared" si="143"/>
        <v>12</v>
      </c>
      <c r="H1806" s="19">
        <v>1114</v>
      </c>
      <c r="I1806" s="19" t="s">
        <v>3</v>
      </c>
      <c r="J1806" s="19" t="s">
        <v>9</v>
      </c>
      <c r="K1806" s="20">
        <v>3</v>
      </c>
      <c r="L1806" s="21">
        <v>215.91</v>
      </c>
      <c r="M1806" s="22">
        <v>7.0000000000000007E-2</v>
      </c>
      <c r="N1806" s="21">
        <f t="shared" si="144"/>
        <v>200.7963</v>
      </c>
      <c r="O1806" s="21">
        <v>602.39</v>
      </c>
      <c r="P1806" s="19" t="s">
        <v>4</v>
      </c>
      <c r="Q1806" s="23">
        <v>4</v>
      </c>
      <c r="R1806" s="45">
        <v>4.5999999999999996</v>
      </c>
    </row>
    <row r="1807" spans="2:18" x14ac:dyDescent="0.2">
      <c r="B1807" s="25">
        <v>1804</v>
      </c>
      <c r="C1807" s="18">
        <v>45634</v>
      </c>
      <c r="D1807" s="24">
        <f t="shared" si="140"/>
        <v>2024</v>
      </c>
      <c r="E1807" s="24" t="str">
        <f t="shared" si="141"/>
        <v>Q4</v>
      </c>
      <c r="F1807" s="24" t="str">
        <f t="shared" si="142"/>
        <v>Dec</v>
      </c>
      <c r="G1807" s="24">
        <f t="shared" si="143"/>
        <v>12</v>
      </c>
      <c r="H1807" s="19">
        <v>1208</v>
      </c>
      <c r="I1807" s="19" t="s">
        <v>7</v>
      </c>
      <c r="J1807" s="19" t="s">
        <v>8</v>
      </c>
      <c r="K1807" s="20">
        <v>7</v>
      </c>
      <c r="L1807" s="21">
        <v>373.89</v>
      </c>
      <c r="M1807" s="22">
        <v>0.19</v>
      </c>
      <c r="N1807" s="21">
        <f t="shared" si="144"/>
        <v>302.85089999999997</v>
      </c>
      <c r="O1807" s="21">
        <v>2119.96</v>
      </c>
      <c r="P1807" s="19" t="s">
        <v>6</v>
      </c>
      <c r="Q1807" s="23">
        <v>7</v>
      </c>
      <c r="R1807" s="45">
        <v>4.9000000000000004</v>
      </c>
    </row>
    <row r="1808" spans="2:18" x14ac:dyDescent="0.2">
      <c r="B1808" s="25">
        <v>1805</v>
      </c>
      <c r="C1808" s="18">
        <v>45635</v>
      </c>
      <c r="D1808" s="24">
        <f t="shared" si="140"/>
        <v>2024</v>
      </c>
      <c r="E1808" s="24" t="str">
        <f t="shared" si="141"/>
        <v>Q4</v>
      </c>
      <c r="F1808" s="24" t="str">
        <f t="shared" si="142"/>
        <v>Dec</v>
      </c>
      <c r="G1808" s="24">
        <f t="shared" si="143"/>
        <v>12</v>
      </c>
      <c r="H1808" s="19">
        <v>1525</v>
      </c>
      <c r="I1808" s="19" t="s">
        <v>3</v>
      </c>
      <c r="J1808" s="19" t="s">
        <v>1</v>
      </c>
      <c r="K1808" s="20">
        <v>4</v>
      </c>
      <c r="L1808" s="21">
        <v>70.98</v>
      </c>
      <c r="M1808" s="22">
        <v>0.1</v>
      </c>
      <c r="N1808" s="21">
        <f t="shared" si="144"/>
        <v>63.882000000000005</v>
      </c>
      <c r="O1808" s="21">
        <v>255.53</v>
      </c>
      <c r="P1808" s="19" t="s">
        <v>4</v>
      </c>
      <c r="Q1808" s="23">
        <v>2</v>
      </c>
      <c r="R1808" s="45">
        <v>4.4000000000000004</v>
      </c>
    </row>
    <row r="1809" spans="2:18" x14ac:dyDescent="0.2">
      <c r="B1809" s="25">
        <v>1806</v>
      </c>
      <c r="C1809" s="18">
        <v>45636</v>
      </c>
      <c r="D1809" s="24">
        <f t="shared" si="140"/>
        <v>2024</v>
      </c>
      <c r="E1809" s="24" t="str">
        <f t="shared" si="141"/>
        <v>Q4</v>
      </c>
      <c r="F1809" s="24" t="str">
        <f t="shared" si="142"/>
        <v>Dec</v>
      </c>
      <c r="G1809" s="24">
        <f t="shared" si="143"/>
        <v>12</v>
      </c>
      <c r="H1809" s="19">
        <v>1520</v>
      </c>
      <c r="I1809" s="19" t="s">
        <v>3</v>
      </c>
      <c r="J1809" s="19" t="s">
        <v>8</v>
      </c>
      <c r="K1809" s="20">
        <v>6</v>
      </c>
      <c r="L1809" s="21">
        <v>222.42</v>
      </c>
      <c r="M1809" s="22">
        <v>0.17</v>
      </c>
      <c r="N1809" s="21">
        <f t="shared" si="144"/>
        <v>184.6086</v>
      </c>
      <c r="O1809" s="21">
        <v>1107.6500000000001</v>
      </c>
      <c r="P1809" s="19" t="s">
        <v>6</v>
      </c>
      <c r="Q1809" s="23">
        <v>9</v>
      </c>
      <c r="R1809" s="45">
        <v>4.5</v>
      </c>
    </row>
    <row r="1810" spans="2:18" x14ac:dyDescent="0.2">
      <c r="B1810" s="25">
        <v>1807</v>
      </c>
      <c r="C1810" s="18">
        <v>45637</v>
      </c>
      <c r="D1810" s="24">
        <f t="shared" si="140"/>
        <v>2024</v>
      </c>
      <c r="E1810" s="24" t="str">
        <f t="shared" si="141"/>
        <v>Q4</v>
      </c>
      <c r="F1810" s="24" t="str">
        <f t="shared" si="142"/>
        <v>Dec</v>
      </c>
      <c r="G1810" s="24">
        <f t="shared" si="143"/>
        <v>12</v>
      </c>
      <c r="H1810" s="19">
        <v>1551</v>
      </c>
      <c r="I1810" s="19" t="s">
        <v>3</v>
      </c>
      <c r="J1810" s="19" t="s">
        <v>8</v>
      </c>
      <c r="K1810" s="20">
        <v>4</v>
      </c>
      <c r="L1810" s="21">
        <v>161.9</v>
      </c>
      <c r="M1810" s="22">
        <v>0.15</v>
      </c>
      <c r="N1810" s="21">
        <f t="shared" si="144"/>
        <v>137.61500000000001</v>
      </c>
      <c r="O1810" s="21">
        <v>550.46</v>
      </c>
      <c r="P1810" s="19" t="s">
        <v>4</v>
      </c>
      <c r="Q1810" s="23">
        <v>3</v>
      </c>
      <c r="R1810" s="45">
        <v>3.4</v>
      </c>
    </row>
    <row r="1811" spans="2:18" x14ac:dyDescent="0.2">
      <c r="B1811" s="25">
        <v>1808</v>
      </c>
      <c r="C1811" s="18">
        <v>45638</v>
      </c>
      <c r="D1811" s="24">
        <f t="shared" si="140"/>
        <v>2024</v>
      </c>
      <c r="E1811" s="24" t="str">
        <f t="shared" si="141"/>
        <v>Q4</v>
      </c>
      <c r="F1811" s="24" t="str">
        <f t="shared" si="142"/>
        <v>Dec</v>
      </c>
      <c r="G1811" s="24">
        <f t="shared" si="143"/>
        <v>12</v>
      </c>
      <c r="H1811" s="19">
        <v>1961</v>
      </c>
      <c r="I1811" s="19" t="s">
        <v>3</v>
      </c>
      <c r="J1811" s="19" t="s">
        <v>8</v>
      </c>
      <c r="K1811" s="20">
        <v>6</v>
      </c>
      <c r="L1811" s="21">
        <v>550.58000000000004</v>
      </c>
      <c r="M1811" s="22">
        <v>0.09</v>
      </c>
      <c r="N1811" s="21">
        <f t="shared" si="144"/>
        <v>501.02780000000007</v>
      </c>
      <c r="O1811" s="21">
        <v>3006.17</v>
      </c>
      <c r="P1811" s="19" t="s">
        <v>2</v>
      </c>
      <c r="Q1811" s="23">
        <v>4</v>
      </c>
      <c r="R1811" s="45">
        <v>4.4000000000000004</v>
      </c>
    </row>
    <row r="1812" spans="2:18" x14ac:dyDescent="0.2">
      <c r="B1812" s="25">
        <v>1809</v>
      </c>
      <c r="C1812" s="18">
        <v>45639</v>
      </c>
      <c r="D1812" s="24">
        <f t="shared" si="140"/>
        <v>2024</v>
      </c>
      <c r="E1812" s="24" t="str">
        <f t="shared" si="141"/>
        <v>Q4</v>
      </c>
      <c r="F1812" s="24" t="str">
        <f t="shared" si="142"/>
        <v>Dec</v>
      </c>
      <c r="G1812" s="24">
        <f t="shared" si="143"/>
        <v>12</v>
      </c>
      <c r="H1812" s="19">
        <v>1236</v>
      </c>
      <c r="I1812" s="19" t="s">
        <v>10</v>
      </c>
      <c r="J1812" s="19" t="s">
        <v>9</v>
      </c>
      <c r="K1812" s="20">
        <v>7</v>
      </c>
      <c r="L1812" s="21">
        <v>513.72</v>
      </c>
      <c r="M1812" s="22">
        <v>0.25</v>
      </c>
      <c r="N1812" s="21">
        <f t="shared" si="144"/>
        <v>385.29</v>
      </c>
      <c r="O1812" s="21">
        <v>2697.03</v>
      </c>
      <c r="P1812" s="19" t="s">
        <v>4</v>
      </c>
      <c r="Q1812" s="23">
        <v>4</v>
      </c>
      <c r="R1812" s="45">
        <v>3.1</v>
      </c>
    </row>
    <row r="1813" spans="2:18" x14ac:dyDescent="0.2">
      <c r="B1813" s="25">
        <v>1810</v>
      </c>
      <c r="C1813" s="18">
        <v>45640</v>
      </c>
      <c r="D1813" s="24">
        <f t="shared" si="140"/>
        <v>2024</v>
      </c>
      <c r="E1813" s="24" t="str">
        <f t="shared" si="141"/>
        <v>Q4</v>
      </c>
      <c r="F1813" s="24" t="str">
        <f t="shared" si="142"/>
        <v>Dec</v>
      </c>
      <c r="G1813" s="24">
        <f t="shared" si="143"/>
        <v>12</v>
      </c>
      <c r="H1813" s="19">
        <v>1280</v>
      </c>
      <c r="I1813" s="19" t="s">
        <v>7</v>
      </c>
      <c r="J1813" s="19" t="s">
        <v>8</v>
      </c>
      <c r="K1813" s="20">
        <v>1</v>
      </c>
      <c r="L1813" s="21">
        <v>354.2</v>
      </c>
      <c r="M1813" s="22">
        <v>0.04</v>
      </c>
      <c r="N1813" s="21">
        <f t="shared" si="144"/>
        <v>340.03199999999998</v>
      </c>
      <c r="O1813" s="21">
        <v>340.03</v>
      </c>
      <c r="P1813" s="19" t="s">
        <v>6</v>
      </c>
      <c r="Q1813" s="23">
        <v>8</v>
      </c>
      <c r="R1813" s="45">
        <v>3.2</v>
      </c>
    </row>
    <row r="1814" spans="2:18" x14ac:dyDescent="0.2">
      <c r="B1814" s="25">
        <v>1811</v>
      </c>
      <c r="C1814" s="18">
        <v>45641</v>
      </c>
      <c r="D1814" s="24">
        <f t="shared" si="140"/>
        <v>2024</v>
      </c>
      <c r="E1814" s="24" t="str">
        <f t="shared" si="141"/>
        <v>Q4</v>
      </c>
      <c r="F1814" s="24" t="str">
        <f t="shared" si="142"/>
        <v>Dec</v>
      </c>
      <c r="G1814" s="24">
        <f t="shared" si="143"/>
        <v>12</v>
      </c>
      <c r="H1814" s="19">
        <v>1358</v>
      </c>
      <c r="I1814" s="19" t="s">
        <v>3</v>
      </c>
      <c r="J1814" s="19" t="s">
        <v>8</v>
      </c>
      <c r="K1814" s="20">
        <v>7</v>
      </c>
      <c r="L1814" s="21">
        <v>319.39999999999998</v>
      </c>
      <c r="M1814" s="22">
        <v>0.02</v>
      </c>
      <c r="N1814" s="21">
        <f t="shared" si="144"/>
        <v>313.012</v>
      </c>
      <c r="O1814" s="21">
        <v>2191.08</v>
      </c>
      <c r="P1814" s="19" t="s">
        <v>2</v>
      </c>
      <c r="Q1814" s="23">
        <v>2</v>
      </c>
      <c r="R1814" s="45">
        <v>3.3</v>
      </c>
    </row>
    <row r="1815" spans="2:18" x14ac:dyDescent="0.2">
      <c r="B1815" s="25">
        <v>1812</v>
      </c>
      <c r="C1815" s="18">
        <v>45642</v>
      </c>
      <c r="D1815" s="24">
        <f t="shared" si="140"/>
        <v>2024</v>
      </c>
      <c r="E1815" s="24" t="str">
        <f t="shared" si="141"/>
        <v>Q4</v>
      </c>
      <c r="F1815" s="24" t="str">
        <f t="shared" si="142"/>
        <v>Dec</v>
      </c>
      <c r="G1815" s="24">
        <f t="shared" si="143"/>
        <v>12</v>
      </c>
      <c r="H1815" s="19">
        <v>1200</v>
      </c>
      <c r="I1815" s="19" t="s">
        <v>7</v>
      </c>
      <c r="J1815" s="19" t="s">
        <v>5</v>
      </c>
      <c r="K1815" s="20">
        <v>6</v>
      </c>
      <c r="L1815" s="21">
        <v>559.47</v>
      </c>
      <c r="M1815" s="22">
        <v>0.27</v>
      </c>
      <c r="N1815" s="21">
        <f t="shared" si="144"/>
        <v>408.41309999999999</v>
      </c>
      <c r="O1815" s="21">
        <v>2450.48</v>
      </c>
      <c r="P1815" s="19" t="s">
        <v>2</v>
      </c>
      <c r="Q1815" s="23">
        <v>5</v>
      </c>
      <c r="R1815" s="45">
        <v>5</v>
      </c>
    </row>
    <row r="1816" spans="2:18" x14ac:dyDescent="0.2">
      <c r="B1816" s="25">
        <v>1813</v>
      </c>
      <c r="C1816" s="18">
        <v>45643</v>
      </c>
      <c r="D1816" s="24">
        <f t="shared" si="140"/>
        <v>2024</v>
      </c>
      <c r="E1816" s="24" t="str">
        <f t="shared" si="141"/>
        <v>Q4</v>
      </c>
      <c r="F1816" s="24" t="str">
        <f t="shared" si="142"/>
        <v>Dec</v>
      </c>
      <c r="G1816" s="24">
        <f t="shared" si="143"/>
        <v>12</v>
      </c>
      <c r="H1816" s="19">
        <v>1757</v>
      </c>
      <c r="I1816" s="19" t="s">
        <v>7</v>
      </c>
      <c r="J1816" s="19" t="s">
        <v>9</v>
      </c>
      <c r="K1816" s="20">
        <v>3</v>
      </c>
      <c r="L1816" s="21">
        <v>560.47</v>
      </c>
      <c r="M1816" s="22">
        <v>0.23</v>
      </c>
      <c r="N1816" s="21">
        <f t="shared" si="144"/>
        <v>431.56190000000004</v>
      </c>
      <c r="O1816" s="21">
        <v>1294.69</v>
      </c>
      <c r="P1816" s="19" t="s">
        <v>4</v>
      </c>
      <c r="Q1816" s="23">
        <v>2</v>
      </c>
      <c r="R1816" s="45">
        <v>1.4</v>
      </c>
    </row>
    <row r="1817" spans="2:18" x14ac:dyDescent="0.2">
      <c r="B1817" s="25">
        <v>1814</v>
      </c>
      <c r="C1817" s="18">
        <v>45644</v>
      </c>
      <c r="D1817" s="24">
        <f t="shared" si="140"/>
        <v>2024</v>
      </c>
      <c r="E1817" s="24" t="str">
        <f t="shared" si="141"/>
        <v>Q4</v>
      </c>
      <c r="F1817" s="24" t="str">
        <f t="shared" si="142"/>
        <v>Dec</v>
      </c>
      <c r="G1817" s="24">
        <f t="shared" si="143"/>
        <v>12</v>
      </c>
      <c r="H1817" s="19">
        <v>1277</v>
      </c>
      <c r="I1817" s="19" t="s">
        <v>3</v>
      </c>
      <c r="J1817" s="19" t="s">
        <v>1</v>
      </c>
      <c r="K1817" s="20">
        <v>7</v>
      </c>
      <c r="L1817" s="21">
        <v>582.05999999999995</v>
      </c>
      <c r="M1817" s="22">
        <v>0.17</v>
      </c>
      <c r="N1817" s="21">
        <f t="shared" si="144"/>
        <v>483.10979999999995</v>
      </c>
      <c r="O1817" s="21">
        <v>3381.77</v>
      </c>
      <c r="P1817" s="19" t="s">
        <v>6</v>
      </c>
      <c r="Q1817" s="23">
        <v>6</v>
      </c>
      <c r="R1817" s="45">
        <v>4.2</v>
      </c>
    </row>
    <row r="1818" spans="2:18" x14ac:dyDescent="0.2">
      <c r="B1818" s="25">
        <v>1815</v>
      </c>
      <c r="C1818" s="18">
        <v>45645</v>
      </c>
      <c r="D1818" s="24">
        <f t="shared" si="140"/>
        <v>2024</v>
      </c>
      <c r="E1818" s="24" t="str">
        <f t="shared" si="141"/>
        <v>Q4</v>
      </c>
      <c r="F1818" s="24" t="str">
        <f t="shared" si="142"/>
        <v>Dec</v>
      </c>
      <c r="G1818" s="24">
        <f t="shared" si="143"/>
        <v>12</v>
      </c>
      <c r="H1818" s="19">
        <v>1234</v>
      </c>
      <c r="I1818" s="19" t="s">
        <v>3</v>
      </c>
      <c r="J1818" s="19" t="s">
        <v>1</v>
      </c>
      <c r="K1818" s="20">
        <v>5</v>
      </c>
      <c r="L1818" s="21">
        <v>88.35</v>
      </c>
      <c r="M1818" s="22">
        <v>0.16</v>
      </c>
      <c r="N1818" s="21">
        <f t="shared" si="144"/>
        <v>74.213999999999999</v>
      </c>
      <c r="O1818" s="21">
        <v>371.07</v>
      </c>
      <c r="P1818" s="19" t="s">
        <v>4</v>
      </c>
      <c r="Q1818" s="23">
        <v>9</v>
      </c>
      <c r="R1818" s="45">
        <v>2.1</v>
      </c>
    </row>
    <row r="1819" spans="2:18" x14ac:dyDescent="0.2">
      <c r="B1819" s="25">
        <v>1816</v>
      </c>
      <c r="C1819" s="18">
        <v>45646</v>
      </c>
      <c r="D1819" s="24">
        <f t="shared" si="140"/>
        <v>2024</v>
      </c>
      <c r="E1819" s="24" t="str">
        <f t="shared" si="141"/>
        <v>Q4</v>
      </c>
      <c r="F1819" s="24" t="str">
        <f t="shared" si="142"/>
        <v>Dec</v>
      </c>
      <c r="G1819" s="24">
        <f t="shared" si="143"/>
        <v>12</v>
      </c>
      <c r="H1819" s="19">
        <v>1493</v>
      </c>
      <c r="I1819" s="19" t="s">
        <v>0</v>
      </c>
      <c r="J1819" s="19" t="s">
        <v>1</v>
      </c>
      <c r="K1819" s="20">
        <v>3</v>
      </c>
      <c r="L1819" s="21">
        <v>108.93</v>
      </c>
      <c r="M1819" s="22">
        <v>0.17</v>
      </c>
      <c r="N1819" s="21">
        <f t="shared" si="144"/>
        <v>90.411900000000003</v>
      </c>
      <c r="O1819" s="21">
        <v>271.24</v>
      </c>
      <c r="P1819" s="19" t="s">
        <v>6</v>
      </c>
      <c r="Q1819" s="23">
        <v>9</v>
      </c>
      <c r="R1819" s="45">
        <v>2.4</v>
      </c>
    </row>
    <row r="1820" spans="2:18" x14ac:dyDescent="0.2">
      <c r="B1820" s="25">
        <v>1817</v>
      </c>
      <c r="C1820" s="18">
        <v>45647</v>
      </c>
      <c r="D1820" s="24">
        <f t="shared" si="140"/>
        <v>2024</v>
      </c>
      <c r="E1820" s="24" t="str">
        <f t="shared" si="141"/>
        <v>Q4</v>
      </c>
      <c r="F1820" s="24" t="str">
        <f t="shared" si="142"/>
        <v>Dec</v>
      </c>
      <c r="G1820" s="24">
        <f t="shared" si="143"/>
        <v>12</v>
      </c>
      <c r="H1820" s="19">
        <v>1003</v>
      </c>
      <c r="I1820" s="19" t="s">
        <v>3</v>
      </c>
      <c r="J1820" s="19" t="s">
        <v>9</v>
      </c>
      <c r="K1820" s="20">
        <v>3</v>
      </c>
      <c r="L1820" s="21">
        <v>410.89</v>
      </c>
      <c r="M1820" s="22">
        <v>0.15</v>
      </c>
      <c r="N1820" s="21">
        <f t="shared" si="144"/>
        <v>349.25649999999996</v>
      </c>
      <c r="O1820" s="21">
        <v>1047.77</v>
      </c>
      <c r="P1820" s="19" t="s">
        <v>4</v>
      </c>
      <c r="Q1820" s="23">
        <v>1</v>
      </c>
      <c r="R1820" s="45">
        <v>1.3</v>
      </c>
    </row>
    <row r="1821" spans="2:18" x14ac:dyDescent="0.2">
      <c r="B1821" s="25">
        <v>1818</v>
      </c>
      <c r="C1821" s="18">
        <v>45648</v>
      </c>
      <c r="D1821" s="24">
        <f t="shared" si="140"/>
        <v>2024</v>
      </c>
      <c r="E1821" s="24" t="str">
        <f t="shared" si="141"/>
        <v>Q4</v>
      </c>
      <c r="F1821" s="24" t="str">
        <f t="shared" si="142"/>
        <v>Dec</v>
      </c>
      <c r="G1821" s="24">
        <f t="shared" si="143"/>
        <v>12</v>
      </c>
      <c r="H1821" s="19">
        <v>1665</v>
      </c>
      <c r="I1821" s="19" t="s">
        <v>0</v>
      </c>
      <c r="J1821" s="19" t="s">
        <v>1</v>
      </c>
      <c r="K1821" s="20">
        <v>3</v>
      </c>
      <c r="L1821" s="21">
        <v>331.74</v>
      </c>
      <c r="M1821" s="22">
        <v>0.14000000000000001</v>
      </c>
      <c r="N1821" s="21">
        <f t="shared" si="144"/>
        <v>285.29640000000001</v>
      </c>
      <c r="O1821" s="21">
        <v>855.89</v>
      </c>
      <c r="P1821" s="19" t="s">
        <v>2</v>
      </c>
      <c r="Q1821" s="23">
        <v>4</v>
      </c>
      <c r="R1821" s="45">
        <v>2.4</v>
      </c>
    </row>
    <row r="1822" spans="2:18" x14ac:dyDescent="0.2">
      <c r="B1822" s="25">
        <v>1819</v>
      </c>
      <c r="C1822" s="18">
        <v>45649</v>
      </c>
      <c r="D1822" s="24">
        <f t="shared" si="140"/>
        <v>2024</v>
      </c>
      <c r="E1822" s="24" t="str">
        <f t="shared" si="141"/>
        <v>Q4</v>
      </c>
      <c r="F1822" s="24" t="str">
        <f t="shared" si="142"/>
        <v>Dec</v>
      </c>
      <c r="G1822" s="24">
        <f t="shared" si="143"/>
        <v>12</v>
      </c>
      <c r="H1822" s="19">
        <v>1441</v>
      </c>
      <c r="I1822" s="19" t="s">
        <v>7</v>
      </c>
      <c r="J1822" s="19" t="s">
        <v>9</v>
      </c>
      <c r="K1822" s="20">
        <v>4</v>
      </c>
      <c r="L1822" s="21">
        <v>25.8</v>
      </c>
      <c r="M1822" s="22">
        <v>0.17</v>
      </c>
      <c r="N1822" s="21">
        <f t="shared" si="144"/>
        <v>21.414000000000001</v>
      </c>
      <c r="O1822" s="21">
        <v>85.66</v>
      </c>
      <c r="P1822" s="19" t="s">
        <v>4</v>
      </c>
      <c r="Q1822" s="23">
        <v>4</v>
      </c>
      <c r="R1822" s="45">
        <v>5</v>
      </c>
    </row>
    <row r="1823" spans="2:18" x14ac:dyDescent="0.2">
      <c r="B1823" s="25">
        <v>1820</v>
      </c>
      <c r="C1823" s="18">
        <v>45650</v>
      </c>
      <c r="D1823" s="24">
        <f t="shared" si="140"/>
        <v>2024</v>
      </c>
      <c r="E1823" s="24" t="str">
        <f t="shared" si="141"/>
        <v>Q4</v>
      </c>
      <c r="F1823" s="24" t="str">
        <f t="shared" si="142"/>
        <v>Dec</v>
      </c>
      <c r="G1823" s="24">
        <f t="shared" si="143"/>
        <v>12</v>
      </c>
      <c r="H1823" s="19">
        <v>1028</v>
      </c>
      <c r="I1823" s="19" t="s">
        <v>7</v>
      </c>
      <c r="J1823" s="19" t="s">
        <v>5</v>
      </c>
      <c r="K1823" s="20">
        <v>2</v>
      </c>
      <c r="L1823" s="21">
        <v>51.26</v>
      </c>
      <c r="M1823" s="22">
        <v>0.18</v>
      </c>
      <c r="N1823" s="21">
        <f t="shared" si="144"/>
        <v>42.033200000000001</v>
      </c>
      <c r="O1823" s="21">
        <v>84.07</v>
      </c>
      <c r="P1823" s="19" t="s">
        <v>6</v>
      </c>
      <c r="Q1823" s="23">
        <v>1</v>
      </c>
      <c r="R1823" s="45">
        <v>2.6</v>
      </c>
    </row>
    <row r="1824" spans="2:18" x14ac:dyDescent="0.2">
      <c r="B1824" s="25">
        <v>1821</v>
      </c>
      <c r="C1824" s="18">
        <v>45651</v>
      </c>
      <c r="D1824" s="24">
        <f t="shared" si="140"/>
        <v>2024</v>
      </c>
      <c r="E1824" s="24" t="str">
        <f t="shared" si="141"/>
        <v>Q4</v>
      </c>
      <c r="F1824" s="24" t="str">
        <f t="shared" si="142"/>
        <v>Dec</v>
      </c>
      <c r="G1824" s="24">
        <f t="shared" si="143"/>
        <v>12</v>
      </c>
      <c r="H1824" s="19">
        <v>1108</v>
      </c>
      <c r="I1824" s="19" t="s">
        <v>7</v>
      </c>
      <c r="J1824" s="19" t="s">
        <v>5</v>
      </c>
      <c r="K1824" s="20">
        <v>2</v>
      </c>
      <c r="L1824" s="21">
        <v>534.53</v>
      </c>
      <c r="M1824" s="22">
        <v>0.24</v>
      </c>
      <c r="N1824" s="21">
        <f t="shared" si="144"/>
        <v>406.24279999999999</v>
      </c>
      <c r="O1824" s="21">
        <v>812.49</v>
      </c>
      <c r="P1824" s="19" t="s">
        <v>6</v>
      </c>
      <c r="Q1824" s="23">
        <v>10</v>
      </c>
      <c r="R1824" s="45">
        <v>3.7</v>
      </c>
    </row>
    <row r="1825" spans="2:18" x14ac:dyDescent="0.2">
      <c r="B1825" s="25">
        <v>1822</v>
      </c>
      <c r="C1825" s="18">
        <v>45652</v>
      </c>
      <c r="D1825" s="24">
        <f t="shared" si="140"/>
        <v>2024</v>
      </c>
      <c r="E1825" s="24" t="str">
        <f t="shared" si="141"/>
        <v>Q4</v>
      </c>
      <c r="F1825" s="24" t="str">
        <f t="shared" si="142"/>
        <v>Dec</v>
      </c>
      <c r="G1825" s="24">
        <f t="shared" si="143"/>
        <v>12</v>
      </c>
      <c r="H1825" s="19">
        <v>1609</v>
      </c>
      <c r="I1825" s="19" t="s">
        <v>7</v>
      </c>
      <c r="J1825" s="19" t="s">
        <v>9</v>
      </c>
      <c r="K1825" s="20">
        <v>1</v>
      </c>
      <c r="L1825" s="21">
        <v>523.29</v>
      </c>
      <c r="M1825" s="22">
        <v>0.25</v>
      </c>
      <c r="N1825" s="21">
        <f t="shared" si="144"/>
        <v>392.46749999999997</v>
      </c>
      <c r="O1825" s="21">
        <v>392.47</v>
      </c>
      <c r="P1825" s="19" t="s">
        <v>2</v>
      </c>
      <c r="Q1825" s="23">
        <v>2</v>
      </c>
      <c r="R1825" s="45">
        <v>1.5</v>
      </c>
    </row>
    <row r="1826" spans="2:18" x14ac:dyDescent="0.2">
      <c r="B1826" s="25">
        <v>1823</v>
      </c>
      <c r="C1826" s="18">
        <v>45653</v>
      </c>
      <c r="D1826" s="24">
        <f t="shared" si="140"/>
        <v>2024</v>
      </c>
      <c r="E1826" s="24" t="str">
        <f t="shared" si="141"/>
        <v>Q4</v>
      </c>
      <c r="F1826" s="24" t="str">
        <f t="shared" si="142"/>
        <v>Dec</v>
      </c>
      <c r="G1826" s="24">
        <f t="shared" si="143"/>
        <v>12</v>
      </c>
      <c r="H1826" s="19">
        <v>1726</v>
      </c>
      <c r="I1826" s="19" t="s">
        <v>3</v>
      </c>
      <c r="J1826" s="19" t="s">
        <v>1</v>
      </c>
      <c r="K1826" s="20">
        <v>3</v>
      </c>
      <c r="L1826" s="21">
        <v>224</v>
      </c>
      <c r="M1826" s="22">
        <v>0.13</v>
      </c>
      <c r="N1826" s="21">
        <f t="shared" si="144"/>
        <v>194.88</v>
      </c>
      <c r="O1826" s="21">
        <v>584.64</v>
      </c>
      <c r="P1826" s="19" t="s">
        <v>6</v>
      </c>
      <c r="Q1826" s="23">
        <v>6</v>
      </c>
      <c r="R1826" s="45">
        <v>4.7</v>
      </c>
    </row>
    <row r="1827" spans="2:18" x14ac:dyDescent="0.2">
      <c r="B1827" s="25">
        <v>1824</v>
      </c>
      <c r="C1827" s="18">
        <v>45654</v>
      </c>
      <c r="D1827" s="24">
        <f t="shared" si="140"/>
        <v>2024</v>
      </c>
      <c r="E1827" s="24" t="str">
        <f t="shared" si="141"/>
        <v>Q4</v>
      </c>
      <c r="F1827" s="24" t="str">
        <f t="shared" si="142"/>
        <v>Dec</v>
      </c>
      <c r="G1827" s="24">
        <f t="shared" si="143"/>
        <v>12</v>
      </c>
      <c r="H1827" s="19">
        <v>1804</v>
      </c>
      <c r="I1827" s="19" t="s">
        <v>3</v>
      </c>
      <c r="J1827" s="19" t="s">
        <v>9</v>
      </c>
      <c r="K1827" s="20">
        <v>2</v>
      </c>
      <c r="L1827" s="21">
        <v>536.26</v>
      </c>
      <c r="M1827" s="22">
        <v>0.14000000000000001</v>
      </c>
      <c r="N1827" s="21">
        <f t="shared" si="144"/>
        <v>461.18359999999996</v>
      </c>
      <c r="O1827" s="21">
        <v>922.37</v>
      </c>
      <c r="P1827" s="19" t="s">
        <v>4</v>
      </c>
      <c r="Q1827" s="23">
        <v>10</v>
      </c>
      <c r="R1827" s="45">
        <v>4.3</v>
      </c>
    </row>
    <row r="1828" spans="2:18" x14ac:dyDescent="0.2">
      <c r="B1828" s="25">
        <v>1825</v>
      </c>
      <c r="C1828" s="18">
        <v>45655</v>
      </c>
      <c r="D1828" s="24">
        <f t="shared" si="140"/>
        <v>2024</v>
      </c>
      <c r="E1828" s="24" t="str">
        <f t="shared" si="141"/>
        <v>Q4</v>
      </c>
      <c r="F1828" s="24" t="str">
        <f t="shared" si="142"/>
        <v>Dec</v>
      </c>
      <c r="G1828" s="24">
        <f t="shared" si="143"/>
        <v>12</v>
      </c>
      <c r="H1828" s="19">
        <v>1074</v>
      </c>
      <c r="I1828" s="19" t="s">
        <v>7</v>
      </c>
      <c r="J1828" s="19" t="s">
        <v>9</v>
      </c>
      <c r="K1828" s="20">
        <v>1</v>
      </c>
      <c r="L1828" s="21">
        <v>362.3</v>
      </c>
      <c r="M1828" s="22">
        <v>0.13</v>
      </c>
      <c r="N1828" s="21">
        <f t="shared" si="144"/>
        <v>315.20100000000002</v>
      </c>
      <c r="O1828" s="21">
        <v>315.2</v>
      </c>
      <c r="P1828" s="19" t="s">
        <v>4</v>
      </c>
      <c r="Q1828" s="23">
        <v>3</v>
      </c>
      <c r="R1828" s="45">
        <v>2.5</v>
      </c>
    </row>
    <row r="1829" spans="2:18" x14ac:dyDescent="0.2">
      <c r="B1829" s="25">
        <v>1826</v>
      </c>
      <c r="C1829" s="18">
        <v>45656</v>
      </c>
      <c r="D1829" s="24">
        <f t="shared" si="140"/>
        <v>2024</v>
      </c>
      <c r="E1829" s="24" t="str">
        <f t="shared" si="141"/>
        <v>Q4</v>
      </c>
      <c r="F1829" s="24" t="str">
        <f t="shared" si="142"/>
        <v>Dec</v>
      </c>
      <c r="G1829" s="24">
        <f t="shared" si="143"/>
        <v>12</v>
      </c>
      <c r="H1829" s="19">
        <v>1837</v>
      </c>
      <c r="I1829" s="19" t="s">
        <v>0</v>
      </c>
      <c r="J1829" s="19" t="s">
        <v>8</v>
      </c>
      <c r="K1829" s="20">
        <v>4</v>
      </c>
      <c r="L1829" s="21">
        <v>486.45</v>
      </c>
      <c r="M1829" s="22">
        <v>0.19</v>
      </c>
      <c r="N1829" s="21">
        <f t="shared" si="144"/>
        <v>394.02449999999999</v>
      </c>
      <c r="O1829" s="21">
        <v>1576.1</v>
      </c>
      <c r="P1829" s="19" t="s">
        <v>4</v>
      </c>
      <c r="Q1829" s="23">
        <v>9</v>
      </c>
      <c r="R1829" s="45">
        <v>2.4</v>
      </c>
    </row>
    <row r="1830" spans="2:18" x14ac:dyDescent="0.2">
      <c r="B1830" s="25">
        <v>1827</v>
      </c>
      <c r="C1830" s="18">
        <v>45657</v>
      </c>
      <c r="D1830" s="24">
        <f t="shared" si="140"/>
        <v>2024</v>
      </c>
      <c r="E1830" s="24" t="str">
        <f t="shared" si="141"/>
        <v>Q4</v>
      </c>
      <c r="F1830" s="24" t="str">
        <f t="shared" si="142"/>
        <v>Dec</v>
      </c>
      <c r="G1830" s="24">
        <f t="shared" si="143"/>
        <v>12</v>
      </c>
      <c r="H1830" s="19">
        <v>1145</v>
      </c>
      <c r="I1830" s="19" t="s">
        <v>10</v>
      </c>
      <c r="J1830" s="19" t="s">
        <v>9</v>
      </c>
      <c r="K1830" s="20">
        <v>3</v>
      </c>
      <c r="L1830" s="21">
        <v>265.05</v>
      </c>
      <c r="M1830" s="22">
        <v>0.16</v>
      </c>
      <c r="N1830" s="21">
        <f t="shared" si="144"/>
        <v>222.642</v>
      </c>
      <c r="O1830" s="21">
        <v>667.93</v>
      </c>
      <c r="P1830" s="19" t="s">
        <v>6</v>
      </c>
      <c r="Q1830" s="23">
        <v>3</v>
      </c>
      <c r="R1830" s="45">
        <v>2.7</v>
      </c>
    </row>
    <row r="1831" spans="2:18" x14ac:dyDescent="0.2">
      <c r="B1831" s="25">
        <v>1828</v>
      </c>
      <c r="C1831" s="18">
        <v>45658</v>
      </c>
      <c r="D1831" s="24">
        <f t="shared" si="140"/>
        <v>2025</v>
      </c>
      <c r="E1831" s="24" t="str">
        <f t="shared" si="141"/>
        <v>Q1</v>
      </c>
      <c r="F1831" s="24" t="str">
        <f t="shared" si="142"/>
        <v>Jan</v>
      </c>
      <c r="G1831" s="24">
        <f t="shared" si="143"/>
        <v>1</v>
      </c>
      <c r="H1831" s="19">
        <v>1127</v>
      </c>
      <c r="I1831" s="19" t="s">
        <v>7</v>
      </c>
      <c r="J1831" s="19" t="s">
        <v>8</v>
      </c>
      <c r="K1831" s="20">
        <v>5</v>
      </c>
      <c r="L1831" s="21">
        <v>81.34</v>
      </c>
      <c r="M1831" s="22">
        <v>0.31</v>
      </c>
      <c r="N1831" s="21">
        <f t="shared" si="144"/>
        <v>56.124600000000001</v>
      </c>
      <c r="O1831" s="21">
        <v>280.62</v>
      </c>
      <c r="P1831" s="19" t="s">
        <v>6</v>
      </c>
      <c r="Q1831" s="23">
        <v>3</v>
      </c>
      <c r="R1831" s="45">
        <v>2.6</v>
      </c>
    </row>
    <row r="1832" spans="2:18" x14ac:dyDescent="0.2">
      <c r="B1832" s="25">
        <v>1829</v>
      </c>
      <c r="C1832" s="18">
        <v>45659</v>
      </c>
      <c r="D1832" s="24">
        <f t="shared" si="140"/>
        <v>2025</v>
      </c>
      <c r="E1832" s="24" t="str">
        <f t="shared" si="141"/>
        <v>Q1</v>
      </c>
      <c r="F1832" s="24" t="str">
        <f t="shared" si="142"/>
        <v>Jan</v>
      </c>
      <c r="G1832" s="24">
        <f t="shared" si="143"/>
        <v>1</v>
      </c>
      <c r="H1832" s="19">
        <v>1852</v>
      </c>
      <c r="I1832" s="19" t="s">
        <v>7</v>
      </c>
      <c r="J1832" s="19" t="s">
        <v>5</v>
      </c>
      <c r="K1832" s="20">
        <v>4</v>
      </c>
      <c r="L1832" s="21">
        <v>268.73</v>
      </c>
      <c r="M1832" s="22">
        <v>0.24</v>
      </c>
      <c r="N1832" s="21">
        <f t="shared" si="144"/>
        <v>204.23480000000001</v>
      </c>
      <c r="O1832" s="21">
        <v>816.94</v>
      </c>
      <c r="P1832" s="19" t="s">
        <v>6</v>
      </c>
      <c r="Q1832" s="23">
        <v>9</v>
      </c>
      <c r="R1832" s="45">
        <v>2</v>
      </c>
    </row>
    <row r="1833" spans="2:18" x14ac:dyDescent="0.2">
      <c r="B1833" s="25">
        <v>1830</v>
      </c>
      <c r="C1833" s="18">
        <v>45660</v>
      </c>
      <c r="D1833" s="24">
        <f t="shared" si="140"/>
        <v>2025</v>
      </c>
      <c r="E1833" s="24" t="str">
        <f t="shared" si="141"/>
        <v>Q1</v>
      </c>
      <c r="F1833" s="24" t="str">
        <f t="shared" si="142"/>
        <v>Jan</v>
      </c>
      <c r="G1833" s="24">
        <f t="shared" si="143"/>
        <v>1</v>
      </c>
      <c r="H1833" s="19">
        <v>1041</v>
      </c>
      <c r="I1833" s="19" t="s">
        <v>7</v>
      </c>
      <c r="J1833" s="19" t="s">
        <v>8</v>
      </c>
      <c r="K1833" s="20">
        <v>1</v>
      </c>
      <c r="L1833" s="21">
        <v>282.52</v>
      </c>
      <c r="M1833" s="22">
        <v>0.31</v>
      </c>
      <c r="N1833" s="21">
        <f t="shared" si="144"/>
        <v>194.93879999999999</v>
      </c>
      <c r="O1833" s="21">
        <v>194.94</v>
      </c>
      <c r="P1833" s="19" t="s">
        <v>4</v>
      </c>
      <c r="Q1833" s="23">
        <v>3</v>
      </c>
      <c r="R1833" s="45">
        <v>5</v>
      </c>
    </row>
    <row r="1834" spans="2:18" x14ac:dyDescent="0.2">
      <c r="B1834" s="25">
        <v>1831</v>
      </c>
      <c r="C1834" s="18">
        <v>45661</v>
      </c>
      <c r="D1834" s="24">
        <f t="shared" si="140"/>
        <v>2025</v>
      </c>
      <c r="E1834" s="24" t="str">
        <f t="shared" si="141"/>
        <v>Q1</v>
      </c>
      <c r="F1834" s="24" t="str">
        <f t="shared" si="142"/>
        <v>Jan</v>
      </c>
      <c r="G1834" s="24">
        <f t="shared" si="143"/>
        <v>1</v>
      </c>
      <c r="H1834" s="19">
        <v>1355</v>
      </c>
      <c r="I1834" s="19" t="s">
        <v>7</v>
      </c>
      <c r="J1834" s="19" t="s">
        <v>9</v>
      </c>
      <c r="K1834" s="20">
        <v>4</v>
      </c>
      <c r="L1834" s="21">
        <v>337.3</v>
      </c>
      <c r="M1834" s="22">
        <v>0.25</v>
      </c>
      <c r="N1834" s="21">
        <f t="shared" si="144"/>
        <v>252.97500000000002</v>
      </c>
      <c r="O1834" s="21">
        <v>1011.9</v>
      </c>
      <c r="P1834" s="19" t="s">
        <v>6</v>
      </c>
      <c r="Q1834" s="23">
        <v>6</v>
      </c>
      <c r="R1834" s="45">
        <v>4.2</v>
      </c>
    </row>
    <row r="1835" spans="2:18" x14ac:dyDescent="0.2">
      <c r="B1835" s="25">
        <v>1832</v>
      </c>
      <c r="C1835" s="18">
        <v>45662</v>
      </c>
      <c r="D1835" s="24">
        <f t="shared" si="140"/>
        <v>2025</v>
      </c>
      <c r="E1835" s="24" t="str">
        <f t="shared" si="141"/>
        <v>Q1</v>
      </c>
      <c r="F1835" s="24" t="str">
        <f t="shared" si="142"/>
        <v>Jan</v>
      </c>
      <c r="G1835" s="24">
        <f t="shared" si="143"/>
        <v>1</v>
      </c>
      <c r="H1835" s="19">
        <v>1040</v>
      </c>
      <c r="I1835" s="19" t="s">
        <v>7</v>
      </c>
      <c r="J1835" s="19" t="s">
        <v>5</v>
      </c>
      <c r="K1835" s="20">
        <v>5</v>
      </c>
      <c r="L1835" s="21">
        <v>76.77</v>
      </c>
      <c r="M1835" s="22">
        <v>0.34</v>
      </c>
      <c r="N1835" s="21">
        <f t="shared" si="144"/>
        <v>50.668199999999999</v>
      </c>
      <c r="O1835" s="21">
        <v>253.34</v>
      </c>
      <c r="P1835" s="19" t="s">
        <v>6</v>
      </c>
      <c r="Q1835" s="23">
        <v>6</v>
      </c>
      <c r="R1835" s="45">
        <v>2.1</v>
      </c>
    </row>
    <row r="1836" spans="2:18" x14ac:dyDescent="0.2">
      <c r="B1836" s="25">
        <v>1833</v>
      </c>
      <c r="C1836" s="18">
        <v>45663</v>
      </c>
      <c r="D1836" s="24">
        <f t="shared" si="140"/>
        <v>2025</v>
      </c>
      <c r="E1836" s="24" t="str">
        <f t="shared" si="141"/>
        <v>Q1</v>
      </c>
      <c r="F1836" s="24" t="str">
        <f t="shared" si="142"/>
        <v>Jan</v>
      </c>
      <c r="G1836" s="24">
        <f t="shared" si="143"/>
        <v>1</v>
      </c>
      <c r="H1836" s="19">
        <v>1933</v>
      </c>
      <c r="I1836" s="19" t="s">
        <v>3</v>
      </c>
      <c r="J1836" s="19" t="s">
        <v>8</v>
      </c>
      <c r="K1836" s="20">
        <v>4</v>
      </c>
      <c r="L1836" s="21">
        <v>594.97</v>
      </c>
      <c r="M1836" s="22">
        <v>0.22</v>
      </c>
      <c r="N1836" s="21">
        <f t="shared" si="144"/>
        <v>464.07659999999998</v>
      </c>
      <c r="O1836" s="21">
        <v>1856.31</v>
      </c>
      <c r="P1836" s="19" t="s">
        <v>2</v>
      </c>
      <c r="Q1836" s="23">
        <v>1</v>
      </c>
      <c r="R1836" s="45">
        <v>4.9000000000000004</v>
      </c>
    </row>
    <row r="1837" spans="2:18" x14ac:dyDescent="0.2">
      <c r="B1837" s="25">
        <v>1834</v>
      </c>
      <c r="C1837" s="18">
        <v>45664</v>
      </c>
      <c r="D1837" s="24">
        <f t="shared" si="140"/>
        <v>2025</v>
      </c>
      <c r="E1837" s="24" t="str">
        <f t="shared" si="141"/>
        <v>Q1</v>
      </c>
      <c r="F1837" s="24" t="str">
        <f t="shared" si="142"/>
        <v>Jan</v>
      </c>
      <c r="G1837" s="24">
        <f t="shared" si="143"/>
        <v>1</v>
      </c>
      <c r="H1837" s="19">
        <v>1033</v>
      </c>
      <c r="I1837" s="19" t="s">
        <v>7</v>
      </c>
      <c r="J1837" s="19" t="s">
        <v>9</v>
      </c>
      <c r="K1837" s="20">
        <v>1</v>
      </c>
      <c r="L1837" s="21">
        <v>157.82</v>
      </c>
      <c r="M1837" s="22">
        <v>0.34</v>
      </c>
      <c r="N1837" s="21">
        <f t="shared" si="144"/>
        <v>104.16119999999999</v>
      </c>
      <c r="O1837" s="21">
        <v>104.16</v>
      </c>
      <c r="P1837" s="19" t="s">
        <v>6</v>
      </c>
      <c r="Q1837" s="23">
        <v>7</v>
      </c>
      <c r="R1837" s="45">
        <v>1.1000000000000001</v>
      </c>
    </row>
    <row r="1838" spans="2:18" x14ac:dyDescent="0.2">
      <c r="B1838" s="25">
        <v>1835</v>
      </c>
      <c r="C1838" s="18">
        <v>45665</v>
      </c>
      <c r="D1838" s="24">
        <f t="shared" si="140"/>
        <v>2025</v>
      </c>
      <c r="E1838" s="24" t="str">
        <f t="shared" si="141"/>
        <v>Q1</v>
      </c>
      <c r="F1838" s="24" t="str">
        <f t="shared" si="142"/>
        <v>Jan</v>
      </c>
      <c r="G1838" s="24">
        <f t="shared" si="143"/>
        <v>1</v>
      </c>
      <c r="H1838" s="19">
        <v>1016</v>
      </c>
      <c r="I1838" s="19" t="s">
        <v>3</v>
      </c>
      <c r="J1838" s="19" t="s">
        <v>5</v>
      </c>
      <c r="K1838" s="20">
        <v>5</v>
      </c>
      <c r="L1838" s="21">
        <v>131.15</v>
      </c>
      <c r="M1838" s="22">
        <v>0.06</v>
      </c>
      <c r="N1838" s="21">
        <f t="shared" si="144"/>
        <v>123.28100000000001</v>
      </c>
      <c r="O1838" s="21">
        <v>616.4</v>
      </c>
      <c r="P1838" s="19" t="s">
        <v>4</v>
      </c>
      <c r="Q1838" s="23">
        <v>9</v>
      </c>
      <c r="R1838" s="45">
        <v>2.8</v>
      </c>
    </row>
    <row r="1839" spans="2:18" x14ac:dyDescent="0.2">
      <c r="B1839" s="25">
        <v>1836</v>
      </c>
      <c r="C1839" s="18">
        <v>45666</v>
      </c>
      <c r="D1839" s="24">
        <f t="shared" si="140"/>
        <v>2025</v>
      </c>
      <c r="E1839" s="24" t="str">
        <f t="shared" si="141"/>
        <v>Q1</v>
      </c>
      <c r="F1839" s="24" t="str">
        <f t="shared" si="142"/>
        <v>Jan</v>
      </c>
      <c r="G1839" s="24">
        <f t="shared" si="143"/>
        <v>1</v>
      </c>
      <c r="H1839" s="19">
        <v>1676</v>
      </c>
      <c r="I1839" s="19" t="s">
        <v>0</v>
      </c>
      <c r="J1839" s="19" t="s">
        <v>8</v>
      </c>
      <c r="K1839" s="20">
        <v>5</v>
      </c>
      <c r="L1839" s="21">
        <v>323.18</v>
      </c>
      <c r="M1839" s="22">
        <v>0.02</v>
      </c>
      <c r="N1839" s="21">
        <f t="shared" si="144"/>
        <v>316.71640000000002</v>
      </c>
      <c r="O1839" s="21">
        <v>1583.58</v>
      </c>
      <c r="P1839" s="19" t="s">
        <v>4</v>
      </c>
      <c r="Q1839" s="23">
        <v>9</v>
      </c>
      <c r="R1839" s="45">
        <v>3.3</v>
      </c>
    </row>
    <row r="1840" spans="2:18" x14ac:dyDescent="0.2">
      <c r="B1840" s="25">
        <v>1837</v>
      </c>
      <c r="C1840" s="18">
        <v>45667</v>
      </c>
      <c r="D1840" s="24">
        <f t="shared" si="140"/>
        <v>2025</v>
      </c>
      <c r="E1840" s="24" t="str">
        <f t="shared" si="141"/>
        <v>Q1</v>
      </c>
      <c r="F1840" s="24" t="str">
        <f t="shared" si="142"/>
        <v>Jan</v>
      </c>
      <c r="G1840" s="24">
        <f t="shared" si="143"/>
        <v>1</v>
      </c>
      <c r="H1840" s="19">
        <v>1152</v>
      </c>
      <c r="I1840" s="19" t="s">
        <v>10</v>
      </c>
      <c r="J1840" s="19" t="s">
        <v>9</v>
      </c>
      <c r="K1840" s="20">
        <v>4</v>
      </c>
      <c r="L1840" s="21">
        <v>329.27</v>
      </c>
      <c r="M1840" s="22">
        <v>0.2</v>
      </c>
      <c r="N1840" s="21">
        <f t="shared" si="144"/>
        <v>263.416</v>
      </c>
      <c r="O1840" s="21">
        <v>1053.6600000000001</v>
      </c>
      <c r="P1840" s="19" t="s">
        <v>4</v>
      </c>
      <c r="Q1840" s="23">
        <v>9</v>
      </c>
      <c r="R1840" s="45">
        <v>1.2</v>
      </c>
    </row>
    <row r="1841" spans="2:18" x14ac:dyDescent="0.2">
      <c r="B1841" s="25">
        <v>1838</v>
      </c>
      <c r="C1841" s="18">
        <v>45668</v>
      </c>
      <c r="D1841" s="24">
        <f t="shared" si="140"/>
        <v>2025</v>
      </c>
      <c r="E1841" s="24" t="str">
        <f t="shared" si="141"/>
        <v>Q1</v>
      </c>
      <c r="F1841" s="24" t="str">
        <f t="shared" si="142"/>
        <v>Jan</v>
      </c>
      <c r="G1841" s="24">
        <f t="shared" si="143"/>
        <v>1</v>
      </c>
      <c r="H1841" s="19">
        <v>1997</v>
      </c>
      <c r="I1841" s="19" t="s">
        <v>0</v>
      </c>
      <c r="J1841" s="19" t="s">
        <v>9</v>
      </c>
      <c r="K1841" s="20">
        <v>5</v>
      </c>
      <c r="L1841" s="21">
        <v>272.3</v>
      </c>
      <c r="M1841" s="22">
        <v>0.34</v>
      </c>
      <c r="N1841" s="21">
        <f t="shared" si="144"/>
        <v>179.71800000000002</v>
      </c>
      <c r="O1841" s="21">
        <v>898.59</v>
      </c>
      <c r="P1841" s="19" t="s">
        <v>6</v>
      </c>
      <c r="Q1841" s="23">
        <v>2</v>
      </c>
      <c r="R1841" s="45">
        <v>1.6</v>
      </c>
    </row>
    <row r="1842" spans="2:18" x14ac:dyDescent="0.2">
      <c r="B1842" s="25">
        <v>1839</v>
      </c>
      <c r="C1842" s="18">
        <v>45669</v>
      </c>
      <c r="D1842" s="24">
        <f t="shared" si="140"/>
        <v>2025</v>
      </c>
      <c r="E1842" s="24" t="str">
        <f t="shared" si="141"/>
        <v>Q1</v>
      </c>
      <c r="F1842" s="24" t="str">
        <f t="shared" si="142"/>
        <v>Jan</v>
      </c>
      <c r="G1842" s="24">
        <f t="shared" si="143"/>
        <v>1</v>
      </c>
      <c r="H1842" s="19">
        <v>1377</v>
      </c>
      <c r="I1842" s="19" t="s">
        <v>7</v>
      </c>
      <c r="J1842" s="19" t="s">
        <v>1</v>
      </c>
      <c r="K1842" s="20">
        <v>7</v>
      </c>
      <c r="L1842" s="21">
        <v>466.56</v>
      </c>
      <c r="M1842" s="22">
        <v>0.15</v>
      </c>
      <c r="N1842" s="21">
        <f t="shared" si="144"/>
        <v>396.57600000000002</v>
      </c>
      <c r="O1842" s="21">
        <v>2776.03</v>
      </c>
      <c r="P1842" s="19" t="s">
        <v>6</v>
      </c>
      <c r="Q1842" s="23">
        <v>1</v>
      </c>
      <c r="R1842" s="45">
        <v>2</v>
      </c>
    </row>
    <row r="1843" spans="2:18" x14ac:dyDescent="0.2">
      <c r="B1843" s="25">
        <v>1840</v>
      </c>
      <c r="C1843" s="18">
        <v>45670</v>
      </c>
      <c r="D1843" s="24">
        <f t="shared" si="140"/>
        <v>2025</v>
      </c>
      <c r="E1843" s="24" t="str">
        <f t="shared" si="141"/>
        <v>Q1</v>
      </c>
      <c r="F1843" s="24" t="str">
        <f t="shared" si="142"/>
        <v>Jan</v>
      </c>
      <c r="G1843" s="24">
        <f t="shared" si="143"/>
        <v>1</v>
      </c>
      <c r="H1843" s="19">
        <v>1587</v>
      </c>
      <c r="I1843" s="19" t="s">
        <v>3</v>
      </c>
      <c r="J1843" s="19" t="s">
        <v>1</v>
      </c>
      <c r="K1843" s="20">
        <v>4</v>
      </c>
      <c r="L1843" s="21">
        <v>317.24</v>
      </c>
      <c r="M1843" s="22">
        <v>7.0000000000000007E-2</v>
      </c>
      <c r="N1843" s="21">
        <f t="shared" si="144"/>
        <v>295.03320000000002</v>
      </c>
      <c r="O1843" s="21">
        <v>1180.1300000000001</v>
      </c>
      <c r="P1843" s="19" t="s">
        <v>4</v>
      </c>
      <c r="Q1843" s="23">
        <v>6</v>
      </c>
      <c r="R1843" s="45">
        <v>3.9</v>
      </c>
    </row>
    <row r="1844" spans="2:18" x14ac:dyDescent="0.2">
      <c r="B1844" s="25">
        <v>1841</v>
      </c>
      <c r="C1844" s="18">
        <v>45671</v>
      </c>
      <c r="D1844" s="24">
        <f t="shared" si="140"/>
        <v>2025</v>
      </c>
      <c r="E1844" s="24" t="str">
        <f t="shared" si="141"/>
        <v>Q1</v>
      </c>
      <c r="F1844" s="24" t="str">
        <f t="shared" si="142"/>
        <v>Jan</v>
      </c>
      <c r="G1844" s="24">
        <f t="shared" si="143"/>
        <v>1</v>
      </c>
      <c r="H1844" s="19">
        <v>1598</v>
      </c>
      <c r="I1844" s="19" t="s">
        <v>3</v>
      </c>
      <c r="J1844" s="19" t="s">
        <v>8</v>
      </c>
      <c r="K1844" s="20">
        <v>3</v>
      </c>
      <c r="L1844" s="21">
        <v>371.67</v>
      </c>
      <c r="M1844" s="22">
        <v>0.18</v>
      </c>
      <c r="N1844" s="21">
        <f t="shared" si="144"/>
        <v>304.76940000000002</v>
      </c>
      <c r="O1844" s="21">
        <v>914.31</v>
      </c>
      <c r="P1844" s="19" t="s">
        <v>4</v>
      </c>
      <c r="Q1844" s="23">
        <v>6</v>
      </c>
      <c r="R1844" s="45">
        <v>4.8</v>
      </c>
    </row>
    <row r="1845" spans="2:18" x14ac:dyDescent="0.2">
      <c r="B1845" s="25">
        <v>1842</v>
      </c>
      <c r="C1845" s="18">
        <v>45672</v>
      </c>
      <c r="D1845" s="24">
        <f t="shared" si="140"/>
        <v>2025</v>
      </c>
      <c r="E1845" s="24" t="str">
        <f t="shared" si="141"/>
        <v>Q1</v>
      </c>
      <c r="F1845" s="24" t="str">
        <f t="shared" si="142"/>
        <v>Jan</v>
      </c>
      <c r="G1845" s="24">
        <f t="shared" si="143"/>
        <v>1</v>
      </c>
      <c r="H1845" s="19">
        <v>1628</v>
      </c>
      <c r="I1845" s="19" t="s">
        <v>7</v>
      </c>
      <c r="J1845" s="19" t="s">
        <v>8</v>
      </c>
      <c r="K1845" s="20">
        <v>5</v>
      </c>
      <c r="L1845" s="21">
        <v>438.39</v>
      </c>
      <c r="M1845" s="22">
        <v>0.23</v>
      </c>
      <c r="N1845" s="21">
        <f t="shared" si="144"/>
        <v>337.56029999999998</v>
      </c>
      <c r="O1845" s="21">
        <v>1687.8</v>
      </c>
      <c r="P1845" s="19" t="s">
        <v>4</v>
      </c>
      <c r="Q1845" s="23">
        <v>4</v>
      </c>
      <c r="R1845" s="45">
        <v>3.5</v>
      </c>
    </row>
    <row r="1846" spans="2:18" x14ac:dyDescent="0.2">
      <c r="B1846" s="25">
        <v>1843</v>
      </c>
      <c r="C1846" s="18">
        <v>45673</v>
      </c>
      <c r="D1846" s="24">
        <f t="shared" si="140"/>
        <v>2025</v>
      </c>
      <c r="E1846" s="24" t="str">
        <f t="shared" si="141"/>
        <v>Q1</v>
      </c>
      <c r="F1846" s="24" t="str">
        <f t="shared" si="142"/>
        <v>Jan</v>
      </c>
      <c r="G1846" s="24">
        <f t="shared" si="143"/>
        <v>1</v>
      </c>
      <c r="H1846" s="19">
        <v>1873</v>
      </c>
      <c r="I1846" s="19" t="s">
        <v>7</v>
      </c>
      <c r="J1846" s="19" t="s">
        <v>8</v>
      </c>
      <c r="K1846" s="20">
        <v>4</v>
      </c>
      <c r="L1846" s="21">
        <v>29.64</v>
      </c>
      <c r="M1846" s="22">
        <v>0.11</v>
      </c>
      <c r="N1846" s="21">
        <f t="shared" si="144"/>
        <v>26.3796</v>
      </c>
      <c r="O1846" s="21">
        <v>105.52</v>
      </c>
      <c r="P1846" s="19" t="s">
        <v>2</v>
      </c>
      <c r="Q1846" s="23">
        <v>8</v>
      </c>
      <c r="R1846" s="45">
        <v>3.3</v>
      </c>
    </row>
    <row r="1847" spans="2:18" x14ac:dyDescent="0.2">
      <c r="B1847" s="25">
        <v>1844</v>
      </c>
      <c r="C1847" s="18">
        <v>45674</v>
      </c>
      <c r="D1847" s="24">
        <f t="shared" si="140"/>
        <v>2025</v>
      </c>
      <c r="E1847" s="24" t="str">
        <f t="shared" si="141"/>
        <v>Q1</v>
      </c>
      <c r="F1847" s="24" t="str">
        <f t="shared" si="142"/>
        <v>Jan</v>
      </c>
      <c r="G1847" s="24">
        <f t="shared" si="143"/>
        <v>1</v>
      </c>
      <c r="H1847" s="19">
        <v>1341</v>
      </c>
      <c r="I1847" s="19" t="s">
        <v>10</v>
      </c>
      <c r="J1847" s="19" t="s">
        <v>9</v>
      </c>
      <c r="K1847" s="20">
        <v>3</v>
      </c>
      <c r="L1847" s="21">
        <v>348.83</v>
      </c>
      <c r="M1847" s="22">
        <v>0.25</v>
      </c>
      <c r="N1847" s="21">
        <f t="shared" si="144"/>
        <v>261.6225</v>
      </c>
      <c r="O1847" s="21">
        <v>784.87</v>
      </c>
      <c r="P1847" s="19" t="s">
        <v>4</v>
      </c>
      <c r="Q1847" s="23">
        <v>5</v>
      </c>
      <c r="R1847" s="45">
        <v>3.1</v>
      </c>
    </row>
    <row r="1848" spans="2:18" x14ac:dyDescent="0.2">
      <c r="B1848" s="25">
        <v>1845</v>
      </c>
      <c r="C1848" s="18">
        <v>45675</v>
      </c>
      <c r="D1848" s="24">
        <f t="shared" si="140"/>
        <v>2025</v>
      </c>
      <c r="E1848" s="24" t="str">
        <f t="shared" si="141"/>
        <v>Q1</v>
      </c>
      <c r="F1848" s="24" t="str">
        <f t="shared" si="142"/>
        <v>Jan</v>
      </c>
      <c r="G1848" s="24">
        <f t="shared" si="143"/>
        <v>1</v>
      </c>
      <c r="H1848" s="19">
        <v>1980</v>
      </c>
      <c r="I1848" s="19" t="s">
        <v>3</v>
      </c>
      <c r="J1848" s="19" t="s">
        <v>8</v>
      </c>
      <c r="K1848" s="20">
        <v>5</v>
      </c>
      <c r="L1848" s="21">
        <v>532.25</v>
      </c>
      <c r="M1848" s="22">
        <v>0.34</v>
      </c>
      <c r="N1848" s="21">
        <f t="shared" si="144"/>
        <v>351.28499999999997</v>
      </c>
      <c r="O1848" s="21">
        <v>1756.42</v>
      </c>
      <c r="P1848" s="19" t="s">
        <v>4</v>
      </c>
      <c r="Q1848" s="23">
        <v>7</v>
      </c>
      <c r="R1848" s="45">
        <v>2.4</v>
      </c>
    </row>
    <row r="1849" spans="2:18" x14ac:dyDescent="0.2">
      <c r="B1849" s="25">
        <v>1846</v>
      </c>
      <c r="C1849" s="18">
        <v>45676</v>
      </c>
      <c r="D1849" s="24">
        <f t="shared" si="140"/>
        <v>2025</v>
      </c>
      <c r="E1849" s="24" t="str">
        <f t="shared" si="141"/>
        <v>Q1</v>
      </c>
      <c r="F1849" s="24" t="str">
        <f t="shared" si="142"/>
        <v>Jan</v>
      </c>
      <c r="G1849" s="24">
        <f t="shared" si="143"/>
        <v>1</v>
      </c>
      <c r="H1849" s="19">
        <v>1026</v>
      </c>
      <c r="I1849" s="19" t="s">
        <v>3</v>
      </c>
      <c r="J1849" s="19" t="s">
        <v>9</v>
      </c>
      <c r="K1849" s="20">
        <v>3</v>
      </c>
      <c r="L1849" s="21">
        <v>25.17</v>
      </c>
      <c r="M1849" s="22">
        <v>0.31</v>
      </c>
      <c r="N1849" s="21">
        <f t="shared" si="144"/>
        <v>17.3673</v>
      </c>
      <c r="O1849" s="21">
        <v>52.1</v>
      </c>
      <c r="P1849" s="19" t="s">
        <v>4</v>
      </c>
      <c r="Q1849" s="23">
        <v>9</v>
      </c>
      <c r="R1849" s="45">
        <v>4.3</v>
      </c>
    </row>
    <row r="1850" spans="2:18" x14ac:dyDescent="0.2">
      <c r="B1850" s="25">
        <v>1847</v>
      </c>
      <c r="C1850" s="18">
        <v>45677</v>
      </c>
      <c r="D1850" s="24">
        <f t="shared" si="140"/>
        <v>2025</v>
      </c>
      <c r="E1850" s="24" t="str">
        <f t="shared" si="141"/>
        <v>Q1</v>
      </c>
      <c r="F1850" s="24" t="str">
        <f t="shared" si="142"/>
        <v>Jan</v>
      </c>
      <c r="G1850" s="24">
        <f t="shared" si="143"/>
        <v>1</v>
      </c>
      <c r="H1850" s="19">
        <v>1824</v>
      </c>
      <c r="I1850" s="19" t="s">
        <v>3</v>
      </c>
      <c r="J1850" s="19" t="s">
        <v>8</v>
      </c>
      <c r="K1850" s="20">
        <v>6</v>
      </c>
      <c r="L1850" s="21">
        <v>252.03</v>
      </c>
      <c r="M1850" s="22">
        <v>0.1</v>
      </c>
      <c r="N1850" s="21">
        <f t="shared" si="144"/>
        <v>226.827</v>
      </c>
      <c r="O1850" s="21">
        <v>1360.96</v>
      </c>
      <c r="P1850" s="19" t="s">
        <v>4</v>
      </c>
      <c r="Q1850" s="23">
        <v>1</v>
      </c>
      <c r="R1850" s="45">
        <v>3.2</v>
      </c>
    </row>
    <row r="1851" spans="2:18" x14ac:dyDescent="0.2">
      <c r="B1851" s="25">
        <v>1848</v>
      </c>
      <c r="C1851" s="18">
        <v>45678</v>
      </c>
      <c r="D1851" s="24">
        <f t="shared" si="140"/>
        <v>2025</v>
      </c>
      <c r="E1851" s="24" t="str">
        <f t="shared" si="141"/>
        <v>Q1</v>
      </c>
      <c r="F1851" s="24" t="str">
        <f t="shared" si="142"/>
        <v>Jan</v>
      </c>
      <c r="G1851" s="24">
        <f t="shared" si="143"/>
        <v>1</v>
      </c>
      <c r="H1851" s="19">
        <v>1286</v>
      </c>
      <c r="I1851" s="19" t="s">
        <v>3</v>
      </c>
      <c r="J1851" s="19" t="s">
        <v>9</v>
      </c>
      <c r="K1851" s="20">
        <v>5</v>
      </c>
      <c r="L1851" s="21">
        <v>556.84</v>
      </c>
      <c r="M1851" s="22">
        <v>0.11</v>
      </c>
      <c r="N1851" s="21">
        <f t="shared" si="144"/>
        <v>495.58760000000001</v>
      </c>
      <c r="O1851" s="21">
        <v>2477.94</v>
      </c>
      <c r="P1851" s="19" t="s">
        <v>6</v>
      </c>
      <c r="Q1851" s="23">
        <v>9</v>
      </c>
      <c r="R1851" s="45">
        <v>1.9</v>
      </c>
    </row>
    <row r="1852" spans="2:18" x14ac:dyDescent="0.2">
      <c r="B1852" s="25">
        <v>1849</v>
      </c>
      <c r="C1852" s="18">
        <v>45679</v>
      </c>
      <c r="D1852" s="24">
        <f t="shared" si="140"/>
        <v>2025</v>
      </c>
      <c r="E1852" s="24" t="str">
        <f t="shared" si="141"/>
        <v>Q1</v>
      </c>
      <c r="F1852" s="24" t="str">
        <f t="shared" si="142"/>
        <v>Jan</v>
      </c>
      <c r="G1852" s="24">
        <f t="shared" si="143"/>
        <v>1</v>
      </c>
      <c r="H1852" s="19">
        <v>1645</v>
      </c>
      <c r="I1852" s="19" t="s">
        <v>7</v>
      </c>
      <c r="J1852" s="19" t="s">
        <v>9</v>
      </c>
      <c r="K1852" s="20">
        <v>6</v>
      </c>
      <c r="L1852" s="21">
        <v>221.6</v>
      </c>
      <c r="M1852" s="22">
        <v>0.13</v>
      </c>
      <c r="N1852" s="21">
        <f t="shared" si="144"/>
        <v>192.792</v>
      </c>
      <c r="O1852" s="21">
        <v>1156.75</v>
      </c>
      <c r="P1852" s="19" t="s">
        <v>2</v>
      </c>
      <c r="Q1852" s="23">
        <v>4</v>
      </c>
      <c r="R1852" s="45">
        <v>1.5</v>
      </c>
    </row>
    <row r="1853" spans="2:18" x14ac:dyDescent="0.2">
      <c r="B1853" s="25">
        <v>1850</v>
      </c>
      <c r="C1853" s="18">
        <v>45680</v>
      </c>
      <c r="D1853" s="24">
        <f t="shared" si="140"/>
        <v>2025</v>
      </c>
      <c r="E1853" s="24" t="str">
        <f t="shared" si="141"/>
        <v>Q1</v>
      </c>
      <c r="F1853" s="24" t="str">
        <f t="shared" si="142"/>
        <v>Jan</v>
      </c>
      <c r="G1853" s="24">
        <f t="shared" si="143"/>
        <v>1</v>
      </c>
      <c r="H1853" s="19">
        <v>1730</v>
      </c>
      <c r="I1853" s="19" t="s">
        <v>7</v>
      </c>
      <c r="J1853" s="19" t="s">
        <v>1</v>
      </c>
      <c r="K1853" s="20">
        <v>1</v>
      </c>
      <c r="L1853" s="21">
        <v>283.36</v>
      </c>
      <c r="M1853" s="22">
        <v>0.14000000000000001</v>
      </c>
      <c r="N1853" s="21">
        <f t="shared" si="144"/>
        <v>243.68960000000001</v>
      </c>
      <c r="O1853" s="21">
        <v>243.69</v>
      </c>
      <c r="P1853" s="19" t="s">
        <v>4</v>
      </c>
      <c r="Q1853" s="23">
        <v>7</v>
      </c>
      <c r="R1853" s="45">
        <v>4.9000000000000004</v>
      </c>
    </row>
    <row r="1854" spans="2:18" x14ac:dyDescent="0.2">
      <c r="B1854" s="25">
        <v>1851</v>
      </c>
      <c r="C1854" s="18">
        <v>45681</v>
      </c>
      <c r="D1854" s="24">
        <f t="shared" si="140"/>
        <v>2025</v>
      </c>
      <c r="E1854" s="24" t="str">
        <f t="shared" si="141"/>
        <v>Q1</v>
      </c>
      <c r="F1854" s="24" t="str">
        <f t="shared" si="142"/>
        <v>Jan</v>
      </c>
      <c r="G1854" s="24">
        <f t="shared" si="143"/>
        <v>1</v>
      </c>
      <c r="H1854" s="19">
        <v>1167</v>
      </c>
      <c r="I1854" s="19" t="s">
        <v>7</v>
      </c>
      <c r="J1854" s="19" t="s">
        <v>5</v>
      </c>
      <c r="K1854" s="20">
        <v>1</v>
      </c>
      <c r="L1854" s="21">
        <v>589.20000000000005</v>
      </c>
      <c r="M1854" s="22">
        <v>0.04</v>
      </c>
      <c r="N1854" s="21">
        <f t="shared" si="144"/>
        <v>565.63200000000006</v>
      </c>
      <c r="O1854" s="21">
        <v>565.63</v>
      </c>
      <c r="P1854" s="19" t="s">
        <v>6</v>
      </c>
      <c r="Q1854" s="23">
        <v>11</v>
      </c>
      <c r="R1854" s="45">
        <v>1.1000000000000001</v>
      </c>
    </row>
    <row r="1855" spans="2:18" x14ac:dyDescent="0.2">
      <c r="B1855" s="25">
        <v>1852</v>
      </c>
      <c r="C1855" s="18">
        <v>45682</v>
      </c>
      <c r="D1855" s="24">
        <f t="shared" si="140"/>
        <v>2025</v>
      </c>
      <c r="E1855" s="24" t="str">
        <f t="shared" si="141"/>
        <v>Q1</v>
      </c>
      <c r="F1855" s="24" t="str">
        <f t="shared" si="142"/>
        <v>Jan</v>
      </c>
      <c r="G1855" s="24">
        <f t="shared" si="143"/>
        <v>1</v>
      </c>
      <c r="H1855" s="19">
        <v>1609</v>
      </c>
      <c r="I1855" s="19" t="s">
        <v>7</v>
      </c>
      <c r="J1855" s="19" t="s">
        <v>9</v>
      </c>
      <c r="K1855" s="20">
        <v>4</v>
      </c>
      <c r="L1855" s="21">
        <v>131.6</v>
      </c>
      <c r="M1855" s="22">
        <v>0.27</v>
      </c>
      <c r="N1855" s="21">
        <f t="shared" si="144"/>
        <v>96.067999999999984</v>
      </c>
      <c r="O1855" s="21">
        <v>384.27</v>
      </c>
      <c r="P1855" s="19" t="s">
        <v>4</v>
      </c>
      <c r="Q1855" s="23">
        <v>4</v>
      </c>
      <c r="R1855" s="45">
        <v>4.7</v>
      </c>
    </row>
    <row r="1856" spans="2:18" x14ac:dyDescent="0.2">
      <c r="B1856" s="25">
        <v>1853</v>
      </c>
      <c r="C1856" s="18">
        <v>45683</v>
      </c>
      <c r="D1856" s="24">
        <f t="shared" si="140"/>
        <v>2025</v>
      </c>
      <c r="E1856" s="24" t="str">
        <f t="shared" si="141"/>
        <v>Q1</v>
      </c>
      <c r="F1856" s="24" t="str">
        <f t="shared" si="142"/>
        <v>Jan</v>
      </c>
      <c r="G1856" s="24">
        <f t="shared" si="143"/>
        <v>1</v>
      </c>
      <c r="H1856" s="19">
        <v>1267</v>
      </c>
      <c r="I1856" s="19" t="s">
        <v>0</v>
      </c>
      <c r="J1856" s="19" t="s">
        <v>8</v>
      </c>
      <c r="K1856" s="20">
        <v>2</v>
      </c>
      <c r="L1856" s="21">
        <v>53.17</v>
      </c>
      <c r="M1856" s="22">
        <v>0.13</v>
      </c>
      <c r="N1856" s="21">
        <f t="shared" si="144"/>
        <v>46.257899999999999</v>
      </c>
      <c r="O1856" s="21">
        <v>92.52</v>
      </c>
      <c r="P1856" s="19" t="s">
        <v>2</v>
      </c>
      <c r="Q1856" s="23">
        <v>4</v>
      </c>
      <c r="R1856" s="45">
        <v>1.9</v>
      </c>
    </row>
    <row r="1857" spans="2:18" x14ac:dyDescent="0.2">
      <c r="B1857" s="25">
        <v>1854</v>
      </c>
      <c r="C1857" s="18">
        <v>45684</v>
      </c>
      <c r="D1857" s="24">
        <f t="shared" si="140"/>
        <v>2025</v>
      </c>
      <c r="E1857" s="24" t="str">
        <f t="shared" si="141"/>
        <v>Q1</v>
      </c>
      <c r="F1857" s="24" t="str">
        <f t="shared" si="142"/>
        <v>Jan</v>
      </c>
      <c r="G1857" s="24">
        <f t="shared" si="143"/>
        <v>1</v>
      </c>
      <c r="H1857" s="19">
        <v>1748</v>
      </c>
      <c r="I1857" s="19" t="s">
        <v>3</v>
      </c>
      <c r="J1857" s="19" t="s">
        <v>1</v>
      </c>
      <c r="K1857" s="20">
        <v>6</v>
      </c>
      <c r="L1857" s="21">
        <v>517.76</v>
      </c>
      <c r="M1857" s="22">
        <v>0.31</v>
      </c>
      <c r="N1857" s="21">
        <f t="shared" si="144"/>
        <v>357.25440000000003</v>
      </c>
      <c r="O1857" s="21">
        <v>2143.5300000000002</v>
      </c>
      <c r="P1857" s="19" t="s">
        <v>4</v>
      </c>
      <c r="Q1857" s="23">
        <v>4</v>
      </c>
      <c r="R1857" s="45">
        <v>3.6</v>
      </c>
    </row>
    <row r="1858" spans="2:18" x14ac:dyDescent="0.2">
      <c r="B1858" s="25">
        <v>1855</v>
      </c>
      <c r="C1858" s="18">
        <v>45685</v>
      </c>
      <c r="D1858" s="24">
        <f t="shared" si="140"/>
        <v>2025</v>
      </c>
      <c r="E1858" s="24" t="str">
        <f t="shared" si="141"/>
        <v>Q1</v>
      </c>
      <c r="F1858" s="24" t="str">
        <f t="shared" si="142"/>
        <v>Jan</v>
      </c>
      <c r="G1858" s="24">
        <f t="shared" si="143"/>
        <v>1</v>
      </c>
      <c r="H1858" s="19">
        <v>1820</v>
      </c>
      <c r="I1858" s="19" t="s">
        <v>10</v>
      </c>
      <c r="J1858" s="19" t="s">
        <v>8</v>
      </c>
      <c r="K1858" s="20">
        <v>6</v>
      </c>
      <c r="L1858" s="21">
        <v>523.04999999999995</v>
      </c>
      <c r="M1858" s="22">
        <v>0.32</v>
      </c>
      <c r="N1858" s="21">
        <f t="shared" si="144"/>
        <v>355.67399999999998</v>
      </c>
      <c r="O1858" s="21">
        <v>2134.04</v>
      </c>
      <c r="P1858" s="19" t="s">
        <v>4</v>
      </c>
      <c r="Q1858" s="23">
        <v>6</v>
      </c>
      <c r="R1858" s="45">
        <v>2.2000000000000002</v>
      </c>
    </row>
    <row r="1859" spans="2:18" x14ac:dyDescent="0.2">
      <c r="B1859" s="25">
        <v>1856</v>
      </c>
      <c r="C1859" s="18">
        <v>45686</v>
      </c>
      <c r="D1859" s="24">
        <f t="shared" si="140"/>
        <v>2025</v>
      </c>
      <c r="E1859" s="24" t="str">
        <f t="shared" si="141"/>
        <v>Q1</v>
      </c>
      <c r="F1859" s="24" t="str">
        <f t="shared" si="142"/>
        <v>Jan</v>
      </c>
      <c r="G1859" s="24">
        <f t="shared" si="143"/>
        <v>1</v>
      </c>
      <c r="H1859" s="19">
        <v>1454</v>
      </c>
      <c r="I1859" s="19" t="s">
        <v>7</v>
      </c>
      <c r="J1859" s="19" t="s">
        <v>8</v>
      </c>
      <c r="K1859" s="20">
        <v>1</v>
      </c>
      <c r="L1859" s="21">
        <v>291.17</v>
      </c>
      <c r="M1859" s="22">
        <v>0.01</v>
      </c>
      <c r="N1859" s="21">
        <f t="shared" si="144"/>
        <v>288.25830000000002</v>
      </c>
      <c r="O1859" s="21">
        <v>288.26</v>
      </c>
      <c r="P1859" s="19" t="s">
        <v>6</v>
      </c>
      <c r="Q1859" s="23">
        <v>5</v>
      </c>
      <c r="R1859" s="45">
        <v>4.4000000000000004</v>
      </c>
    </row>
    <row r="1860" spans="2:18" x14ac:dyDescent="0.2">
      <c r="B1860" s="25">
        <v>1857</v>
      </c>
      <c r="C1860" s="18">
        <v>45687</v>
      </c>
      <c r="D1860" s="24">
        <f t="shared" ref="D1860:D1923" si="145">YEAR(C1860)</f>
        <v>2025</v>
      </c>
      <c r="E1860" s="24" t="str">
        <f t="shared" ref="E1860:E1923" si="146">"Q"&amp;ROUNDUP(MONTH(C1860)/3,0)</f>
        <v>Q1</v>
      </c>
      <c r="F1860" s="24" t="str">
        <f t="shared" ref="F1860:F1923" si="147">TEXT(C1860,"mmm")</f>
        <v>Jan</v>
      </c>
      <c r="G1860" s="24">
        <f t="shared" ref="G1860:G1923" si="148">MONTH(C1860)</f>
        <v>1</v>
      </c>
      <c r="H1860" s="19">
        <v>1905</v>
      </c>
      <c r="I1860" s="19" t="s">
        <v>3</v>
      </c>
      <c r="J1860" s="19" t="s">
        <v>9</v>
      </c>
      <c r="K1860" s="20">
        <v>6</v>
      </c>
      <c r="L1860" s="21">
        <v>315.81</v>
      </c>
      <c r="M1860" s="22">
        <v>0.35</v>
      </c>
      <c r="N1860" s="21">
        <f t="shared" si="144"/>
        <v>205.2765</v>
      </c>
      <c r="O1860" s="21">
        <v>1231.6600000000001</v>
      </c>
      <c r="P1860" s="19" t="s">
        <v>4</v>
      </c>
      <c r="Q1860" s="23">
        <v>2</v>
      </c>
      <c r="R1860" s="45">
        <v>3.2</v>
      </c>
    </row>
    <row r="1861" spans="2:18" x14ac:dyDescent="0.2">
      <c r="B1861" s="25">
        <v>1858</v>
      </c>
      <c r="C1861" s="18">
        <v>45688</v>
      </c>
      <c r="D1861" s="24">
        <f t="shared" si="145"/>
        <v>2025</v>
      </c>
      <c r="E1861" s="24" t="str">
        <f t="shared" si="146"/>
        <v>Q1</v>
      </c>
      <c r="F1861" s="24" t="str">
        <f t="shared" si="147"/>
        <v>Jan</v>
      </c>
      <c r="G1861" s="24">
        <f t="shared" si="148"/>
        <v>1</v>
      </c>
      <c r="H1861" s="19">
        <v>1684</v>
      </c>
      <c r="I1861" s="19" t="s">
        <v>7</v>
      </c>
      <c r="J1861" s="19" t="s">
        <v>9</v>
      </c>
      <c r="K1861" s="20">
        <v>2</v>
      </c>
      <c r="L1861" s="21">
        <v>503.95</v>
      </c>
      <c r="M1861" s="22">
        <v>0.25</v>
      </c>
      <c r="N1861" s="21">
        <f t="shared" ref="N1861:N1924" si="149">L1861-(L1861*M1861)</f>
        <v>377.96249999999998</v>
      </c>
      <c r="O1861" s="21">
        <v>755.92</v>
      </c>
      <c r="P1861" s="19" t="s">
        <v>4</v>
      </c>
      <c r="Q1861" s="23">
        <v>9</v>
      </c>
      <c r="R1861" s="45">
        <v>1.6</v>
      </c>
    </row>
    <row r="1862" spans="2:18" x14ac:dyDescent="0.2">
      <c r="B1862" s="25">
        <v>1859</v>
      </c>
      <c r="C1862" s="18">
        <v>45689</v>
      </c>
      <c r="D1862" s="24">
        <f t="shared" si="145"/>
        <v>2025</v>
      </c>
      <c r="E1862" s="24" t="str">
        <f t="shared" si="146"/>
        <v>Q1</v>
      </c>
      <c r="F1862" s="24" t="str">
        <f t="shared" si="147"/>
        <v>Feb</v>
      </c>
      <c r="G1862" s="24">
        <f t="shared" si="148"/>
        <v>2</v>
      </c>
      <c r="H1862" s="19">
        <v>1400</v>
      </c>
      <c r="I1862" s="19" t="s">
        <v>7</v>
      </c>
      <c r="J1862" s="19" t="s">
        <v>5</v>
      </c>
      <c r="K1862" s="20">
        <v>3</v>
      </c>
      <c r="L1862" s="21">
        <v>447.06</v>
      </c>
      <c r="M1862" s="22">
        <v>0.18</v>
      </c>
      <c r="N1862" s="21">
        <f t="shared" si="149"/>
        <v>366.58920000000001</v>
      </c>
      <c r="O1862" s="21">
        <v>1099.77</v>
      </c>
      <c r="P1862" s="19" t="s">
        <v>6</v>
      </c>
      <c r="Q1862" s="23">
        <v>11</v>
      </c>
      <c r="R1862" s="45">
        <v>2.1</v>
      </c>
    </row>
    <row r="1863" spans="2:18" x14ac:dyDescent="0.2">
      <c r="B1863" s="25">
        <v>1860</v>
      </c>
      <c r="C1863" s="18">
        <v>45690</v>
      </c>
      <c r="D1863" s="24">
        <f t="shared" si="145"/>
        <v>2025</v>
      </c>
      <c r="E1863" s="24" t="str">
        <f t="shared" si="146"/>
        <v>Q1</v>
      </c>
      <c r="F1863" s="24" t="str">
        <f t="shared" si="147"/>
        <v>Feb</v>
      </c>
      <c r="G1863" s="24">
        <f t="shared" si="148"/>
        <v>2</v>
      </c>
      <c r="H1863" s="19">
        <v>1921</v>
      </c>
      <c r="I1863" s="19" t="s">
        <v>7</v>
      </c>
      <c r="J1863" s="19" t="s">
        <v>9</v>
      </c>
      <c r="K1863" s="20">
        <v>3</v>
      </c>
      <c r="L1863" s="21">
        <v>170.11</v>
      </c>
      <c r="M1863" s="22">
        <v>0.14000000000000001</v>
      </c>
      <c r="N1863" s="21">
        <f t="shared" si="149"/>
        <v>146.2946</v>
      </c>
      <c r="O1863" s="21">
        <v>438.88</v>
      </c>
      <c r="P1863" s="19" t="s">
        <v>6</v>
      </c>
      <c r="Q1863" s="23">
        <v>6</v>
      </c>
      <c r="R1863" s="45">
        <v>2.2999999999999998</v>
      </c>
    </row>
    <row r="1864" spans="2:18" x14ac:dyDescent="0.2">
      <c r="B1864" s="25">
        <v>1861</v>
      </c>
      <c r="C1864" s="18">
        <v>45691</v>
      </c>
      <c r="D1864" s="24">
        <f t="shared" si="145"/>
        <v>2025</v>
      </c>
      <c r="E1864" s="24" t="str">
        <f t="shared" si="146"/>
        <v>Q1</v>
      </c>
      <c r="F1864" s="24" t="str">
        <f t="shared" si="147"/>
        <v>Feb</v>
      </c>
      <c r="G1864" s="24">
        <f t="shared" si="148"/>
        <v>2</v>
      </c>
      <c r="H1864" s="19">
        <v>1980</v>
      </c>
      <c r="I1864" s="19" t="s">
        <v>10</v>
      </c>
      <c r="J1864" s="19" t="s">
        <v>9</v>
      </c>
      <c r="K1864" s="20">
        <v>2</v>
      </c>
      <c r="L1864" s="21">
        <v>24.88</v>
      </c>
      <c r="M1864" s="22">
        <v>0.18</v>
      </c>
      <c r="N1864" s="21">
        <f t="shared" si="149"/>
        <v>20.401599999999998</v>
      </c>
      <c r="O1864" s="21">
        <v>40.799999999999997</v>
      </c>
      <c r="P1864" s="19" t="s">
        <v>6</v>
      </c>
      <c r="Q1864" s="23">
        <v>10</v>
      </c>
      <c r="R1864" s="45">
        <v>4.5</v>
      </c>
    </row>
    <row r="1865" spans="2:18" x14ac:dyDescent="0.2">
      <c r="B1865" s="25">
        <v>1862</v>
      </c>
      <c r="C1865" s="18">
        <v>45692</v>
      </c>
      <c r="D1865" s="24">
        <f t="shared" si="145"/>
        <v>2025</v>
      </c>
      <c r="E1865" s="24" t="str">
        <f t="shared" si="146"/>
        <v>Q1</v>
      </c>
      <c r="F1865" s="24" t="str">
        <f t="shared" si="147"/>
        <v>Feb</v>
      </c>
      <c r="G1865" s="24">
        <f t="shared" si="148"/>
        <v>2</v>
      </c>
      <c r="H1865" s="19">
        <v>1475</v>
      </c>
      <c r="I1865" s="19" t="s">
        <v>10</v>
      </c>
      <c r="J1865" s="19" t="s">
        <v>5</v>
      </c>
      <c r="K1865" s="20">
        <v>6</v>
      </c>
      <c r="L1865" s="21">
        <v>295.62</v>
      </c>
      <c r="M1865" s="22">
        <v>0.11</v>
      </c>
      <c r="N1865" s="21">
        <f t="shared" si="149"/>
        <v>263.10180000000003</v>
      </c>
      <c r="O1865" s="21">
        <v>1578.61</v>
      </c>
      <c r="P1865" s="19" t="s">
        <v>6</v>
      </c>
      <c r="Q1865" s="23">
        <v>6</v>
      </c>
      <c r="R1865" s="45">
        <v>4.0999999999999996</v>
      </c>
    </row>
    <row r="1866" spans="2:18" x14ac:dyDescent="0.2">
      <c r="B1866" s="25">
        <v>1863</v>
      </c>
      <c r="C1866" s="18">
        <v>45693</v>
      </c>
      <c r="D1866" s="24">
        <f t="shared" si="145"/>
        <v>2025</v>
      </c>
      <c r="E1866" s="24" t="str">
        <f t="shared" si="146"/>
        <v>Q1</v>
      </c>
      <c r="F1866" s="24" t="str">
        <f t="shared" si="147"/>
        <v>Feb</v>
      </c>
      <c r="G1866" s="24">
        <f t="shared" si="148"/>
        <v>2</v>
      </c>
      <c r="H1866" s="19">
        <v>1701</v>
      </c>
      <c r="I1866" s="19" t="s">
        <v>3</v>
      </c>
      <c r="J1866" s="19" t="s">
        <v>8</v>
      </c>
      <c r="K1866" s="20">
        <v>6</v>
      </c>
      <c r="L1866" s="21">
        <v>517.46</v>
      </c>
      <c r="M1866" s="22">
        <v>0.22</v>
      </c>
      <c r="N1866" s="21">
        <f t="shared" si="149"/>
        <v>403.61880000000002</v>
      </c>
      <c r="O1866" s="21">
        <v>2421.71</v>
      </c>
      <c r="P1866" s="19" t="s">
        <v>6</v>
      </c>
      <c r="Q1866" s="23">
        <v>9</v>
      </c>
      <c r="R1866" s="45">
        <v>4.3</v>
      </c>
    </row>
    <row r="1867" spans="2:18" x14ac:dyDescent="0.2">
      <c r="B1867" s="25">
        <v>1864</v>
      </c>
      <c r="C1867" s="18">
        <v>45694</v>
      </c>
      <c r="D1867" s="24">
        <f t="shared" si="145"/>
        <v>2025</v>
      </c>
      <c r="E1867" s="24" t="str">
        <f t="shared" si="146"/>
        <v>Q1</v>
      </c>
      <c r="F1867" s="24" t="str">
        <f t="shared" si="147"/>
        <v>Feb</v>
      </c>
      <c r="G1867" s="24">
        <f t="shared" si="148"/>
        <v>2</v>
      </c>
      <c r="H1867" s="19">
        <v>1633</v>
      </c>
      <c r="I1867" s="19" t="s">
        <v>3</v>
      </c>
      <c r="J1867" s="19" t="s">
        <v>5</v>
      </c>
      <c r="K1867" s="20">
        <v>6</v>
      </c>
      <c r="L1867" s="21">
        <v>539.05999999999995</v>
      </c>
      <c r="M1867" s="22">
        <v>0.03</v>
      </c>
      <c r="N1867" s="21">
        <f t="shared" si="149"/>
        <v>522.88819999999998</v>
      </c>
      <c r="O1867" s="21">
        <v>3137.33</v>
      </c>
      <c r="P1867" s="19" t="s">
        <v>6</v>
      </c>
      <c r="Q1867" s="23">
        <v>1</v>
      </c>
      <c r="R1867" s="45">
        <v>1.2</v>
      </c>
    </row>
    <row r="1868" spans="2:18" x14ac:dyDescent="0.2">
      <c r="B1868" s="25">
        <v>1865</v>
      </c>
      <c r="C1868" s="18">
        <v>45695</v>
      </c>
      <c r="D1868" s="24">
        <f t="shared" si="145"/>
        <v>2025</v>
      </c>
      <c r="E1868" s="24" t="str">
        <f t="shared" si="146"/>
        <v>Q1</v>
      </c>
      <c r="F1868" s="24" t="str">
        <f t="shared" si="147"/>
        <v>Feb</v>
      </c>
      <c r="G1868" s="24">
        <f t="shared" si="148"/>
        <v>2</v>
      </c>
      <c r="H1868" s="19">
        <v>1557</v>
      </c>
      <c r="I1868" s="19" t="s">
        <v>0</v>
      </c>
      <c r="J1868" s="19" t="s">
        <v>5</v>
      </c>
      <c r="K1868" s="20">
        <v>7</v>
      </c>
      <c r="L1868" s="21">
        <v>574.39</v>
      </c>
      <c r="M1868" s="22">
        <v>0.22</v>
      </c>
      <c r="N1868" s="21">
        <f t="shared" si="149"/>
        <v>448.02420000000001</v>
      </c>
      <c r="O1868" s="21">
        <v>3136.17</v>
      </c>
      <c r="P1868" s="19" t="s">
        <v>6</v>
      </c>
      <c r="Q1868" s="23">
        <v>7</v>
      </c>
      <c r="R1868" s="45">
        <v>3.3</v>
      </c>
    </row>
    <row r="1869" spans="2:18" x14ac:dyDescent="0.2">
      <c r="B1869" s="25">
        <v>1866</v>
      </c>
      <c r="C1869" s="18">
        <v>45696</v>
      </c>
      <c r="D1869" s="24">
        <f t="shared" si="145"/>
        <v>2025</v>
      </c>
      <c r="E1869" s="24" t="str">
        <f t="shared" si="146"/>
        <v>Q1</v>
      </c>
      <c r="F1869" s="24" t="str">
        <f t="shared" si="147"/>
        <v>Feb</v>
      </c>
      <c r="G1869" s="24">
        <f t="shared" si="148"/>
        <v>2</v>
      </c>
      <c r="H1869" s="19">
        <v>1575</v>
      </c>
      <c r="I1869" s="19" t="s">
        <v>7</v>
      </c>
      <c r="J1869" s="19" t="s">
        <v>5</v>
      </c>
      <c r="K1869" s="20">
        <v>4</v>
      </c>
      <c r="L1869" s="21">
        <v>529.54</v>
      </c>
      <c r="M1869" s="22">
        <v>0.1</v>
      </c>
      <c r="N1869" s="21">
        <f t="shared" si="149"/>
        <v>476.58599999999996</v>
      </c>
      <c r="O1869" s="21">
        <v>1906.34</v>
      </c>
      <c r="P1869" s="19" t="s">
        <v>6</v>
      </c>
      <c r="Q1869" s="23">
        <v>3</v>
      </c>
      <c r="R1869" s="45">
        <v>5</v>
      </c>
    </row>
    <row r="1870" spans="2:18" x14ac:dyDescent="0.2">
      <c r="B1870" s="25">
        <v>1867</v>
      </c>
      <c r="C1870" s="18">
        <v>45697</v>
      </c>
      <c r="D1870" s="24">
        <f t="shared" si="145"/>
        <v>2025</v>
      </c>
      <c r="E1870" s="24" t="str">
        <f t="shared" si="146"/>
        <v>Q1</v>
      </c>
      <c r="F1870" s="24" t="str">
        <f t="shared" si="147"/>
        <v>Feb</v>
      </c>
      <c r="G1870" s="24">
        <f t="shared" si="148"/>
        <v>2</v>
      </c>
      <c r="H1870" s="19">
        <v>1129</v>
      </c>
      <c r="I1870" s="19" t="s">
        <v>7</v>
      </c>
      <c r="J1870" s="19" t="s">
        <v>1</v>
      </c>
      <c r="K1870" s="20">
        <v>5</v>
      </c>
      <c r="L1870" s="21">
        <v>354.33</v>
      </c>
      <c r="M1870" s="22">
        <v>0.01</v>
      </c>
      <c r="N1870" s="21">
        <f t="shared" si="149"/>
        <v>350.7867</v>
      </c>
      <c r="O1870" s="21">
        <v>1753.93</v>
      </c>
      <c r="P1870" s="19" t="s">
        <v>4</v>
      </c>
      <c r="Q1870" s="23">
        <v>4</v>
      </c>
      <c r="R1870" s="45">
        <v>4.0999999999999996</v>
      </c>
    </row>
    <row r="1871" spans="2:18" x14ac:dyDescent="0.2">
      <c r="B1871" s="25">
        <v>1868</v>
      </c>
      <c r="C1871" s="18">
        <v>45698</v>
      </c>
      <c r="D1871" s="24">
        <f t="shared" si="145"/>
        <v>2025</v>
      </c>
      <c r="E1871" s="24" t="str">
        <f t="shared" si="146"/>
        <v>Q1</v>
      </c>
      <c r="F1871" s="24" t="str">
        <f t="shared" si="147"/>
        <v>Feb</v>
      </c>
      <c r="G1871" s="24">
        <f t="shared" si="148"/>
        <v>2</v>
      </c>
      <c r="H1871" s="19">
        <v>1821</v>
      </c>
      <c r="I1871" s="19" t="s">
        <v>7</v>
      </c>
      <c r="J1871" s="19" t="s">
        <v>8</v>
      </c>
      <c r="K1871" s="20">
        <v>2</v>
      </c>
      <c r="L1871" s="21">
        <v>275.08999999999997</v>
      </c>
      <c r="M1871" s="22">
        <v>0.19</v>
      </c>
      <c r="N1871" s="21">
        <f t="shared" si="149"/>
        <v>222.82289999999998</v>
      </c>
      <c r="O1871" s="21">
        <v>445.65</v>
      </c>
      <c r="P1871" s="19" t="s">
        <v>4</v>
      </c>
      <c r="Q1871" s="23">
        <v>1</v>
      </c>
      <c r="R1871" s="45">
        <v>1.5</v>
      </c>
    </row>
    <row r="1872" spans="2:18" x14ac:dyDescent="0.2">
      <c r="B1872" s="25">
        <v>1869</v>
      </c>
      <c r="C1872" s="18">
        <v>45699</v>
      </c>
      <c r="D1872" s="24">
        <f t="shared" si="145"/>
        <v>2025</v>
      </c>
      <c r="E1872" s="24" t="str">
        <f t="shared" si="146"/>
        <v>Q1</v>
      </c>
      <c r="F1872" s="24" t="str">
        <f t="shared" si="147"/>
        <v>Feb</v>
      </c>
      <c r="G1872" s="24">
        <f t="shared" si="148"/>
        <v>2</v>
      </c>
      <c r="H1872" s="19">
        <v>1362</v>
      </c>
      <c r="I1872" s="19" t="s">
        <v>10</v>
      </c>
      <c r="J1872" s="19" t="s">
        <v>1</v>
      </c>
      <c r="K1872" s="20">
        <v>2</v>
      </c>
      <c r="L1872" s="21">
        <v>468.29</v>
      </c>
      <c r="M1872" s="22">
        <v>0.2</v>
      </c>
      <c r="N1872" s="21">
        <f t="shared" si="149"/>
        <v>374.63200000000001</v>
      </c>
      <c r="O1872" s="21">
        <v>749.26</v>
      </c>
      <c r="P1872" s="19" t="s">
        <v>4</v>
      </c>
      <c r="Q1872" s="23">
        <v>3</v>
      </c>
      <c r="R1872" s="45">
        <v>3.7</v>
      </c>
    </row>
    <row r="1873" spans="2:18" x14ac:dyDescent="0.2">
      <c r="B1873" s="25">
        <v>1870</v>
      </c>
      <c r="C1873" s="18">
        <v>45700</v>
      </c>
      <c r="D1873" s="24">
        <f t="shared" si="145"/>
        <v>2025</v>
      </c>
      <c r="E1873" s="24" t="str">
        <f t="shared" si="146"/>
        <v>Q1</v>
      </c>
      <c r="F1873" s="24" t="str">
        <f t="shared" si="147"/>
        <v>Feb</v>
      </c>
      <c r="G1873" s="24">
        <f t="shared" si="148"/>
        <v>2</v>
      </c>
      <c r="H1873" s="19">
        <v>1704</v>
      </c>
      <c r="I1873" s="19" t="s">
        <v>0</v>
      </c>
      <c r="J1873" s="19" t="s">
        <v>1</v>
      </c>
      <c r="K1873" s="20">
        <v>7</v>
      </c>
      <c r="L1873" s="21">
        <v>447.8</v>
      </c>
      <c r="M1873" s="22">
        <v>0.15</v>
      </c>
      <c r="N1873" s="21">
        <f t="shared" si="149"/>
        <v>380.63</v>
      </c>
      <c r="O1873" s="21">
        <v>2664.41</v>
      </c>
      <c r="P1873" s="19" t="s">
        <v>4</v>
      </c>
      <c r="Q1873" s="23">
        <v>7</v>
      </c>
      <c r="R1873" s="45">
        <v>4</v>
      </c>
    </row>
    <row r="1874" spans="2:18" x14ac:dyDescent="0.2">
      <c r="B1874" s="25">
        <v>1871</v>
      </c>
      <c r="C1874" s="18">
        <v>45701</v>
      </c>
      <c r="D1874" s="24">
        <f t="shared" si="145"/>
        <v>2025</v>
      </c>
      <c r="E1874" s="24" t="str">
        <f t="shared" si="146"/>
        <v>Q1</v>
      </c>
      <c r="F1874" s="24" t="str">
        <f t="shared" si="147"/>
        <v>Feb</v>
      </c>
      <c r="G1874" s="24">
        <f t="shared" si="148"/>
        <v>2</v>
      </c>
      <c r="H1874" s="19">
        <v>1818</v>
      </c>
      <c r="I1874" s="19" t="s">
        <v>7</v>
      </c>
      <c r="J1874" s="19" t="s">
        <v>9</v>
      </c>
      <c r="K1874" s="20">
        <v>2</v>
      </c>
      <c r="L1874" s="21">
        <v>329.81</v>
      </c>
      <c r="M1874" s="22">
        <v>0.03</v>
      </c>
      <c r="N1874" s="21">
        <f t="shared" si="149"/>
        <v>319.91570000000002</v>
      </c>
      <c r="O1874" s="21">
        <v>639.83000000000004</v>
      </c>
      <c r="P1874" s="19" t="s">
        <v>6</v>
      </c>
      <c r="Q1874" s="23">
        <v>6</v>
      </c>
      <c r="R1874" s="45">
        <v>3.1</v>
      </c>
    </row>
    <row r="1875" spans="2:18" x14ac:dyDescent="0.2">
      <c r="B1875" s="25">
        <v>1872</v>
      </c>
      <c r="C1875" s="18">
        <v>45702</v>
      </c>
      <c r="D1875" s="24">
        <f t="shared" si="145"/>
        <v>2025</v>
      </c>
      <c r="E1875" s="24" t="str">
        <f t="shared" si="146"/>
        <v>Q1</v>
      </c>
      <c r="F1875" s="24" t="str">
        <f t="shared" si="147"/>
        <v>Feb</v>
      </c>
      <c r="G1875" s="24">
        <f t="shared" si="148"/>
        <v>2</v>
      </c>
      <c r="H1875" s="19">
        <v>1692</v>
      </c>
      <c r="I1875" s="19" t="s">
        <v>0</v>
      </c>
      <c r="J1875" s="19" t="s">
        <v>5</v>
      </c>
      <c r="K1875" s="20">
        <v>2</v>
      </c>
      <c r="L1875" s="21">
        <v>66.09</v>
      </c>
      <c r="M1875" s="22">
        <v>0.31</v>
      </c>
      <c r="N1875" s="21">
        <f t="shared" si="149"/>
        <v>45.602100000000007</v>
      </c>
      <c r="O1875" s="21">
        <v>91.2</v>
      </c>
      <c r="P1875" s="19" t="s">
        <v>4</v>
      </c>
      <c r="Q1875" s="23">
        <v>1</v>
      </c>
      <c r="R1875" s="45">
        <v>1.3</v>
      </c>
    </row>
    <row r="1876" spans="2:18" x14ac:dyDescent="0.2">
      <c r="B1876" s="25">
        <v>1873</v>
      </c>
      <c r="C1876" s="18">
        <v>45703</v>
      </c>
      <c r="D1876" s="24">
        <f t="shared" si="145"/>
        <v>2025</v>
      </c>
      <c r="E1876" s="24" t="str">
        <f t="shared" si="146"/>
        <v>Q1</v>
      </c>
      <c r="F1876" s="24" t="str">
        <f t="shared" si="147"/>
        <v>Feb</v>
      </c>
      <c r="G1876" s="24">
        <f t="shared" si="148"/>
        <v>2</v>
      </c>
      <c r="H1876" s="19">
        <v>1291</v>
      </c>
      <c r="I1876" s="19" t="s">
        <v>10</v>
      </c>
      <c r="J1876" s="19" t="s">
        <v>5</v>
      </c>
      <c r="K1876" s="20">
        <v>7</v>
      </c>
      <c r="L1876" s="21">
        <v>556.76</v>
      </c>
      <c r="M1876" s="22">
        <v>0.21</v>
      </c>
      <c r="N1876" s="21">
        <f t="shared" si="149"/>
        <v>439.84039999999999</v>
      </c>
      <c r="O1876" s="21">
        <v>3078.88</v>
      </c>
      <c r="P1876" s="19" t="s">
        <v>4</v>
      </c>
      <c r="Q1876" s="23">
        <v>9</v>
      </c>
      <c r="R1876" s="45">
        <v>1.1000000000000001</v>
      </c>
    </row>
    <row r="1877" spans="2:18" x14ac:dyDescent="0.2">
      <c r="B1877" s="25">
        <v>1874</v>
      </c>
      <c r="C1877" s="18">
        <v>45704</v>
      </c>
      <c r="D1877" s="24">
        <f t="shared" si="145"/>
        <v>2025</v>
      </c>
      <c r="E1877" s="24" t="str">
        <f t="shared" si="146"/>
        <v>Q1</v>
      </c>
      <c r="F1877" s="24" t="str">
        <f t="shared" si="147"/>
        <v>Feb</v>
      </c>
      <c r="G1877" s="24">
        <f t="shared" si="148"/>
        <v>2</v>
      </c>
      <c r="H1877" s="19">
        <v>1370</v>
      </c>
      <c r="I1877" s="19" t="s">
        <v>7</v>
      </c>
      <c r="J1877" s="19" t="s">
        <v>1</v>
      </c>
      <c r="K1877" s="20">
        <v>2</v>
      </c>
      <c r="L1877" s="21">
        <v>281.52999999999997</v>
      </c>
      <c r="M1877" s="22">
        <v>0.04</v>
      </c>
      <c r="N1877" s="21">
        <f t="shared" si="149"/>
        <v>270.2688</v>
      </c>
      <c r="O1877" s="21">
        <v>540.54</v>
      </c>
      <c r="P1877" s="19" t="s">
        <v>4</v>
      </c>
      <c r="Q1877" s="23">
        <v>4</v>
      </c>
      <c r="R1877" s="45">
        <v>4.8</v>
      </c>
    </row>
    <row r="1878" spans="2:18" x14ac:dyDescent="0.2">
      <c r="B1878" s="25">
        <v>1875</v>
      </c>
      <c r="C1878" s="18">
        <v>45705</v>
      </c>
      <c r="D1878" s="24">
        <f t="shared" si="145"/>
        <v>2025</v>
      </c>
      <c r="E1878" s="24" t="str">
        <f t="shared" si="146"/>
        <v>Q1</v>
      </c>
      <c r="F1878" s="24" t="str">
        <f t="shared" si="147"/>
        <v>Feb</v>
      </c>
      <c r="G1878" s="24">
        <f t="shared" si="148"/>
        <v>2</v>
      </c>
      <c r="H1878" s="19">
        <v>1793</v>
      </c>
      <c r="I1878" s="19" t="s">
        <v>3</v>
      </c>
      <c r="J1878" s="19" t="s">
        <v>9</v>
      </c>
      <c r="K1878" s="20">
        <v>6</v>
      </c>
      <c r="L1878" s="21">
        <v>227.55</v>
      </c>
      <c r="M1878" s="22">
        <v>0.18</v>
      </c>
      <c r="N1878" s="21">
        <f t="shared" si="149"/>
        <v>186.59100000000001</v>
      </c>
      <c r="O1878" s="21">
        <v>1119.55</v>
      </c>
      <c r="P1878" s="19" t="s">
        <v>4</v>
      </c>
      <c r="Q1878" s="23">
        <v>7</v>
      </c>
      <c r="R1878" s="45">
        <v>2</v>
      </c>
    </row>
    <row r="1879" spans="2:18" x14ac:dyDescent="0.2">
      <c r="B1879" s="25">
        <v>1876</v>
      </c>
      <c r="C1879" s="18">
        <v>45706</v>
      </c>
      <c r="D1879" s="24">
        <f t="shared" si="145"/>
        <v>2025</v>
      </c>
      <c r="E1879" s="24" t="str">
        <f t="shared" si="146"/>
        <v>Q1</v>
      </c>
      <c r="F1879" s="24" t="str">
        <f t="shared" si="147"/>
        <v>Feb</v>
      </c>
      <c r="G1879" s="24">
        <f t="shared" si="148"/>
        <v>2</v>
      </c>
      <c r="H1879" s="19">
        <v>1028</v>
      </c>
      <c r="I1879" s="19" t="s">
        <v>3</v>
      </c>
      <c r="J1879" s="19" t="s">
        <v>9</v>
      </c>
      <c r="K1879" s="20">
        <v>7</v>
      </c>
      <c r="L1879" s="21">
        <v>383.3</v>
      </c>
      <c r="M1879" s="22">
        <v>0.17</v>
      </c>
      <c r="N1879" s="21">
        <f t="shared" si="149"/>
        <v>318.13900000000001</v>
      </c>
      <c r="O1879" s="21">
        <v>2226.9699999999998</v>
      </c>
      <c r="P1879" s="19" t="s">
        <v>6</v>
      </c>
      <c r="Q1879" s="23">
        <v>4</v>
      </c>
      <c r="R1879" s="45">
        <v>2.5</v>
      </c>
    </row>
    <row r="1880" spans="2:18" x14ac:dyDescent="0.2">
      <c r="B1880" s="25">
        <v>1877</v>
      </c>
      <c r="C1880" s="18">
        <v>45707</v>
      </c>
      <c r="D1880" s="24">
        <f t="shared" si="145"/>
        <v>2025</v>
      </c>
      <c r="E1880" s="24" t="str">
        <f t="shared" si="146"/>
        <v>Q1</v>
      </c>
      <c r="F1880" s="24" t="str">
        <f t="shared" si="147"/>
        <v>Feb</v>
      </c>
      <c r="G1880" s="24">
        <f t="shared" si="148"/>
        <v>2</v>
      </c>
      <c r="H1880" s="19">
        <v>1148</v>
      </c>
      <c r="I1880" s="19" t="s">
        <v>0</v>
      </c>
      <c r="J1880" s="19" t="s">
        <v>9</v>
      </c>
      <c r="K1880" s="20">
        <v>4</v>
      </c>
      <c r="L1880" s="21">
        <v>409.2</v>
      </c>
      <c r="M1880" s="22">
        <v>0.02</v>
      </c>
      <c r="N1880" s="21">
        <f t="shared" si="149"/>
        <v>401.01599999999996</v>
      </c>
      <c r="O1880" s="21">
        <v>1604.06</v>
      </c>
      <c r="P1880" s="19" t="s">
        <v>6</v>
      </c>
      <c r="Q1880" s="23">
        <v>7</v>
      </c>
      <c r="R1880" s="45">
        <v>4.2</v>
      </c>
    </row>
    <row r="1881" spans="2:18" x14ac:dyDescent="0.2">
      <c r="B1881" s="25">
        <v>1878</v>
      </c>
      <c r="C1881" s="18">
        <v>45708</v>
      </c>
      <c r="D1881" s="24">
        <f t="shared" si="145"/>
        <v>2025</v>
      </c>
      <c r="E1881" s="24" t="str">
        <f t="shared" si="146"/>
        <v>Q1</v>
      </c>
      <c r="F1881" s="24" t="str">
        <f t="shared" si="147"/>
        <v>Feb</v>
      </c>
      <c r="G1881" s="24">
        <f t="shared" si="148"/>
        <v>2</v>
      </c>
      <c r="H1881" s="19">
        <v>1778</v>
      </c>
      <c r="I1881" s="19" t="s">
        <v>7</v>
      </c>
      <c r="J1881" s="19" t="s">
        <v>8</v>
      </c>
      <c r="K1881" s="20">
        <v>1</v>
      </c>
      <c r="L1881" s="21">
        <v>138.25</v>
      </c>
      <c r="M1881" s="22">
        <v>0.21</v>
      </c>
      <c r="N1881" s="21">
        <f t="shared" si="149"/>
        <v>109.2175</v>
      </c>
      <c r="O1881" s="21">
        <v>109.22</v>
      </c>
      <c r="P1881" s="19" t="s">
        <v>6</v>
      </c>
      <c r="Q1881" s="23">
        <v>5</v>
      </c>
      <c r="R1881" s="45">
        <v>3.8</v>
      </c>
    </row>
    <row r="1882" spans="2:18" x14ac:dyDescent="0.2">
      <c r="B1882" s="25">
        <v>1879</v>
      </c>
      <c r="C1882" s="18">
        <v>45709</v>
      </c>
      <c r="D1882" s="24">
        <f t="shared" si="145"/>
        <v>2025</v>
      </c>
      <c r="E1882" s="24" t="str">
        <f t="shared" si="146"/>
        <v>Q1</v>
      </c>
      <c r="F1882" s="24" t="str">
        <f t="shared" si="147"/>
        <v>Feb</v>
      </c>
      <c r="G1882" s="24">
        <f t="shared" si="148"/>
        <v>2</v>
      </c>
      <c r="H1882" s="19">
        <v>1295</v>
      </c>
      <c r="I1882" s="19" t="s">
        <v>10</v>
      </c>
      <c r="J1882" s="19" t="s">
        <v>1</v>
      </c>
      <c r="K1882" s="20">
        <v>6</v>
      </c>
      <c r="L1882" s="21">
        <v>504.61</v>
      </c>
      <c r="M1882" s="22">
        <v>0.28000000000000003</v>
      </c>
      <c r="N1882" s="21">
        <f t="shared" si="149"/>
        <v>363.31920000000002</v>
      </c>
      <c r="O1882" s="21">
        <v>2179.92</v>
      </c>
      <c r="P1882" s="19" t="s">
        <v>4</v>
      </c>
      <c r="Q1882" s="23">
        <v>1</v>
      </c>
      <c r="R1882" s="45">
        <v>4.9000000000000004</v>
      </c>
    </row>
    <row r="1883" spans="2:18" x14ac:dyDescent="0.2">
      <c r="B1883" s="25">
        <v>1880</v>
      </c>
      <c r="C1883" s="18">
        <v>45710</v>
      </c>
      <c r="D1883" s="24">
        <f t="shared" si="145"/>
        <v>2025</v>
      </c>
      <c r="E1883" s="24" t="str">
        <f t="shared" si="146"/>
        <v>Q1</v>
      </c>
      <c r="F1883" s="24" t="str">
        <f t="shared" si="147"/>
        <v>Feb</v>
      </c>
      <c r="G1883" s="24">
        <f t="shared" si="148"/>
        <v>2</v>
      </c>
      <c r="H1883" s="19">
        <v>1010</v>
      </c>
      <c r="I1883" s="19" t="s">
        <v>7</v>
      </c>
      <c r="J1883" s="19" t="s">
        <v>8</v>
      </c>
      <c r="K1883" s="20">
        <v>6</v>
      </c>
      <c r="L1883" s="21">
        <v>184.61</v>
      </c>
      <c r="M1883" s="22">
        <v>0.26</v>
      </c>
      <c r="N1883" s="21">
        <f t="shared" si="149"/>
        <v>136.6114</v>
      </c>
      <c r="O1883" s="21">
        <v>819.67</v>
      </c>
      <c r="P1883" s="19" t="s">
        <v>2</v>
      </c>
      <c r="Q1883" s="23">
        <v>4</v>
      </c>
      <c r="R1883" s="45">
        <v>1.4</v>
      </c>
    </row>
    <row r="1884" spans="2:18" x14ac:dyDescent="0.2">
      <c r="B1884" s="25">
        <v>1881</v>
      </c>
      <c r="C1884" s="18">
        <v>45711</v>
      </c>
      <c r="D1884" s="24">
        <f t="shared" si="145"/>
        <v>2025</v>
      </c>
      <c r="E1884" s="24" t="str">
        <f t="shared" si="146"/>
        <v>Q1</v>
      </c>
      <c r="F1884" s="24" t="str">
        <f t="shared" si="147"/>
        <v>Feb</v>
      </c>
      <c r="G1884" s="24">
        <f t="shared" si="148"/>
        <v>2</v>
      </c>
      <c r="H1884" s="19">
        <v>1511</v>
      </c>
      <c r="I1884" s="19" t="s">
        <v>10</v>
      </c>
      <c r="J1884" s="19" t="s">
        <v>9</v>
      </c>
      <c r="K1884" s="20">
        <v>5</v>
      </c>
      <c r="L1884" s="21">
        <v>124.21</v>
      </c>
      <c r="M1884" s="22">
        <v>7.0000000000000007E-2</v>
      </c>
      <c r="N1884" s="21">
        <f t="shared" si="149"/>
        <v>115.5153</v>
      </c>
      <c r="O1884" s="21">
        <v>577.58000000000004</v>
      </c>
      <c r="P1884" s="19" t="s">
        <v>2</v>
      </c>
      <c r="Q1884" s="23">
        <v>3</v>
      </c>
      <c r="R1884" s="45">
        <v>3.8</v>
      </c>
    </row>
    <row r="1885" spans="2:18" x14ac:dyDescent="0.2">
      <c r="B1885" s="25">
        <v>1882</v>
      </c>
      <c r="C1885" s="18">
        <v>45712</v>
      </c>
      <c r="D1885" s="24">
        <f t="shared" si="145"/>
        <v>2025</v>
      </c>
      <c r="E1885" s="24" t="str">
        <f t="shared" si="146"/>
        <v>Q1</v>
      </c>
      <c r="F1885" s="24" t="str">
        <f t="shared" si="147"/>
        <v>Feb</v>
      </c>
      <c r="G1885" s="24">
        <f t="shared" si="148"/>
        <v>2</v>
      </c>
      <c r="H1885" s="19">
        <v>1675</v>
      </c>
      <c r="I1885" s="19" t="s">
        <v>3</v>
      </c>
      <c r="J1885" s="19" t="s">
        <v>9</v>
      </c>
      <c r="K1885" s="20">
        <v>7</v>
      </c>
      <c r="L1885" s="21">
        <v>252.74</v>
      </c>
      <c r="M1885" s="22">
        <v>0.3</v>
      </c>
      <c r="N1885" s="21">
        <f t="shared" si="149"/>
        <v>176.91800000000001</v>
      </c>
      <c r="O1885" s="21">
        <v>1238.43</v>
      </c>
      <c r="P1885" s="19" t="s">
        <v>6</v>
      </c>
      <c r="Q1885" s="23">
        <v>6</v>
      </c>
      <c r="R1885" s="45">
        <v>1.3</v>
      </c>
    </row>
    <row r="1886" spans="2:18" x14ac:dyDescent="0.2">
      <c r="B1886" s="25">
        <v>1883</v>
      </c>
      <c r="C1886" s="18">
        <v>45713</v>
      </c>
      <c r="D1886" s="24">
        <f t="shared" si="145"/>
        <v>2025</v>
      </c>
      <c r="E1886" s="24" t="str">
        <f t="shared" si="146"/>
        <v>Q1</v>
      </c>
      <c r="F1886" s="24" t="str">
        <f t="shared" si="147"/>
        <v>Feb</v>
      </c>
      <c r="G1886" s="24">
        <f t="shared" si="148"/>
        <v>2</v>
      </c>
      <c r="H1886" s="19">
        <v>1112</v>
      </c>
      <c r="I1886" s="19" t="s">
        <v>3</v>
      </c>
      <c r="J1886" s="19" t="s">
        <v>9</v>
      </c>
      <c r="K1886" s="20">
        <v>1</v>
      </c>
      <c r="L1886" s="21">
        <v>442.38</v>
      </c>
      <c r="M1886" s="22">
        <v>0.12</v>
      </c>
      <c r="N1886" s="21">
        <f t="shared" si="149"/>
        <v>389.2944</v>
      </c>
      <c r="O1886" s="21">
        <v>389.29</v>
      </c>
      <c r="P1886" s="19" t="s">
        <v>2</v>
      </c>
      <c r="Q1886" s="23">
        <v>6</v>
      </c>
      <c r="R1886" s="45">
        <v>1</v>
      </c>
    </row>
    <row r="1887" spans="2:18" x14ac:dyDescent="0.2">
      <c r="B1887" s="25">
        <v>1884</v>
      </c>
      <c r="C1887" s="18">
        <v>45714</v>
      </c>
      <c r="D1887" s="24">
        <f t="shared" si="145"/>
        <v>2025</v>
      </c>
      <c r="E1887" s="24" t="str">
        <f t="shared" si="146"/>
        <v>Q1</v>
      </c>
      <c r="F1887" s="24" t="str">
        <f t="shared" si="147"/>
        <v>Feb</v>
      </c>
      <c r="G1887" s="24">
        <f t="shared" si="148"/>
        <v>2</v>
      </c>
      <c r="H1887" s="19">
        <v>1186</v>
      </c>
      <c r="I1887" s="19" t="s">
        <v>10</v>
      </c>
      <c r="J1887" s="19" t="s">
        <v>5</v>
      </c>
      <c r="K1887" s="20">
        <v>2</v>
      </c>
      <c r="L1887" s="21">
        <v>579.79</v>
      </c>
      <c r="M1887" s="22">
        <v>0.33</v>
      </c>
      <c r="N1887" s="21">
        <f t="shared" si="149"/>
        <v>388.45929999999998</v>
      </c>
      <c r="O1887" s="21">
        <v>776.92</v>
      </c>
      <c r="P1887" s="19" t="s">
        <v>6</v>
      </c>
      <c r="Q1887" s="23">
        <v>1</v>
      </c>
      <c r="R1887" s="45">
        <v>1.5</v>
      </c>
    </row>
    <row r="1888" spans="2:18" x14ac:dyDescent="0.2">
      <c r="B1888" s="25">
        <v>1885</v>
      </c>
      <c r="C1888" s="18">
        <v>45715</v>
      </c>
      <c r="D1888" s="24">
        <f t="shared" si="145"/>
        <v>2025</v>
      </c>
      <c r="E1888" s="24" t="str">
        <f t="shared" si="146"/>
        <v>Q1</v>
      </c>
      <c r="F1888" s="24" t="str">
        <f t="shared" si="147"/>
        <v>Feb</v>
      </c>
      <c r="G1888" s="24">
        <f t="shared" si="148"/>
        <v>2</v>
      </c>
      <c r="H1888" s="19">
        <v>1806</v>
      </c>
      <c r="I1888" s="19" t="s">
        <v>10</v>
      </c>
      <c r="J1888" s="19" t="s">
        <v>1</v>
      </c>
      <c r="K1888" s="20">
        <v>1</v>
      </c>
      <c r="L1888" s="21">
        <v>488.43</v>
      </c>
      <c r="M1888" s="22">
        <v>0.03</v>
      </c>
      <c r="N1888" s="21">
        <f t="shared" si="149"/>
        <v>473.77710000000002</v>
      </c>
      <c r="O1888" s="21">
        <v>473.78</v>
      </c>
      <c r="P1888" s="19" t="s">
        <v>2</v>
      </c>
      <c r="Q1888" s="23">
        <v>11</v>
      </c>
      <c r="R1888" s="45">
        <v>3.5</v>
      </c>
    </row>
    <row r="1889" spans="2:18" x14ac:dyDescent="0.2">
      <c r="B1889" s="25">
        <v>1886</v>
      </c>
      <c r="C1889" s="18">
        <v>45716</v>
      </c>
      <c r="D1889" s="24">
        <f t="shared" si="145"/>
        <v>2025</v>
      </c>
      <c r="E1889" s="24" t="str">
        <f t="shared" si="146"/>
        <v>Q1</v>
      </c>
      <c r="F1889" s="24" t="str">
        <f t="shared" si="147"/>
        <v>Feb</v>
      </c>
      <c r="G1889" s="24">
        <f t="shared" si="148"/>
        <v>2</v>
      </c>
      <c r="H1889" s="19">
        <v>1743</v>
      </c>
      <c r="I1889" s="19" t="s">
        <v>0</v>
      </c>
      <c r="J1889" s="19" t="s">
        <v>5</v>
      </c>
      <c r="K1889" s="20">
        <v>4</v>
      </c>
      <c r="L1889" s="21">
        <v>565.1</v>
      </c>
      <c r="M1889" s="22">
        <v>0.17</v>
      </c>
      <c r="N1889" s="21">
        <f t="shared" si="149"/>
        <v>469.03300000000002</v>
      </c>
      <c r="O1889" s="21">
        <v>1876.13</v>
      </c>
      <c r="P1889" s="19" t="s">
        <v>2</v>
      </c>
      <c r="Q1889" s="23">
        <v>2</v>
      </c>
      <c r="R1889" s="45">
        <v>3.7</v>
      </c>
    </row>
    <row r="1890" spans="2:18" x14ac:dyDescent="0.2">
      <c r="B1890" s="25">
        <v>1887</v>
      </c>
      <c r="C1890" s="18">
        <v>45717</v>
      </c>
      <c r="D1890" s="24">
        <f t="shared" si="145"/>
        <v>2025</v>
      </c>
      <c r="E1890" s="24" t="str">
        <f t="shared" si="146"/>
        <v>Q1</v>
      </c>
      <c r="F1890" s="24" t="str">
        <f t="shared" si="147"/>
        <v>Mar</v>
      </c>
      <c r="G1890" s="24">
        <f t="shared" si="148"/>
        <v>3</v>
      </c>
      <c r="H1890" s="19">
        <v>1226</v>
      </c>
      <c r="I1890" s="19" t="s">
        <v>7</v>
      </c>
      <c r="J1890" s="19" t="s">
        <v>8</v>
      </c>
      <c r="K1890" s="20">
        <v>3</v>
      </c>
      <c r="L1890" s="21">
        <v>97.25</v>
      </c>
      <c r="M1890" s="22">
        <v>0.21</v>
      </c>
      <c r="N1890" s="21">
        <f t="shared" si="149"/>
        <v>76.827500000000001</v>
      </c>
      <c r="O1890" s="21">
        <v>230.48</v>
      </c>
      <c r="P1890" s="19" t="s">
        <v>2</v>
      </c>
      <c r="Q1890" s="23">
        <v>2</v>
      </c>
      <c r="R1890" s="45">
        <v>2.8</v>
      </c>
    </row>
    <row r="1891" spans="2:18" x14ac:dyDescent="0.2">
      <c r="B1891" s="25">
        <v>1888</v>
      </c>
      <c r="C1891" s="18">
        <v>45718</v>
      </c>
      <c r="D1891" s="24">
        <f t="shared" si="145"/>
        <v>2025</v>
      </c>
      <c r="E1891" s="24" t="str">
        <f t="shared" si="146"/>
        <v>Q1</v>
      </c>
      <c r="F1891" s="24" t="str">
        <f t="shared" si="147"/>
        <v>Mar</v>
      </c>
      <c r="G1891" s="24">
        <f t="shared" si="148"/>
        <v>3</v>
      </c>
      <c r="H1891" s="19">
        <v>1309</v>
      </c>
      <c r="I1891" s="19" t="s">
        <v>10</v>
      </c>
      <c r="J1891" s="19" t="s">
        <v>5</v>
      </c>
      <c r="K1891" s="20">
        <v>6</v>
      </c>
      <c r="L1891" s="21">
        <v>56.64</v>
      </c>
      <c r="M1891" s="22">
        <v>0.09</v>
      </c>
      <c r="N1891" s="21">
        <f t="shared" si="149"/>
        <v>51.542400000000001</v>
      </c>
      <c r="O1891" s="21">
        <v>309.25</v>
      </c>
      <c r="P1891" s="19" t="s">
        <v>6</v>
      </c>
      <c r="Q1891" s="23">
        <v>10</v>
      </c>
      <c r="R1891" s="45">
        <v>1.2</v>
      </c>
    </row>
    <row r="1892" spans="2:18" x14ac:dyDescent="0.2">
      <c r="B1892" s="25">
        <v>1889</v>
      </c>
      <c r="C1892" s="18">
        <v>45719</v>
      </c>
      <c r="D1892" s="24">
        <f t="shared" si="145"/>
        <v>2025</v>
      </c>
      <c r="E1892" s="24" t="str">
        <f t="shared" si="146"/>
        <v>Q1</v>
      </c>
      <c r="F1892" s="24" t="str">
        <f t="shared" si="147"/>
        <v>Mar</v>
      </c>
      <c r="G1892" s="24">
        <f t="shared" si="148"/>
        <v>3</v>
      </c>
      <c r="H1892" s="19">
        <v>1097</v>
      </c>
      <c r="I1892" s="19" t="s">
        <v>7</v>
      </c>
      <c r="J1892" s="19" t="s">
        <v>1</v>
      </c>
      <c r="K1892" s="20">
        <v>7</v>
      </c>
      <c r="L1892" s="21">
        <v>341.26</v>
      </c>
      <c r="M1892" s="22">
        <v>0.27</v>
      </c>
      <c r="N1892" s="21">
        <f t="shared" si="149"/>
        <v>249.1198</v>
      </c>
      <c r="O1892" s="21">
        <v>1743.84</v>
      </c>
      <c r="P1892" s="19" t="s">
        <v>6</v>
      </c>
      <c r="Q1892" s="23">
        <v>4</v>
      </c>
      <c r="R1892" s="45">
        <v>3.5</v>
      </c>
    </row>
    <row r="1893" spans="2:18" x14ac:dyDescent="0.2">
      <c r="B1893" s="25">
        <v>1890</v>
      </c>
      <c r="C1893" s="18">
        <v>45720</v>
      </c>
      <c r="D1893" s="24">
        <f t="shared" si="145"/>
        <v>2025</v>
      </c>
      <c r="E1893" s="24" t="str">
        <f t="shared" si="146"/>
        <v>Q1</v>
      </c>
      <c r="F1893" s="24" t="str">
        <f t="shared" si="147"/>
        <v>Mar</v>
      </c>
      <c r="G1893" s="24">
        <f t="shared" si="148"/>
        <v>3</v>
      </c>
      <c r="H1893" s="19">
        <v>1054</v>
      </c>
      <c r="I1893" s="19" t="s">
        <v>3</v>
      </c>
      <c r="J1893" s="19" t="s">
        <v>5</v>
      </c>
      <c r="K1893" s="20">
        <v>7</v>
      </c>
      <c r="L1893" s="21">
        <v>184.82</v>
      </c>
      <c r="M1893" s="22">
        <v>0.22</v>
      </c>
      <c r="N1893" s="21">
        <f t="shared" si="149"/>
        <v>144.15960000000001</v>
      </c>
      <c r="O1893" s="21">
        <v>1009.12</v>
      </c>
      <c r="P1893" s="19" t="s">
        <v>6</v>
      </c>
      <c r="Q1893" s="23">
        <v>9</v>
      </c>
      <c r="R1893" s="45">
        <v>1.3</v>
      </c>
    </row>
    <row r="1894" spans="2:18" x14ac:dyDescent="0.2">
      <c r="B1894" s="25">
        <v>1891</v>
      </c>
      <c r="C1894" s="18">
        <v>45721</v>
      </c>
      <c r="D1894" s="24">
        <f t="shared" si="145"/>
        <v>2025</v>
      </c>
      <c r="E1894" s="24" t="str">
        <f t="shared" si="146"/>
        <v>Q1</v>
      </c>
      <c r="F1894" s="24" t="str">
        <f t="shared" si="147"/>
        <v>Mar</v>
      </c>
      <c r="G1894" s="24">
        <f t="shared" si="148"/>
        <v>3</v>
      </c>
      <c r="H1894" s="19">
        <v>1622</v>
      </c>
      <c r="I1894" s="19" t="s">
        <v>3</v>
      </c>
      <c r="J1894" s="19" t="s">
        <v>9</v>
      </c>
      <c r="K1894" s="20">
        <v>1</v>
      </c>
      <c r="L1894" s="21">
        <v>499.41</v>
      </c>
      <c r="M1894" s="22">
        <v>0.01</v>
      </c>
      <c r="N1894" s="21">
        <f t="shared" si="149"/>
        <v>494.41590000000002</v>
      </c>
      <c r="O1894" s="21">
        <v>494.42</v>
      </c>
      <c r="P1894" s="19" t="s">
        <v>4</v>
      </c>
      <c r="Q1894" s="23">
        <v>11</v>
      </c>
      <c r="R1894" s="45">
        <v>1.6</v>
      </c>
    </row>
    <row r="1895" spans="2:18" x14ac:dyDescent="0.2">
      <c r="B1895" s="25">
        <v>1892</v>
      </c>
      <c r="C1895" s="18">
        <v>45722</v>
      </c>
      <c r="D1895" s="24">
        <f t="shared" si="145"/>
        <v>2025</v>
      </c>
      <c r="E1895" s="24" t="str">
        <f t="shared" si="146"/>
        <v>Q1</v>
      </c>
      <c r="F1895" s="24" t="str">
        <f t="shared" si="147"/>
        <v>Mar</v>
      </c>
      <c r="G1895" s="24">
        <f t="shared" si="148"/>
        <v>3</v>
      </c>
      <c r="H1895" s="19">
        <v>1663</v>
      </c>
      <c r="I1895" s="19" t="s">
        <v>3</v>
      </c>
      <c r="J1895" s="19" t="s">
        <v>8</v>
      </c>
      <c r="K1895" s="20">
        <v>5</v>
      </c>
      <c r="L1895" s="21">
        <v>408.11</v>
      </c>
      <c r="M1895" s="22">
        <v>0.21</v>
      </c>
      <c r="N1895" s="21">
        <f t="shared" si="149"/>
        <v>322.40690000000001</v>
      </c>
      <c r="O1895" s="21">
        <v>1612.03</v>
      </c>
      <c r="P1895" s="19" t="s">
        <v>4</v>
      </c>
      <c r="Q1895" s="23">
        <v>2</v>
      </c>
      <c r="R1895" s="45">
        <v>3.1</v>
      </c>
    </row>
    <row r="1896" spans="2:18" x14ac:dyDescent="0.2">
      <c r="B1896" s="25">
        <v>1893</v>
      </c>
      <c r="C1896" s="18">
        <v>45723</v>
      </c>
      <c r="D1896" s="24">
        <f t="shared" si="145"/>
        <v>2025</v>
      </c>
      <c r="E1896" s="24" t="str">
        <f t="shared" si="146"/>
        <v>Q1</v>
      </c>
      <c r="F1896" s="24" t="str">
        <f t="shared" si="147"/>
        <v>Mar</v>
      </c>
      <c r="G1896" s="24">
        <f t="shared" si="148"/>
        <v>3</v>
      </c>
      <c r="H1896" s="19">
        <v>1757</v>
      </c>
      <c r="I1896" s="19" t="s">
        <v>3</v>
      </c>
      <c r="J1896" s="19" t="s">
        <v>8</v>
      </c>
      <c r="K1896" s="20">
        <v>4</v>
      </c>
      <c r="L1896" s="21">
        <v>582.88</v>
      </c>
      <c r="M1896" s="22">
        <v>0.17</v>
      </c>
      <c r="N1896" s="21">
        <f t="shared" si="149"/>
        <v>483.79039999999998</v>
      </c>
      <c r="O1896" s="21">
        <v>1935.16</v>
      </c>
      <c r="P1896" s="19" t="s">
        <v>2</v>
      </c>
      <c r="Q1896" s="23">
        <v>11</v>
      </c>
      <c r="R1896" s="45">
        <v>2.4</v>
      </c>
    </row>
    <row r="1897" spans="2:18" x14ac:dyDescent="0.2">
      <c r="B1897" s="25">
        <v>1894</v>
      </c>
      <c r="C1897" s="18">
        <v>45724</v>
      </c>
      <c r="D1897" s="24">
        <f t="shared" si="145"/>
        <v>2025</v>
      </c>
      <c r="E1897" s="24" t="str">
        <f t="shared" si="146"/>
        <v>Q1</v>
      </c>
      <c r="F1897" s="24" t="str">
        <f t="shared" si="147"/>
        <v>Mar</v>
      </c>
      <c r="G1897" s="24">
        <f t="shared" si="148"/>
        <v>3</v>
      </c>
      <c r="H1897" s="19">
        <v>1405</v>
      </c>
      <c r="I1897" s="19" t="s">
        <v>0</v>
      </c>
      <c r="J1897" s="19" t="s">
        <v>9</v>
      </c>
      <c r="K1897" s="20">
        <v>3</v>
      </c>
      <c r="L1897" s="21">
        <v>164.05</v>
      </c>
      <c r="M1897" s="22">
        <v>7.0000000000000007E-2</v>
      </c>
      <c r="N1897" s="21">
        <f t="shared" si="149"/>
        <v>152.56650000000002</v>
      </c>
      <c r="O1897" s="21">
        <v>457.7</v>
      </c>
      <c r="P1897" s="19" t="s">
        <v>4</v>
      </c>
      <c r="Q1897" s="23">
        <v>8</v>
      </c>
      <c r="R1897" s="45">
        <v>2.9</v>
      </c>
    </row>
    <row r="1898" spans="2:18" x14ac:dyDescent="0.2">
      <c r="B1898" s="25">
        <v>1895</v>
      </c>
      <c r="C1898" s="18">
        <v>45725</v>
      </c>
      <c r="D1898" s="24">
        <f t="shared" si="145"/>
        <v>2025</v>
      </c>
      <c r="E1898" s="24" t="str">
        <f t="shared" si="146"/>
        <v>Q1</v>
      </c>
      <c r="F1898" s="24" t="str">
        <f t="shared" si="147"/>
        <v>Mar</v>
      </c>
      <c r="G1898" s="24">
        <f t="shared" si="148"/>
        <v>3</v>
      </c>
      <c r="H1898" s="19">
        <v>1068</v>
      </c>
      <c r="I1898" s="19" t="s">
        <v>7</v>
      </c>
      <c r="J1898" s="19" t="s">
        <v>9</v>
      </c>
      <c r="K1898" s="20">
        <v>4</v>
      </c>
      <c r="L1898" s="21">
        <v>299.18</v>
      </c>
      <c r="M1898" s="22">
        <v>0.35</v>
      </c>
      <c r="N1898" s="21">
        <f t="shared" si="149"/>
        <v>194.46700000000001</v>
      </c>
      <c r="O1898" s="21">
        <v>777.87</v>
      </c>
      <c r="P1898" s="19" t="s">
        <v>6</v>
      </c>
      <c r="Q1898" s="23">
        <v>11</v>
      </c>
      <c r="R1898" s="45">
        <v>3.5</v>
      </c>
    </row>
    <row r="1899" spans="2:18" x14ac:dyDescent="0.2">
      <c r="B1899" s="25">
        <v>1896</v>
      </c>
      <c r="C1899" s="18">
        <v>45726</v>
      </c>
      <c r="D1899" s="24">
        <f t="shared" si="145"/>
        <v>2025</v>
      </c>
      <c r="E1899" s="24" t="str">
        <f t="shared" si="146"/>
        <v>Q1</v>
      </c>
      <c r="F1899" s="24" t="str">
        <f t="shared" si="147"/>
        <v>Mar</v>
      </c>
      <c r="G1899" s="24">
        <f t="shared" si="148"/>
        <v>3</v>
      </c>
      <c r="H1899" s="19">
        <v>1311</v>
      </c>
      <c r="I1899" s="19" t="s">
        <v>10</v>
      </c>
      <c r="J1899" s="19" t="s">
        <v>9</v>
      </c>
      <c r="K1899" s="20">
        <v>7</v>
      </c>
      <c r="L1899" s="21">
        <v>308.23</v>
      </c>
      <c r="M1899" s="22">
        <v>0.31</v>
      </c>
      <c r="N1899" s="21">
        <f t="shared" si="149"/>
        <v>212.67869999999999</v>
      </c>
      <c r="O1899" s="21">
        <v>1488.75</v>
      </c>
      <c r="P1899" s="19" t="s">
        <v>4</v>
      </c>
      <c r="Q1899" s="23">
        <v>1</v>
      </c>
      <c r="R1899" s="45">
        <v>1.6</v>
      </c>
    </row>
    <row r="1900" spans="2:18" x14ac:dyDescent="0.2">
      <c r="B1900" s="25">
        <v>1897</v>
      </c>
      <c r="C1900" s="18">
        <v>45727</v>
      </c>
      <c r="D1900" s="24">
        <f t="shared" si="145"/>
        <v>2025</v>
      </c>
      <c r="E1900" s="24" t="str">
        <f t="shared" si="146"/>
        <v>Q1</v>
      </c>
      <c r="F1900" s="24" t="str">
        <f t="shared" si="147"/>
        <v>Mar</v>
      </c>
      <c r="G1900" s="24">
        <f t="shared" si="148"/>
        <v>3</v>
      </c>
      <c r="H1900" s="19">
        <v>1288</v>
      </c>
      <c r="I1900" s="19" t="s">
        <v>3</v>
      </c>
      <c r="J1900" s="19" t="s">
        <v>1</v>
      </c>
      <c r="K1900" s="20">
        <v>2</v>
      </c>
      <c r="L1900" s="21">
        <v>154.91999999999999</v>
      </c>
      <c r="M1900" s="22">
        <v>0.1</v>
      </c>
      <c r="N1900" s="21">
        <f t="shared" si="149"/>
        <v>139.428</v>
      </c>
      <c r="O1900" s="21">
        <v>278.86</v>
      </c>
      <c r="P1900" s="19" t="s">
        <v>4</v>
      </c>
      <c r="Q1900" s="23">
        <v>8</v>
      </c>
      <c r="R1900" s="45">
        <v>4.5999999999999996</v>
      </c>
    </row>
    <row r="1901" spans="2:18" x14ac:dyDescent="0.2">
      <c r="B1901" s="25">
        <v>1898</v>
      </c>
      <c r="C1901" s="18">
        <v>45728</v>
      </c>
      <c r="D1901" s="24">
        <f t="shared" si="145"/>
        <v>2025</v>
      </c>
      <c r="E1901" s="24" t="str">
        <f t="shared" si="146"/>
        <v>Q1</v>
      </c>
      <c r="F1901" s="24" t="str">
        <f t="shared" si="147"/>
        <v>Mar</v>
      </c>
      <c r="G1901" s="24">
        <f t="shared" si="148"/>
        <v>3</v>
      </c>
      <c r="H1901" s="19">
        <v>1761</v>
      </c>
      <c r="I1901" s="19" t="s">
        <v>7</v>
      </c>
      <c r="J1901" s="19" t="s">
        <v>5</v>
      </c>
      <c r="K1901" s="20">
        <v>3</v>
      </c>
      <c r="L1901" s="21">
        <v>360.2</v>
      </c>
      <c r="M1901" s="22">
        <v>0.19</v>
      </c>
      <c r="N1901" s="21">
        <f t="shared" si="149"/>
        <v>291.762</v>
      </c>
      <c r="O1901" s="21">
        <v>875.29</v>
      </c>
      <c r="P1901" s="19" t="s">
        <v>2</v>
      </c>
      <c r="Q1901" s="23">
        <v>3</v>
      </c>
      <c r="R1901" s="45">
        <v>3.2</v>
      </c>
    </row>
    <row r="1902" spans="2:18" x14ac:dyDescent="0.2">
      <c r="B1902" s="25">
        <v>1899</v>
      </c>
      <c r="C1902" s="18">
        <v>45729</v>
      </c>
      <c r="D1902" s="24">
        <f t="shared" si="145"/>
        <v>2025</v>
      </c>
      <c r="E1902" s="24" t="str">
        <f t="shared" si="146"/>
        <v>Q1</v>
      </c>
      <c r="F1902" s="24" t="str">
        <f t="shared" si="147"/>
        <v>Mar</v>
      </c>
      <c r="G1902" s="24">
        <f t="shared" si="148"/>
        <v>3</v>
      </c>
      <c r="H1902" s="19">
        <v>1547</v>
      </c>
      <c r="I1902" s="19" t="s">
        <v>7</v>
      </c>
      <c r="J1902" s="19" t="s">
        <v>8</v>
      </c>
      <c r="K1902" s="20">
        <v>7</v>
      </c>
      <c r="L1902" s="21">
        <v>274.32</v>
      </c>
      <c r="M1902" s="22">
        <v>0.11</v>
      </c>
      <c r="N1902" s="21">
        <f t="shared" si="149"/>
        <v>244.1448</v>
      </c>
      <c r="O1902" s="21">
        <v>1709.01</v>
      </c>
      <c r="P1902" s="19" t="s">
        <v>2</v>
      </c>
      <c r="Q1902" s="23">
        <v>5</v>
      </c>
      <c r="R1902" s="45">
        <v>1.1000000000000001</v>
      </c>
    </row>
    <row r="1903" spans="2:18" x14ac:dyDescent="0.2">
      <c r="B1903" s="25">
        <v>1900</v>
      </c>
      <c r="C1903" s="18">
        <v>45730</v>
      </c>
      <c r="D1903" s="24">
        <f t="shared" si="145"/>
        <v>2025</v>
      </c>
      <c r="E1903" s="24" t="str">
        <f t="shared" si="146"/>
        <v>Q1</v>
      </c>
      <c r="F1903" s="24" t="str">
        <f t="shared" si="147"/>
        <v>Mar</v>
      </c>
      <c r="G1903" s="24">
        <f t="shared" si="148"/>
        <v>3</v>
      </c>
      <c r="H1903" s="19">
        <v>1750</v>
      </c>
      <c r="I1903" s="19" t="s">
        <v>0</v>
      </c>
      <c r="J1903" s="19" t="s">
        <v>5</v>
      </c>
      <c r="K1903" s="20">
        <v>5</v>
      </c>
      <c r="L1903" s="21">
        <v>276.33</v>
      </c>
      <c r="M1903" s="22">
        <v>0.27</v>
      </c>
      <c r="N1903" s="21">
        <f t="shared" si="149"/>
        <v>201.72089999999997</v>
      </c>
      <c r="O1903" s="21">
        <v>1008.6</v>
      </c>
      <c r="P1903" s="19" t="s">
        <v>6</v>
      </c>
      <c r="Q1903" s="23">
        <v>1</v>
      </c>
      <c r="R1903" s="45">
        <v>3.5</v>
      </c>
    </row>
    <row r="1904" spans="2:18" x14ac:dyDescent="0.2">
      <c r="B1904" s="25">
        <v>1901</v>
      </c>
      <c r="C1904" s="18">
        <v>45731</v>
      </c>
      <c r="D1904" s="24">
        <f t="shared" si="145"/>
        <v>2025</v>
      </c>
      <c r="E1904" s="24" t="str">
        <f t="shared" si="146"/>
        <v>Q1</v>
      </c>
      <c r="F1904" s="24" t="str">
        <f t="shared" si="147"/>
        <v>Mar</v>
      </c>
      <c r="G1904" s="24">
        <f t="shared" si="148"/>
        <v>3</v>
      </c>
      <c r="H1904" s="19">
        <v>1147</v>
      </c>
      <c r="I1904" s="19" t="s">
        <v>0</v>
      </c>
      <c r="J1904" s="19" t="s">
        <v>9</v>
      </c>
      <c r="K1904" s="20">
        <v>3</v>
      </c>
      <c r="L1904" s="21">
        <v>227.2</v>
      </c>
      <c r="M1904" s="22">
        <v>0.33</v>
      </c>
      <c r="N1904" s="21">
        <f t="shared" si="149"/>
        <v>152.22399999999999</v>
      </c>
      <c r="O1904" s="21">
        <v>456.67</v>
      </c>
      <c r="P1904" s="19" t="s">
        <v>4</v>
      </c>
      <c r="Q1904" s="23">
        <v>1</v>
      </c>
      <c r="R1904" s="45">
        <v>2.9</v>
      </c>
    </row>
    <row r="1905" spans="2:18" x14ac:dyDescent="0.2">
      <c r="B1905" s="25">
        <v>1902</v>
      </c>
      <c r="C1905" s="18">
        <v>45732</v>
      </c>
      <c r="D1905" s="24">
        <f t="shared" si="145"/>
        <v>2025</v>
      </c>
      <c r="E1905" s="24" t="str">
        <f t="shared" si="146"/>
        <v>Q1</v>
      </c>
      <c r="F1905" s="24" t="str">
        <f t="shared" si="147"/>
        <v>Mar</v>
      </c>
      <c r="G1905" s="24">
        <f t="shared" si="148"/>
        <v>3</v>
      </c>
      <c r="H1905" s="19">
        <v>1466</v>
      </c>
      <c r="I1905" s="19" t="s">
        <v>0</v>
      </c>
      <c r="J1905" s="19" t="s">
        <v>9</v>
      </c>
      <c r="K1905" s="20">
        <v>7</v>
      </c>
      <c r="L1905" s="21">
        <v>24.9</v>
      </c>
      <c r="M1905" s="22">
        <v>0.13</v>
      </c>
      <c r="N1905" s="21">
        <f t="shared" si="149"/>
        <v>21.662999999999997</v>
      </c>
      <c r="O1905" s="21">
        <v>151.63999999999999</v>
      </c>
      <c r="P1905" s="19" t="s">
        <v>6</v>
      </c>
      <c r="Q1905" s="23">
        <v>6</v>
      </c>
      <c r="R1905" s="45">
        <v>3.8</v>
      </c>
    </row>
    <row r="1906" spans="2:18" x14ac:dyDescent="0.2">
      <c r="B1906" s="25">
        <v>1903</v>
      </c>
      <c r="C1906" s="18">
        <v>45733</v>
      </c>
      <c r="D1906" s="24">
        <f t="shared" si="145"/>
        <v>2025</v>
      </c>
      <c r="E1906" s="24" t="str">
        <f t="shared" si="146"/>
        <v>Q1</v>
      </c>
      <c r="F1906" s="24" t="str">
        <f t="shared" si="147"/>
        <v>Mar</v>
      </c>
      <c r="G1906" s="24">
        <f t="shared" si="148"/>
        <v>3</v>
      </c>
      <c r="H1906" s="19">
        <v>1738</v>
      </c>
      <c r="I1906" s="19" t="s">
        <v>0</v>
      </c>
      <c r="J1906" s="19" t="s">
        <v>5</v>
      </c>
      <c r="K1906" s="20">
        <v>5</v>
      </c>
      <c r="L1906" s="21">
        <v>320.43</v>
      </c>
      <c r="M1906" s="22">
        <v>0.28000000000000003</v>
      </c>
      <c r="N1906" s="21">
        <f t="shared" si="149"/>
        <v>230.70959999999999</v>
      </c>
      <c r="O1906" s="21">
        <v>1153.55</v>
      </c>
      <c r="P1906" s="19" t="s">
        <v>4</v>
      </c>
      <c r="Q1906" s="23">
        <v>3</v>
      </c>
      <c r="R1906" s="45">
        <v>4.0999999999999996</v>
      </c>
    </row>
    <row r="1907" spans="2:18" x14ac:dyDescent="0.2">
      <c r="B1907" s="25">
        <v>1904</v>
      </c>
      <c r="C1907" s="18">
        <v>45734</v>
      </c>
      <c r="D1907" s="24">
        <f t="shared" si="145"/>
        <v>2025</v>
      </c>
      <c r="E1907" s="24" t="str">
        <f t="shared" si="146"/>
        <v>Q1</v>
      </c>
      <c r="F1907" s="24" t="str">
        <f t="shared" si="147"/>
        <v>Mar</v>
      </c>
      <c r="G1907" s="24">
        <f t="shared" si="148"/>
        <v>3</v>
      </c>
      <c r="H1907" s="19">
        <v>1243</v>
      </c>
      <c r="I1907" s="19" t="s">
        <v>7</v>
      </c>
      <c r="J1907" s="19" t="s">
        <v>8</v>
      </c>
      <c r="K1907" s="20">
        <v>2</v>
      </c>
      <c r="L1907" s="21">
        <v>211.12</v>
      </c>
      <c r="M1907" s="22">
        <v>0.17</v>
      </c>
      <c r="N1907" s="21">
        <f t="shared" si="149"/>
        <v>175.2296</v>
      </c>
      <c r="O1907" s="21">
        <v>350.46</v>
      </c>
      <c r="P1907" s="19" t="s">
        <v>4</v>
      </c>
      <c r="Q1907" s="23">
        <v>8</v>
      </c>
      <c r="R1907" s="45">
        <v>4.8</v>
      </c>
    </row>
    <row r="1908" spans="2:18" x14ac:dyDescent="0.2">
      <c r="B1908" s="25">
        <v>1905</v>
      </c>
      <c r="C1908" s="18">
        <v>45735</v>
      </c>
      <c r="D1908" s="24">
        <f t="shared" si="145"/>
        <v>2025</v>
      </c>
      <c r="E1908" s="24" t="str">
        <f t="shared" si="146"/>
        <v>Q1</v>
      </c>
      <c r="F1908" s="24" t="str">
        <f t="shared" si="147"/>
        <v>Mar</v>
      </c>
      <c r="G1908" s="24">
        <f t="shared" si="148"/>
        <v>3</v>
      </c>
      <c r="H1908" s="19">
        <v>1490</v>
      </c>
      <c r="I1908" s="19" t="s">
        <v>3</v>
      </c>
      <c r="J1908" s="19" t="s">
        <v>1</v>
      </c>
      <c r="K1908" s="20">
        <v>5</v>
      </c>
      <c r="L1908" s="21">
        <v>15.77</v>
      </c>
      <c r="M1908" s="22">
        <v>0.14000000000000001</v>
      </c>
      <c r="N1908" s="21">
        <f t="shared" si="149"/>
        <v>13.562199999999999</v>
      </c>
      <c r="O1908" s="21">
        <v>67.81</v>
      </c>
      <c r="P1908" s="19" t="s">
        <v>4</v>
      </c>
      <c r="Q1908" s="23">
        <v>4</v>
      </c>
      <c r="R1908" s="45">
        <v>5</v>
      </c>
    </row>
    <row r="1909" spans="2:18" x14ac:dyDescent="0.2">
      <c r="B1909" s="25">
        <v>1906</v>
      </c>
      <c r="C1909" s="18">
        <v>45736</v>
      </c>
      <c r="D1909" s="24">
        <f t="shared" si="145"/>
        <v>2025</v>
      </c>
      <c r="E1909" s="24" t="str">
        <f t="shared" si="146"/>
        <v>Q1</v>
      </c>
      <c r="F1909" s="24" t="str">
        <f t="shared" si="147"/>
        <v>Mar</v>
      </c>
      <c r="G1909" s="24">
        <f t="shared" si="148"/>
        <v>3</v>
      </c>
      <c r="H1909" s="19">
        <v>1848</v>
      </c>
      <c r="I1909" s="19" t="s">
        <v>10</v>
      </c>
      <c r="J1909" s="19" t="s">
        <v>5</v>
      </c>
      <c r="K1909" s="20">
        <v>4</v>
      </c>
      <c r="L1909" s="21">
        <v>195.15</v>
      </c>
      <c r="M1909" s="22">
        <v>0.33</v>
      </c>
      <c r="N1909" s="21">
        <f t="shared" si="149"/>
        <v>130.75049999999999</v>
      </c>
      <c r="O1909" s="21">
        <v>523</v>
      </c>
      <c r="P1909" s="19" t="s">
        <v>6</v>
      </c>
      <c r="Q1909" s="23">
        <v>6</v>
      </c>
      <c r="R1909" s="45">
        <v>3.2</v>
      </c>
    </row>
    <row r="1910" spans="2:18" x14ac:dyDescent="0.2">
      <c r="B1910" s="25">
        <v>1907</v>
      </c>
      <c r="C1910" s="18">
        <v>45737</v>
      </c>
      <c r="D1910" s="24">
        <f t="shared" si="145"/>
        <v>2025</v>
      </c>
      <c r="E1910" s="24" t="str">
        <f t="shared" si="146"/>
        <v>Q1</v>
      </c>
      <c r="F1910" s="24" t="str">
        <f t="shared" si="147"/>
        <v>Mar</v>
      </c>
      <c r="G1910" s="24">
        <f t="shared" si="148"/>
        <v>3</v>
      </c>
      <c r="H1910" s="19">
        <v>1957</v>
      </c>
      <c r="I1910" s="19" t="s">
        <v>3</v>
      </c>
      <c r="J1910" s="19" t="s">
        <v>9</v>
      </c>
      <c r="K1910" s="20">
        <v>1</v>
      </c>
      <c r="L1910" s="21">
        <v>178</v>
      </c>
      <c r="M1910" s="22">
        <v>0.18</v>
      </c>
      <c r="N1910" s="21">
        <f t="shared" si="149"/>
        <v>145.96</v>
      </c>
      <c r="O1910" s="21">
        <v>145.96</v>
      </c>
      <c r="P1910" s="19" t="s">
        <v>4</v>
      </c>
      <c r="Q1910" s="23">
        <v>10</v>
      </c>
      <c r="R1910" s="45">
        <v>3.2</v>
      </c>
    </row>
    <row r="1911" spans="2:18" x14ac:dyDescent="0.2">
      <c r="B1911" s="25">
        <v>1908</v>
      </c>
      <c r="C1911" s="18">
        <v>45738</v>
      </c>
      <c r="D1911" s="24">
        <f t="shared" si="145"/>
        <v>2025</v>
      </c>
      <c r="E1911" s="24" t="str">
        <f t="shared" si="146"/>
        <v>Q1</v>
      </c>
      <c r="F1911" s="24" t="str">
        <f t="shared" si="147"/>
        <v>Mar</v>
      </c>
      <c r="G1911" s="24">
        <f t="shared" si="148"/>
        <v>3</v>
      </c>
      <c r="H1911" s="19">
        <v>1506</v>
      </c>
      <c r="I1911" s="19" t="s">
        <v>3</v>
      </c>
      <c r="J1911" s="19" t="s">
        <v>9</v>
      </c>
      <c r="K1911" s="20">
        <v>4</v>
      </c>
      <c r="L1911" s="21">
        <v>245.17</v>
      </c>
      <c r="M1911" s="22">
        <v>0.16</v>
      </c>
      <c r="N1911" s="21">
        <f t="shared" si="149"/>
        <v>205.94279999999998</v>
      </c>
      <c r="O1911" s="21">
        <v>823.77</v>
      </c>
      <c r="P1911" s="19" t="s">
        <v>6</v>
      </c>
      <c r="Q1911" s="23">
        <v>9</v>
      </c>
      <c r="R1911" s="45">
        <v>1.1000000000000001</v>
      </c>
    </row>
    <row r="1912" spans="2:18" x14ac:dyDescent="0.2">
      <c r="B1912" s="25">
        <v>1909</v>
      </c>
      <c r="C1912" s="18">
        <v>45739</v>
      </c>
      <c r="D1912" s="24">
        <f t="shared" si="145"/>
        <v>2025</v>
      </c>
      <c r="E1912" s="24" t="str">
        <f t="shared" si="146"/>
        <v>Q1</v>
      </c>
      <c r="F1912" s="24" t="str">
        <f t="shared" si="147"/>
        <v>Mar</v>
      </c>
      <c r="G1912" s="24">
        <f t="shared" si="148"/>
        <v>3</v>
      </c>
      <c r="H1912" s="19">
        <v>1364</v>
      </c>
      <c r="I1912" s="19" t="s">
        <v>3</v>
      </c>
      <c r="J1912" s="19" t="s">
        <v>1</v>
      </c>
      <c r="K1912" s="20">
        <v>7</v>
      </c>
      <c r="L1912" s="21">
        <v>92.13</v>
      </c>
      <c r="M1912" s="22">
        <v>0.24</v>
      </c>
      <c r="N1912" s="21">
        <f t="shared" si="149"/>
        <v>70.018799999999999</v>
      </c>
      <c r="O1912" s="21">
        <v>490.13</v>
      </c>
      <c r="P1912" s="19" t="s">
        <v>4</v>
      </c>
      <c r="Q1912" s="23">
        <v>8</v>
      </c>
      <c r="R1912" s="45">
        <v>4.5</v>
      </c>
    </row>
    <row r="1913" spans="2:18" x14ac:dyDescent="0.2">
      <c r="B1913" s="25">
        <v>1910</v>
      </c>
      <c r="C1913" s="18">
        <v>45740</v>
      </c>
      <c r="D1913" s="24">
        <f t="shared" si="145"/>
        <v>2025</v>
      </c>
      <c r="E1913" s="24" t="str">
        <f t="shared" si="146"/>
        <v>Q1</v>
      </c>
      <c r="F1913" s="24" t="str">
        <f t="shared" si="147"/>
        <v>Mar</v>
      </c>
      <c r="G1913" s="24">
        <f t="shared" si="148"/>
        <v>3</v>
      </c>
      <c r="H1913" s="19">
        <v>1481</v>
      </c>
      <c r="I1913" s="19" t="s">
        <v>3</v>
      </c>
      <c r="J1913" s="19" t="s">
        <v>5</v>
      </c>
      <c r="K1913" s="20">
        <v>7</v>
      </c>
      <c r="L1913" s="21">
        <v>312</v>
      </c>
      <c r="M1913" s="22">
        <v>0.09</v>
      </c>
      <c r="N1913" s="21">
        <f t="shared" si="149"/>
        <v>283.92</v>
      </c>
      <c r="O1913" s="21">
        <v>1987.44</v>
      </c>
      <c r="P1913" s="19" t="s">
        <v>4</v>
      </c>
      <c r="Q1913" s="23">
        <v>4</v>
      </c>
      <c r="R1913" s="45">
        <v>1.1000000000000001</v>
      </c>
    </row>
    <row r="1914" spans="2:18" x14ac:dyDescent="0.2">
      <c r="B1914" s="25">
        <v>1911</v>
      </c>
      <c r="C1914" s="18">
        <v>45741</v>
      </c>
      <c r="D1914" s="24">
        <f t="shared" si="145"/>
        <v>2025</v>
      </c>
      <c r="E1914" s="24" t="str">
        <f t="shared" si="146"/>
        <v>Q1</v>
      </c>
      <c r="F1914" s="24" t="str">
        <f t="shared" si="147"/>
        <v>Mar</v>
      </c>
      <c r="G1914" s="24">
        <f t="shared" si="148"/>
        <v>3</v>
      </c>
      <c r="H1914" s="19">
        <v>1200</v>
      </c>
      <c r="I1914" s="19" t="s">
        <v>3</v>
      </c>
      <c r="J1914" s="19" t="s">
        <v>1</v>
      </c>
      <c r="K1914" s="20">
        <v>6</v>
      </c>
      <c r="L1914" s="21">
        <v>420.08</v>
      </c>
      <c r="M1914" s="22">
        <v>0.11</v>
      </c>
      <c r="N1914" s="21">
        <f t="shared" si="149"/>
        <v>373.87119999999999</v>
      </c>
      <c r="O1914" s="21">
        <v>2243.23</v>
      </c>
      <c r="P1914" s="19" t="s">
        <v>4</v>
      </c>
      <c r="Q1914" s="23">
        <v>10</v>
      </c>
      <c r="R1914" s="45">
        <v>3.5</v>
      </c>
    </row>
    <row r="1915" spans="2:18" x14ac:dyDescent="0.2">
      <c r="B1915" s="25">
        <v>1912</v>
      </c>
      <c r="C1915" s="18">
        <v>45742</v>
      </c>
      <c r="D1915" s="24">
        <f t="shared" si="145"/>
        <v>2025</v>
      </c>
      <c r="E1915" s="24" t="str">
        <f t="shared" si="146"/>
        <v>Q1</v>
      </c>
      <c r="F1915" s="24" t="str">
        <f t="shared" si="147"/>
        <v>Mar</v>
      </c>
      <c r="G1915" s="24">
        <f t="shared" si="148"/>
        <v>3</v>
      </c>
      <c r="H1915" s="19">
        <v>1153</v>
      </c>
      <c r="I1915" s="19" t="s">
        <v>7</v>
      </c>
      <c r="J1915" s="19" t="s">
        <v>1</v>
      </c>
      <c r="K1915" s="20">
        <v>4</v>
      </c>
      <c r="L1915" s="21">
        <v>383.66</v>
      </c>
      <c r="M1915" s="22">
        <v>0.33</v>
      </c>
      <c r="N1915" s="21">
        <f t="shared" si="149"/>
        <v>257.05220000000003</v>
      </c>
      <c r="O1915" s="21">
        <v>1028.21</v>
      </c>
      <c r="P1915" s="19" t="s">
        <v>2</v>
      </c>
      <c r="Q1915" s="23">
        <v>8</v>
      </c>
      <c r="R1915" s="45">
        <v>1.4</v>
      </c>
    </row>
    <row r="1916" spans="2:18" x14ac:dyDescent="0.2">
      <c r="B1916" s="25">
        <v>1913</v>
      </c>
      <c r="C1916" s="18">
        <v>45743</v>
      </c>
      <c r="D1916" s="24">
        <f t="shared" si="145"/>
        <v>2025</v>
      </c>
      <c r="E1916" s="24" t="str">
        <f t="shared" si="146"/>
        <v>Q1</v>
      </c>
      <c r="F1916" s="24" t="str">
        <f t="shared" si="147"/>
        <v>Mar</v>
      </c>
      <c r="G1916" s="24">
        <f t="shared" si="148"/>
        <v>3</v>
      </c>
      <c r="H1916" s="19">
        <v>1449</v>
      </c>
      <c r="I1916" s="19" t="s">
        <v>3</v>
      </c>
      <c r="J1916" s="19" t="s">
        <v>8</v>
      </c>
      <c r="K1916" s="20">
        <v>3</v>
      </c>
      <c r="L1916" s="21">
        <v>485.2</v>
      </c>
      <c r="M1916" s="22">
        <v>0.24</v>
      </c>
      <c r="N1916" s="21">
        <f t="shared" si="149"/>
        <v>368.75200000000001</v>
      </c>
      <c r="O1916" s="21">
        <v>1106.26</v>
      </c>
      <c r="P1916" s="19" t="s">
        <v>6</v>
      </c>
      <c r="Q1916" s="23">
        <v>7</v>
      </c>
      <c r="R1916" s="45">
        <v>2.1</v>
      </c>
    </row>
    <row r="1917" spans="2:18" x14ac:dyDescent="0.2">
      <c r="B1917" s="25">
        <v>1914</v>
      </c>
      <c r="C1917" s="18">
        <v>45744</v>
      </c>
      <c r="D1917" s="24">
        <f t="shared" si="145"/>
        <v>2025</v>
      </c>
      <c r="E1917" s="24" t="str">
        <f t="shared" si="146"/>
        <v>Q1</v>
      </c>
      <c r="F1917" s="24" t="str">
        <f t="shared" si="147"/>
        <v>Mar</v>
      </c>
      <c r="G1917" s="24">
        <f t="shared" si="148"/>
        <v>3</v>
      </c>
      <c r="H1917" s="19">
        <v>1500</v>
      </c>
      <c r="I1917" s="19" t="s">
        <v>3</v>
      </c>
      <c r="J1917" s="19" t="s">
        <v>8</v>
      </c>
      <c r="K1917" s="20">
        <v>2</v>
      </c>
      <c r="L1917" s="21">
        <v>279.42</v>
      </c>
      <c r="M1917" s="22">
        <v>0.28999999999999998</v>
      </c>
      <c r="N1917" s="21">
        <f t="shared" si="149"/>
        <v>198.38820000000001</v>
      </c>
      <c r="O1917" s="21">
        <v>396.78</v>
      </c>
      <c r="P1917" s="19" t="s">
        <v>4</v>
      </c>
      <c r="Q1917" s="23">
        <v>5</v>
      </c>
      <c r="R1917" s="45">
        <v>1.6</v>
      </c>
    </row>
    <row r="1918" spans="2:18" x14ac:dyDescent="0.2">
      <c r="B1918" s="25">
        <v>1915</v>
      </c>
      <c r="C1918" s="18">
        <v>45745</v>
      </c>
      <c r="D1918" s="24">
        <f t="shared" si="145"/>
        <v>2025</v>
      </c>
      <c r="E1918" s="24" t="str">
        <f t="shared" si="146"/>
        <v>Q1</v>
      </c>
      <c r="F1918" s="24" t="str">
        <f t="shared" si="147"/>
        <v>Mar</v>
      </c>
      <c r="G1918" s="24">
        <f t="shared" si="148"/>
        <v>3</v>
      </c>
      <c r="H1918" s="19">
        <v>1072</v>
      </c>
      <c r="I1918" s="19" t="s">
        <v>3</v>
      </c>
      <c r="J1918" s="19" t="s">
        <v>9</v>
      </c>
      <c r="K1918" s="20">
        <v>6</v>
      </c>
      <c r="L1918" s="21">
        <v>318.67</v>
      </c>
      <c r="M1918" s="22">
        <v>0.09</v>
      </c>
      <c r="N1918" s="21">
        <f t="shared" si="149"/>
        <v>289.98970000000003</v>
      </c>
      <c r="O1918" s="21">
        <v>1739.94</v>
      </c>
      <c r="P1918" s="19" t="s">
        <v>6</v>
      </c>
      <c r="Q1918" s="23">
        <v>7</v>
      </c>
      <c r="R1918" s="45">
        <v>1.5</v>
      </c>
    </row>
    <row r="1919" spans="2:18" x14ac:dyDescent="0.2">
      <c r="B1919" s="25">
        <v>1916</v>
      </c>
      <c r="C1919" s="18">
        <v>45746</v>
      </c>
      <c r="D1919" s="24">
        <f t="shared" si="145"/>
        <v>2025</v>
      </c>
      <c r="E1919" s="24" t="str">
        <f t="shared" si="146"/>
        <v>Q1</v>
      </c>
      <c r="F1919" s="24" t="str">
        <f t="shared" si="147"/>
        <v>Mar</v>
      </c>
      <c r="G1919" s="24">
        <f t="shared" si="148"/>
        <v>3</v>
      </c>
      <c r="H1919" s="19">
        <v>1712</v>
      </c>
      <c r="I1919" s="19" t="s">
        <v>7</v>
      </c>
      <c r="J1919" s="19" t="s">
        <v>5</v>
      </c>
      <c r="K1919" s="20">
        <v>6</v>
      </c>
      <c r="L1919" s="21">
        <v>489.09</v>
      </c>
      <c r="M1919" s="22">
        <v>0.19</v>
      </c>
      <c r="N1919" s="21">
        <f t="shared" si="149"/>
        <v>396.16289999999998</v>
      </c>
      <c r="O1919" s="21">
        <v>2376.98</v>
      </c>
      <c r="P1919" s="19" t="s">
        <v>2</v>
      </c>
      <c r="Q1919" s="23">
        <v>7</v>
      </c>
      <c r="R1919" s="45">
        <v>1.3</v>
      </c>
    </row>
    <row r="1920" spans="2:18" x14ac:dyDescent="0.2">
      <c r="B1920" s="25">
        <v>1917</v>
      </c>
      <c r="C1920" s="18">
        <v>45747</v>
      </c>
      <c r="D1920" s="24">
        <f t="shared" si="145"/>
        <v>2025</v>
      </c>
      <c r="E1920" s="24" t="str">
        <f t="shared" si="146"/>
        <v>Q1</v>
      </c>
      <c r="F1920" s="24" t="str">
        <f t="shared" si="147"/>
        <v>Mar</v>
      </c>
      <c r="G1920" s="24">
        <f t="shared" si="148"/>
        <v>3</v>
      </c>
      <c r="H1920" s="19">
        <v>1295</v>
      </c>
      <c r="I1920" s="19" t="s">
        <v>10</v>
      </c>
      <c r="J1920" s="19" t="s">
        <v>8</v>
      </c>
      <c r="K1920" s="20">
        <v>6</v>
      </c>
      <c r="L1920" s="21">
        <v>265.20999999999998</v>
      </c>
      <c r="M1920" s="22">
        <v>0.34</v>
      </c>
      <c r="N1920" s="21">
        <f t="shared" si="149"/>
        <v>175.03859999999997</v>
      </c>
      <c r="O1920" s="21">
        <v>1050.23</v>
      </c>
      <c r="P1920" s="19" t="s">
        <v>6</v>
      </c>
      <c r="Q1920" s="23">
        <v>10</v>
      </c>
      <c r="R1920" s="45">
        <v>2.2999999999999998</v>
      </c>
    </row>
    <row r="1921" spans="2:18" x14ac:dyDescent="0.2">
      <c r="B1921" s="25">
        <v>1918</v>
      </c>
      <c r="C1921" s="18">
        <v>45748</v>
      </c>
      <c r="D1921" s="24">
        <f t="shared" si="145"/>
        <v>2025</v>
      </c>
      <c r="E1921" s="24" t="str">
        <f t="shared" si="146"/>
        <v>Q2</v>
      </c>
      <c r="F1921" s="24" t="str">
        <f t="shared" si="147"/>
        <v>Apr</v>
      </c>
      <c r="G1921" s="24">
        <f t="shared" si="148"/>
        <v>4</v>
      </c>
      <c r="H1921" s="19">
        <v>1016</v>
      </c>
      <c r="I1921" s="19" t="s">
        <v>7</v>
      </c>
      <c r="J1921" s="19" t="s">
        <v>9</v>
      </c>
      <c r="K1921" s="20">
        <v>7</v>
      </c>
      <c r="L1921" s="21">
        <v>425.44</v>
      </c>
      <c r="M1921" s="22">
        <v>0.11</v>
      </c>
      <c r="N1921" s="21">
        <f t="shared" si="149"/>
        <v>378.64159999999998</v>
      </c>
      <c r="O1921" s="21">
        <v>2650.49</v>
      </c>
      <c r="P1921" s="19" t="s">
        <v>6</v>
      </c>
      <c r="Q1921" s="23">
        <v>2</v>
      </c>
      <c r="R1921" s="45">
        <v>2.7</v>
      </c>
    </row>
    <row r="1922" spans="2:18" x14ac:dyDescent="0.2">
      <c r="B1922" s="25">
        <v>1919</v>
      </c>
      <c r="C1922" s="18">
        <v>45749</v>
      </c>
      <c r="D1922" s="24">
        <f t="shared" si="145"/>
        <v>2025</v>
      </c>
      <c r="E1922" s="24" t="str">
        <f t="shared" si="146"/>
        <v>Q2</v>
      </c>
      <c r="F1922" s="24" t="str">
        <f t="shared" si="147"/>
        <v>Apr</v>
      </c>
      <c r="G1922" s="24">
        <f t="shared" si="148"/>
        <v>4</v>
      </c>
      <c r="H1922" s="19">
        <v>1640</v>
      </c>
      <c r="I1922" s="19" t="s">
        <v>3</v>
      </c>
      <c r="J1922" s="19" t="s">
        <v>5</v>
      </c>
      <c r="K1922" s="20">
        <v>1</v>
      </c>
      <c r="L1922" s="21">
        <v>269.24</v>
      </c>
      <c r="M1922" s="22">
        <v>0.06</v>
      </c>
      <c r="N1922" s="21">
        <f t="shared" si="149"/>
        <v>253.0856</v>
      </c>
      <c r="O1922" s="21">
        <v>253.09</v>
      </c>
      <c r="P1922" s="19" t="s">
        <v>4</v>
      </c>
      <c r="Q1922" s="23">
        <v>7</v>
      </c>
      <c r="R1922" s="45">
        <v>2.9</v>
      </c>
    </row>
    <row r="1923" spans="2:18" x14ac:dyDescent="0.2">
      <c r="B1923" s="25">
        <v>1920</v>
      </c>
      <c r="C1923" s="18">
        <v>45750</v>
      </c>
      <c r="D1923" s="24">
        <f t="shared" si="145"/>
        <v>2025</v>
      </c>
      <c r="E1923" s="24" t="str">
        <f t="shared" si="146"/>
        <v>Q2</v>
      </c>
      <c r="F1923" s="24" t="str">
        <f t="shared" si="147"/>
        <v>Apr</v>
      </c>
      <c r="G1923" s="24">
        <f t="shared" si="148"/>
        <v>4</v>
      </c>
      <c r="H1923" s="19">
        <v>1216</v>
      </c>
      <c r="I1923" s="19" t="s">
        <v>10</v>
      </c>
      <c r="J1923" s="19" t="s">
        <v>9</v>
      </c>
      <c r="K1923" s="20">
        <v>5</v>
      </c>
      <c r="L1923" s="21">
        <v>259.38</v>
      </c>
      <c r="M1923" s="22">
        <v>0.18</v>
      </c>
      <c r="N1923" s="21">
        <f t="shared" si="149"/>
        <v>212.69159999999999</v>
      </c>
      <c r="O1923" s="21">
        <v>1063.46</v>
      </c>
      <c r="P1923" s="19" t="s">
        <v>6</v>
      </c>
      <c r="Q1923" s="23">
        <v>3</v>
      </c>
      <c r="R1923" s="45">
        <v>2.8</v>
      </c>
    </row>
    <row r="1924" spans="2:18" x14ac:dyDescent="0.2">
      <c r="B1924" s="25">
        <v>1921</v>
      </c>
      <c r="C1924" s="18">
        <v>45751</v>
      </c>
      <c r="D1924" s="24">
        <f t="shared" ref="D1924:D1987" si="150">YEAR(C1924)</f>
        <v>2025</v>
      </c>
      <c r="E1924" s="24" t="str">
        <f t="shared" ref="E1924:E1987" si="151">"Q"&amp;ROUNDUP(MONTH(C1924)/3,0)</f>
        <v>Q2</v>
      </c>
      <c r="F1924" s="24" t="str">
        <f t="shared" ref="F1924:F1987" si="152">TEXT(C1924,"mmm")</f>
        <v>Apr</v>
      </c>
      <c r="G1924" s="24">
        <f t="shared" ref="G1924:G1987" si="153">MONTH(C1924)</f>
        <v>4</v>
      </c>
      <c r="H1924" s="19">
        <v>1060</v>
      </c>
      <c r="I1924" s="19" t="s">
        <v>3</v>
      </c>
      <c r="J1924" s="19" t="s">
        <v>8</v>
      </c>
      <c r="K1924" s="20">
        <v>3</v>
      </c>
      <c r="L1924" s="21">
        <v>459.72</v>
      </c>
      <c r="M1924" s="22">
        <v>0.14000000000000001</v>
      </c>
      <c r="N1924" s="21">
        <f t="shared" si="149"/>
        <v>395.35919999999999</v>
      </c>
      <c r="O1924" s="21">
        <v>1186.08</v>
      </c>
      <c r="P1924" s="19" t="s">
        <v>6</v>
      </c>
      <c r="Q1924" s="23">
        <v>8</v>
      </c>
      <c r="R1924" s="45">
        <v>3.1</v>
      </c>
    </row>
    <row r="1925" spans="2:18" x14ac:dyDescent="0.2">
      <c r="B1925" s="25">
        <v>1922</v>
      </c>
      <c r="C1925" s="18">
        <v>45752</v>
      </c>
      <c r="D1925" s="24">
        <f t="shared" si="150"/>
        <v>2025</v>
      </c>
      <c r="E1925" s="24" t="str">
        <f t="shared" si="151"/>
        <v>Q2</v>
      </c>
      <c r="F1925" s="24" t="str">
        <f t="shared" si="152"/>
        <v>Apr</v>
      </c>
      <c r="G1925" s="24">
        <f t="shared" si="153"/>
        <v>4</v>
      </c>
      <c r="H1925" s="19">
        <v>1938</v>
      </c>
      <c r="I1925" s="19" t="s">
        <v>7</v>
      </c>
      <c r="J1925" s="19" t="s">
        <v>9</v>
      </c>
      <c r="K1925" s="20">
        <v>7</v>
      </c>
      <c r="L1925" s="21">
        <v>117.28</v>
      </c>
      <c r="M1925" s="22">
        <v>0.06</v>
      </c>
      <c r="N1925" s="21">
        <f t="shared" ref="N1925:N1988" si="154">L1925-(L1925*M1925)</f>
        <v>110.2432</v>
      </c>
      <c r="O1925" s="21">
        <v>771.7</v>
      </c>
      <c r="P1925" s="19" t="s">
        <v>6</v>
      </c>
      <c r="Q1925" s="23">
        <v>8</v>
      </c>
      <c r="R1925" s="45">
        <v>4.4000000000000004</v>
      </c>
    </row>
    <row r="1926" spans="2:18" x14ac:dyDescent="0.2">
      <c r="B1926" s="25">
        <v>1923</v>
      </c>
      <c r="C1926" s="18">
        <v>45753</v>
      </c>
      <c r="D1926" s="24">
        <f t="shared" si="150"/>
        <v>2025</v>
      </c>
      <c r="E1926" s="24" t="str">
        <f t="shared" si="151"/>
        <v>Q2</v>
      </c>
      <c r="F1926" s="24" t="str">
        <f t="shared" si="152"/>
        <v>Apr</v>
      </c>
      <c r="G1926" s="24">
        <f t="shared" si="153"/>
        <v>4</v>
      </c>
      <c r="H1926" s="19">
        <v>1615</v>
      </c>
      <c r="I1926" s="19" t="s">
        <v>10</v>
      </c>
      <c r="J1926" s="19" t="s">
        <v>5</v>
      </c>
      <c r="K1926" s="20">
        <v>2</v>
      </c>
      <c r="L1926" s="21">
        <v>213.07</v>
      </c>
      <c r="M1926" s="22">
        <v>0.31</v>
      </c>
      <c r="N1926" s="21">
        <f t="shared" si="154"/>
        <v>147.01830000000001</v>
      </c>
      <c r="O1926" s="21">
        <v>294.04000000000002</v>
      </c>
      <c r="P1926" s="19" t="s">
        <v>2</v>
      </c>
      <c r="Q1926" s="23">
        <v>9</v>
      </c>
      <c r="R1926" s="45">
        <v>3.5</v>
      </c>
    </row>
    <row r="1927" spans="2:18" x14ac:dyDescent="0.2">
      <c r="B1927" s="25">
        <v>1924</v>
      </c>
      <c r="C1927" s="18">
        <v>45754</v>
      </c>
      <c r="D1927" s="24">
        <f t="shared" si="150"/>
        <v>2025</v>
      </c>
      <c r="E1927" s="24" t="str">
        <f t="shared" si="151"/>
        <v>Q2</v>
      </c>
      <c r="F1927" s="24" t="str">
        <f t="shared" si="152"/>
        <v>Apr</v>
      </c>
      <c r="G1927" s="24">
        <f t="shared" si="153"/>
        <v>4</v>
      </c>
      <c r="H1927" s="19">
        <v>1041</v>
      </c>
      <c r="I1927" s="19" t="s">
        <v>3</v>
      </c>
      <c r="J1927" s="19" t="s">
        <v>5</v>
      </c>
      <c r="K1927" s="20">
        <v>7</v>
      </c>
      <c r="L1927" s="21">
        <v>146.13999999999999</v>
      </c>
      <c r="M1927" s="22">
        <v>0.35</v>
      </c>
      <c r="N1927" s="21">
        <f t="shared" si="154"/>
        <v>94.990999999999985</v>
      </c>
      <c r="O1927" s="21">
        <v>664.94</v>
      </c>
      <c r="P1927" s="19" t="s">
        <v>4</v>
      </c>
      <c r="Q1927" s="23">
        <v>11</v>
      </c>
      <c r="R1927" s="45">
        <v>1.1000000000000001</v>
      </c>
    </row>
    <row r="1928" spans="2:18" x14ac:dyDescent="0.2">
      <c r="B1928" s="25">
        <v>1925</v>
      </c>
      <c r="C1928" s="18">
        <v>45755</v>
      </c>
      <c r="D1928" s="24">
        <f t="shared" si="150"/>
        <v>2025</v>
      </c>
      <c r="E1928" s="24" t="str">
        <f t="shared" si="151"/>
        <v>Q2</v>
      </c>
      <c r="F1928" s="24" t="str">
        <f t="shared" si="152"/>
        <v>Apr</v>
      </c>
      <c r="G1928" s="24">
        <f t="shared" si="153"/>
        <v>4</v>
      </c>
      <c r="H1928" s="19">
        <v>1024</v>
      </c>
      <c r="I1928" s="19" t="s">
        <v>10</v>
      </c>
      <c r="J1928" s="19" t="s">
        <v>9</v>
      </c>
      <c r="K1928" s="20">
        <v>1</v>
      </c>
      <c r="L1928" s="21">
        <v>225.08</v>
      </c>
      <c r="M1928" s="22">
        <v>0.2</v>
      </c>
      <c r="N1928" s="21">
        <f t="shared" si="154"/>
        <v>180.06400000000002</v>
      </c>
      <c r="O1928" s="21">
        <v>180.06</v>
      </c>
      <c r="P1928" s="19" t="s">
        <v>4</v>
      </c>
      <c r="Q1928" s="23">
        <v>4</v>
      </c>
      <c r="R1928" s="45">
        <v>1.7</v>
      </c>
    </row>
    <row r="1929" spans="2:18" x14ac:dyDescent="0.2">
      <c r="B1929" s="25">
        <v>1926</v>
      </c>
      <c r="C1929" s="18">
        <v>45756</v>
      </c>
      <c r="D1929" s="24">
        <f t="shared" si="150"/>
        <v>2025</v>
      </c>
      <c r="E1929" s="24" t="str">
        <f t="shared" si="151"/>
        <v>Q2</v>
      </c>
      <c r="F1929" s="24" t="str">
        <f t="shared" si="152"/>
        <v>Apr</v>
      </c>
      <c r="G1929" s="24">
        <f t="shared" si="153"/>
        <v>4</v>
      </c>
      <c r="H1929" s="19">
        <v>1038</v>
      </c>
      <c r="I1929" s="19" t="s">
        <v>10</v>
      </c>
      <c r="J1929" s="19" t="s">
        <v>5</v>
      </c>
      <c r="K1929" s="20">
        <v>7</v>
      </c>
      <c r="L1929" s="21">
        <v>149.77000000000001</v>
      </c>
      <c r="M1929" s="22">
        <v>0.27</v>
      </c>
      <c r="N1929" s="21">
        <f t="shared" si="154"/>
        <v>109.3321</v>
      </c>
      <c r="O1929" s="21">
        <v>765.32</v>
      </c>
      <c r="P1929" s="19" t="s">
        <v>2</v>
      </c>
      <c r="Q1929" s="23">
        <v>10</v>
      </c>
      <c r="R1929" s="45">
        <v>2.4</v>
      </c>
    </row>
    <row r="1930" spans="2:18" x14ac:dyDescent="0.2">
      <c r="B1930" s="25">
        <v>1927</v>
      </c>
      <c r="C1930" s="18">
        <v>45757</v>
      </c>
      <c r="D1930" s="24">
        <f t="shared" si="150"/>
        <v>2025</v>
      </c>
      <c r="E1930" s="24" t="str">
        <f t="shared" si="151"/>
        <v>Q2</v>
      </c>
      <c r="F1930" s="24" t="str">
        <f t="shared" si="152"/>
        <v>Apr</v>
      </c>
      <c r="G1930" s="24">
        <f t="shared" si="153"/>
        <v>4</v>
      </c>
      <c r="H1930" s="19">
        <v>1802</v>
      </c>
      <c r="I1930" s="19" t="s">
        <v>3</v>
      </c>
      <c r="J1930" s="19" t="s">
        <v>9</v>
      </c>
      <c r="K1930" s="20">
        <v>7</v>
      </c>
      <c r="L1930" s="21">
        <v>353.95</v>
      </c>
      <c r="M1930" s="22">
        <v>0.3</v>
      </c>
      <c r="N1930" s="21">
        <f t="shared" si="154"/>
        <v>247.76499999999999</v>
      </c>
      <c r="O1930" s="21">
        <v>1734.36</v>
      </c>
      <c r="P1930" s="19" t="s">
        <v>6</v>
      </c>
      <c r="Q1930" s="23">
        <v>3</v>
      </c>
      <c r="R1930" s="45">
        <v>4.8</v>
      </c>
    </row>
    <row r="1931" spans="2:18" x14ac:dyDescent="0.2">
      <c r="B1931" s="25">
        <v>1928</v>
      </c>
      <c r="C1931" s="18">
        <v>45758</v>
      </c>
      <c r="D1931" s="24">
        <f t="shared" si="150"/>
        <v>2025</v>
      </c>
      <c r="E1931" s="24" t="str">
        <f t="shared" si="151"/>
        <v>Q2</v>
      </c>
      <c r="F1931" s="24" t="str">
        <f t="shared" si="152"/>
        <v>Apr</v>
      </c>
      <c r="G1931" s="24">
        <f t="shared" si="153"/>
        <v>4</v>
      </c>
      <c r="H1931" s="19">
        <v>1130</v>
      </c>
      <c r="I1931" s="19" t="s">
        <v>3</v>
      </c>
      <c r="J1931" s="19" t="s">
        <v>5</v>
      </c>
      <c r="K1931" s="20">
        <v>4</v>
      </c>
      <c r="L1931" s="21">
        <v>481.93</v>
      </c>
      <c r="M1931" s="22">
        <v>0.25</v>
      </c>
      <c r="N1931" s="21">
        <f t="shared" si="154"/>
        <v>361.44749999999999</v>
      </c>
      <c r="O1931" s="21">
        <v>1445.79</v>
      </c>
      <c r="P1931" s="19" t="s">
        <v>4</v>
      </c>
      <c r="Q1931" s="23">
        <v>9</v>
      </c>
      <c r="R1931" s="45">
        <v>1.3</v>
      </c>
    </row>
    <row r="1932" spans="2:18" x14ac:dyDescent="0.2">
      <c r="B1932" s="25">
        <v>1929</v>
      </c>
      <c r="C1932" s="18">
        <v>45759</v>
      </c>
      <c r="D1932" s="24">
        <f t="shared" si="150"/>
        <v>2025</v>
      </c>
      <c r="E1932" s="24" t="str">
        <f t="shared" si="151"/>
        <v>Q2</v>
      </c>
      <c r="F1932" s="24" t="str">
        <f t="shared" si="152"/>
        <v>Apr</v>
      </c>
      <c r="G1932" s="24">
        <f t="shared" si="153"/>
        <v>4</v>
      </c>
      <c r="H1932" s="19">
        <v>1497</v>
      </c>
      <c r="I1932" s="19" t="s">
        <v>7</v>
      </c>
      <c r="J1932" s="19" t="s">
        <v>9</v>
      </c>
      <c r="K1932" s="20">
        <v>2</v>
      </c>
      <c r="L1932" s="21">
        <v>475.17</v>
      </c>
      <c r="M1932" s="22">
        <v>0.02</v>
      </c>
      <c r="N1932" s="21">
        <f t="shared" si="154"/>
        <v>465.66660000000002</v>
      </c>
      <c r="O1932" s="21">
        <v>931.33</v>
      </c>
      <c r="P1932" s="19" t="s">
        <v>4</v>
      </c>
      <c r="Q1932" s="23">
        <v>9</v>
      </c>
      <c r="R1932" s="45">
        <v>3.8</v>
      </c>
    </row>
    <row r="1933" spans="2:18" x14ac:dyDescent="0.2">
      <c r="B1933" s="25">
        <v>1930</v>
      </c>
      <c r="C1933" s="18">
        <v>45760</v>
      </c>
      <c r="D1933" s="24">
        <f t="shared" si="150"/>
        <v>2025</v>
      </c>
      <c r="E1933" s="24" t="str">
        <f t="shared" si="151"/>
        <v>Q2</v>
      </c>
      <c r="F1933" s="24" t="str">
        <f t="shared" si="152"/>
        <v>Apr</v>
      </c>
      <c r="G1933" s="24">
        <f t="shared" si="153"/>
        <v>4</v>
      </c>
      <c r="H1933" s="19">
        <v>1228</v>
      </c>
      <c r="I1933" s="19" t="s">
        <v>7</v>
      </c>
      <c r="J1933" s="19" t="s">
        <v>9</v>
      </c>
      <c r="K1933" s="20">
        <v>6</v>
      </c>
      <c r="L1933" s="21">
        <v>228.23</v>
      </c>
      <c r="M1933" s="22">
        <v>0.06</v>
      </c>
      <c r="N1933" s="21">
        <f t="shared" si="154"/>
        <v>214.53619999999998</v>
      </c>
      <c r="O1933" s="21">
        <v>1287.22</v>
      </c>
      <c r="P1933" s="19" t="s">
        <v>2</v>
      </c>
      <c r="Q1933" s="23">
        <v>2</v>
      </c>
      <c r="R1933" s="45">
        <v>1.1000000000000001</v>
      </c>
    </row>
    <row r="1934" spans="2:18" x14ac:dyDescent="0.2">
      <c r="B1934" s="25">
        <v>1931</v>
      </c>
      <c r="C1934" s="18">
        <v>45761</v>
      </c>
      <c r="D1934" s="24">
        <f t="shared" si="150"/>
        <v>2025</v>
      </c>
      <c r="E1934" s="24" t="str">
        <f t="shared" si="151"/>
        <v>Q2</v>
      </c>
      <c r="F1934" s="24" t="str">
        <f t="shared" si="152"/>
        <v>Apr</v>
      </c>
      <c r="G1934" s="24">
        <f t="shared" si="153"/>
        <v>4</v>
      </c>
      <c r="H1934" s="19">
        <v>1107</v>
      </c>
      <c r="I1934" s="19" t="s">
        <v>3</v>
      </c>
      <c r="J1934" s="19" t="s">
        <v>9</v>
      </c>
      <c r="K1934" s="20">
        <v>2</v>
      </c>
      <c r="L1934" s="21">
        <v>593.41999999999996</v>
      </c>
      <c r="M1934" s="22">
        <v>0.02</v>
      </c>
      <c r="N1934" s="21">
        <f t="shared" si="154"/>
        <v>581.55160000000001</v>
      </c>
      <c r="O1934" s="21">
        <v>1163.0999999999999</v>
      </c>
      <c r="P1934" s="19" t="s">
        <v>4</v>
      </c>
      <c r="Q1934" s="23">
        <v>6</v>
      </c>
      <c r="R1934" s="45">
        <v>2.5</v>
      </c>
    </row>
    <row r="1935" spans="2:18" x14ac:dyDescent="0.2">
      <c r="B1935" s="25">
        <v>1932</v>
      </c>
      <c r="C1935" s="18">
        <v>45762</v>
      </c>
      <c r="D1935" s="24">
        <f t="shared" si="150"/>
        <v>2025</v>
      </c>
      <c r="E1935" s="24" t="str">
        <f t="shared" si="151"/>
        <v>Q2</v>
      </c>
      <c r="F1935" s="24" t="str">
        <f t="shared" si="152"/>
        <v>Apr</v>
      </c>
      <c r="G1935" s="24">
        <f t="shared" si="153"/>
        <v>4</v>
      </c>
      <c r="H1935" s="19">
        <v>1171</v>
      </c>
      <c r="I1935" s="19" t="s">
        <v>3</v>
      </c>
      <c r="J1935" s="19" t="s">
        <v>1</v>
      </c>
      <c r="K1935" s="20">
        <v>2</v>
      </c>
      <c r="L1935" s="21">
        <v>362.4</v>
      </c>
      <c r="M1935" s="22">
        <v>0</v>
      </c>
      <c r="N1935" s="21">
        <f t="shared" si="154"/>
        <v>362.4</v>
      </c>
      <c r="O1935" s="21">
        <v>724.8</v>
      </c>
      <c r="P1935" s="19" t="s">
        <v>4</v>
      </c>
      <c r="Q1935" s="23">
        <v>3</v>
      </c>
      <c r="R1935" s="45">
        <v>4.0999999999999996</v>
      </c>
    </row>
    <row r="1936" spans="2:18" x14ac:dyDescent="0.2">
      <c r="B1936" s="25">
        <v>1933</v>
      </c>
      <c r="C1936" s="18">
        <v>45763</v>
      </c>
      <c r="D1936" s="24">
        <f t="shared" si="150"/>
        <v>2025</v>
      </c>
      <c r="E1936" s="24" t="str">
        <f t="shared" si="151"/>
        <v>Q2</v>
      </c>
      <c r="F1936" s="24" t="str">
        <f t="shared" si="152"/>
        <v>Apr</v>
      </c>
      <c r="G1936" s="24">
        <f t="shared" si="153"/>
        <v>4</v>
      </c>
      <c r="H1936" s="19">
        <v>1434</v>
      </c>
      <c r="I1936" s="19" t="s">
        <v>3</v>
      </c>
      <c r="J1936" s="19" t="s">
        <v>5</v>
      </c>
      <c r="K1936" s="20">
        <v>4</v>
      </c>
      <c r="L1936" s="21">
        <v>248.65</v>
      </c>
      <c r="M1936" s="22">
        <v>0.11</v>
      </c>
      <c r="N1936" s="21">
        <f t="shared" si="154"/>
        <v>221.29849999999999</v>
      </c>
      <c r="O1936" s="21">
        <v>885.19</v>
      </c>
      <c r="P1936" s="19" t="s">
        <v>4</v>
      </c>
      <c r="Q1936" s="23">
        <v>5</v>
      </c>
      <c r="R1936" s="45">
        <v>2.4</v>
      </c>
    </row>
    <row r="1937" spans="2:18" x14ac:dyDescent="0.2">
      <c r="B1937" s="25">
        <v>1934</v>
      </c>
      <c r="C1937" s="18">
        <v>45764</v>
      </c>
      <c r="D1937" s="24">
        <f t="shared" si="150"/>
        <v>2025</v>
      </c>
      <c r="E1937" s="24" t="str">
        <f t="shared" si="151"/>
        <v>Q2</v>
      </c>
      <c r="F1937" s="24" t="str">
        <f t="shared" si="152"/>
        <v>Apr</v>
      </c>
      <c r="G1937" s="24">
        <f t="shared" si="153"/>
        <v>4</v>
      </c>
      <c r="H1937" s="19">
        <v>1477</v>
      </c>
      <c r="I1937" s="19" t="s">
        <v>7</v>
      </c>
      <c r="J1937" s="19" t="s">
        <v>8</v>
      </c>
      <c r="K1937" s="20">
        <v>5</v>
      </c>
      <c r="L1937" s="21">
        <v>503.79</v>
      </c>
      <c r="M1937" s="22">
        <v>0.14000000000000001</v>
      </c>
      <c r="N1937" s="21">
        <f t="shared" si="154"/>
        <v>433.25940000000003</v>
      </c>
      <c r="O1937" s="21">
        <v>2166.3000000000002</v>
      </c>
      <c r="P1937" s="19" t="s">
        <v>2</v>
      </c>
      <c r="Q1937" s="23">
        <v>2</v>
      </c>
      <c r="R1937" s="45">
        <v>2.7</v>
      </c>
    </row>
    <row r="1938" spans="2:18" x14ac:dyDescent="0.2">
      <c r="B1938" s="25">
        <v>1935</v>
      </c>
      <c r="C1938" s="18">
        <v>45765</v>
      </c>
      <c r="D1938" s="24">
        <f t="shared" si="150"/>
        <v>2025</v>
      </c>
      <c r="E1938" s="24" t="str">
        <f t="shared" si="151"/>
        <v>Q2</v>
      </c>
      <c r="F1938" s="24" t="str">
        <f t="shared" si="152"/>
        <v>Apr</v>
      </c>
      <c r="G1938" s="24">
        <f t="shared" si="153"/>
        <v>4</v>
      </c>
      <c r="H1938" s="19">
        <v>1101</v>
      </c>
      <c r="I1938" s="19" t="s">
        <v>7</v>
      </c>
      <c r="J1938" s="19" t="s">
        <v>9</v>
      </c>
      <c r="K1938" s="20">
        <v>7</v>
      </c>
      <c r="L1938" s="21">
        <v>441.98</v>
      </c>
      <c r="M1938" s="22">
        <v>0.08</v>
      </c>
      <c r="N1938" s="21">
        <f t="shared" si="154"/>
        <v>406.6216</v>
      </c>
      <c r="O1938" s="21">
        <v>2846.35</v>
      </c>
      <c r="P1938" s="19" t="s">
        <v>2</v>
      </c>
      <c r="Q1938" s="23">
        <v>4</v>
      </c>
      <c r="R1938" s="45">
        <v>4.5999999999999996</v>
      </c>
    </row>
    <row r="1939" spans="2:18" x14ac:dyDescent="0.2">
      <c r="B1939" s="25">
        <v>1936</v>
      </c>
      <c r="C1939" s="18">
        <v>45766</v>
      </c>
      <c r="D1939" s="24">
        <f t="shared" si="150"/>
        <v>2025</v>
      </c>
      <c r="E1939" s="24" t="str">
        <f t="shared" si="151"/>
        <v>Q2</v>
      </c>
      <c r="F1939" s="24" t="str">
        <f t="shared" si="152"/>
        <v>Apr</v>
      </c>
      <c r="G1939" s="24">
        <f t="shared" si="153"/>
        <v>4</v>
      </c>
      <c r="H1939" s="19">
        <v>1865</v>
      </c>
      <c r="I1939" s="19" t="s">
        <v>3</v>
      </c>
      <c r="J1939" s="19" t="s">
        <v>1</v>
      </c>
      <c r="K1939" s="20">
        <v>3</v>
      </c>
      <c r="L1939" s="21">
        <v>453.33</v>
      </c>
      <c r="M1939" s="22">
        <v>0.02</v>
      </c>
      <c r="N1939" s="21">
        <f t="shared" si="154"/>
        <v>444.26339999999999</v>
      </c>
      <c r="O1939" s="21">
        <v>1332.79</v>
      </c>
      <c r="P1939" s="19" t="s">
        <v>6</v>
      </c>
      <c r="Q1939" s="23">
        <v>11</v>
      </c>
      <c r="R1939" s="45">
        <v>1.3</v>
      </c>
    </row>
    <row r="1940" spans="2:18" x14ac:dyDescent="0.2">
      <c r="B1940" s="25">
        <v>1937</v>
      </c>
      <c r="C1940" s="18">
        <v>45767</v>
      </c>
      <c r="D1940" s="24">
        <f t="shared" si="150"/>
        <v>2025</v>
      </c>
      <c r="E1940" s="24" t="str">
        <f t="shared" si="151"/>
        <v>Q2</v>
      </c>
      <c r="F1940" s="24" t="str">
        <f t="shared" si="152"/>
        <v>Apr</v>
      </c>
      <c r="G1940" s="24">
        <f t="shared" si="153"/>
        <v>4</v>
      </c>
      <c r="H1940" s="19">
        <v>1523</v>
      </c>
      <c r="I1940" s="19" t="s">
        <v>7</v>
      </c>
      <c r="J1940" s="19" t="s">
        <v>8</v>
      </c>
      <c r="K1940" s="20">
        <v>6</v>
      </c>
      <c r="L1940" s="21">
        <v>129.74</v>
      </c>
      <c r="M1940" s="22">
        <v>0.19</v>
      </c>
      <c r="N1940" s="21">
        <f t="shared" si="154"/>
        <v>105.08940000000001</v>
      </c>
      <c r="O1940" s="21">
        <v>630.54</v>
      </c>
      <c r="P1940" s="19" t="s">
        <v>6</v>
      </c>
      <c r="Q1940" s="23">
        <v>3</v>
      </c>
      <c r="R1940" s="45">
        <v>3.1</v>
      </c>
    </row>
    <row r="1941" spans="2:18" x14ac:dyDescent="0.2">
      <c r="B1941" s="25">
        <v>1938</v>
      </c>
      <c r="C1941" s="18">
        <v>45768</v>
      </c>
      <c r="D1941" s="24">
        <f t="shared" si="150"/>
        <v>2025</v>
      </c>
      <c r="E1941" s="24" t="str">
        <f t="shared" si="151"/>
        <v>Q2</v>
      </c>
      <c r="F1941" s="24" t="str">
        <f t="shared" si="152"/>
        <v>Apr</v>
      </c>
      <c r="G1941" s="24">
        <f t="shared" si="153"/>
        <v>4</v>
      </c>
      <c r="H1941" s="19">
        <v>1274</v>
      </c>
      <c r="I1941" s="19" t="s">
        <v>10</v>
      </c>
      <c r="J1941" s="19" t="s">
        <v>9</v>
      </c>
      <c r="K1941" s="20">
        <v>5</v>
      </c>
      <c r="L1941" s="21">
        <v>288.97000000000003</v>
      </c>
      <c r="M1941" s="22">
        <v>0.1</v>
      </c>
      <c r="N1941" s="21">
        <f t="shared" si="154"/>
        <v>260.07300000000004</v>
      </c>
      <c r="O1941" s="21">
        <v>1300.3699999999999</v>
      </c>
      <c r="P1941" s="19" t="s">
        <v>4</v>
      </c>
      <c r="Q1941" s="23">
        <v>2</v>
      </c>
      <c r="R1941" s="45">
        <v>2.5</v>
      </c>
    </row>
    <row r="1942" spans="2:18" x14ac:dyDescent="0.2">
      <c r="B1942" s="25">
        <v>1939</v>
      </c>
      <c r="C1942" s="18">
        <v>45769</v>
      </c>
      <c r="D1942" s="24">
        <f t="shared" si="150"/>
        <v>2025</v>
      </c>
      <c r="E1942" s="24" t="str">
        <f t="shared" si="151"/>
        <v>Q2</v>
      </c>
      <c r="F1942" s="24" t="str">
        <f t="shared" si="152"/>
        <v>Apr</v>
      </c>
      <c r="G1942" s="24">
        <f t="shared" si="153"/>
        <v>4</v>
      </c>
      <c r="H1942" s="19">
        <v>1612</v>
      </c>
      <c r="I1942" s="19" t="s">
        <v>7</v>
      </c>
      <c r="J1942" s="19" t="s">
        <v>8</v>
      </c>
      <c r="K1942" s="20">
        <v>1</v>
      </c>
      <c r="L1942" s="21">
        <v>519.16999999999996</v>
      </c>
      <c r="M1942" s="22">
        <v>0.28000000000000003</v>
      </c>
      <c r="N1942" s="21">
        <f t="shared" si="154"/>
        <v>373.80239999999992</v>
      </c>
      <c r="O1942" s="21">
        <v>373.8</v>
      </c>
      <c r="P1942" s="19" t="s">
        <v>4</v>
      </c>
      <c r="Q1942" s="23">
        <v>6</v>
      </c>
      <c r="R1942" s="45">
        <v>4.9000000000000004</v>
      </c>
    </row>
    <row r="1943" spans="2:18" x14ac:dyDescent="0.2">
      <c r="B1943" s="25">
        <v>1940</v>
      </c>
      <c r="C1943" s="18">
        <v>45770</v>
      </c>
      <c r="D1943" s="24">
        <f t="shared" si="150"/>
        <v>2025</v>
      </c>
      <c r="E1943" s="24" t="str">
        <f t="shared" si="151"/>
        <v>Q2</v>
      </c>
      <c r="F1943" s="24" t="str">
        <f t="shared" si="152"/>
        <v>Apr</v>
      </c>
      <c r="G1943" s="24">
        <f t="shared" si="153"/>
        <v>4</v>
      </c>
      <c r="H1943" s="19">
        <v>1043</v>
      </c>
      <c r="I1943" s="19" t="s">
        <v>3</v>
      </c>
      <c r="J1943" s="19" t="s">
        <v>1</v>
      </c>
      <c r="K1943" s="20">
        <v>7</v>
      </c>
      <c r="L1943" s="21">
        <v>309.86</v>
      </c>
      <c r="M1943" s="22">
        <v>0</v>
      </c>
      <c r="N1943" s="21">
        <f t="shared" si="154"/>
        <v>309.86</v>
      </c>
      <c r="O1943" s="21">
        <v>2169.02</v>
      </c>
      <c r="P1943" s="19" t="s">
        <v>2</v>
      </c>
      <c r="Q1943" s="23">
        <v>11</v>
      </c>
      <c r="R1943" s="45">
        <v>4.2</v>
      </c>
    </row>
    <row r="1944" spans="2:18" x14ac:dyDescent="0.2">
      <c r="B1944" s="25">
        <v>1941</v>
      </c>
      <c r="C1944" s="18">
        <v>45771</v>
      </c>
      <c r="D1944" s="24">
        <f t="shared" si="150"/>
        <v>2025</v>
      </c>
      <c r="E1944" s="24" t="str">
        <f t="shared" si="151"/>
        <v>Q2</v>
      </c>
      <c r="F1944" s="24" t="str">
        <f t="shared" si="152"/>
        <v>Apr</v>
      </c>
      <c r="G1944" s="24">
        <f t="shared" si="153"/>
        <v>4</v>
      </c>
      <c r="H1944" s="19">
        <v>1954</v>
      </c>
      <c r="I1944" s="19" t="s">
        <v>0</v>
      </c>
      <c r="J1944" s="19" t="s">
        <v>8</v>
      </c>
      <c r="K1944" s="20">
        <v>6</v>
      </c>
      <c r="L1944" s="21">
        <v>414.82</v>
      </c>
      <c r="M1944" s="22">
        <v>0.28999999999999998</v>
      </c>
      <c r="N1944" s="21">
        <f t="shared" si="154"/>
        <v>294.5222</v>
      </c>
      <c r="O1944" s="21">
        <v>1767.13</v>
      </c>
      <c r="P1944" s="19" t="s">
        <v>4</v>
      </c>
      <c r="Q1944" s="23">
        <v>3</v>
      </c>
      <c r="R1944" s="45">
        <v>1.5</v>
      </c>
    </row>
    <row r="1945" spans="2:18" x14ac:dyDescent="0.2">
      <c r="B1945" s="25">
        <v>1942</v>
      </c>
      <c r="C1945" s="18">
        <v>45772</v>
      </c>
      <c r="D1945" s="24">
        <f t="shared" si="150"/>
        <v>2025</v>
      </c>
      <c r="E1945" s="24" t="str">
        <f t="shared" si="151"/>
        <v>Q2</v>
      </c>
      <c r="F1945" s="24" t="str">
        <f t="shared" si="152"/>
        <v>Apr</v>
      </c>
      <c r="G1945" s="24">
        <f t="shared" si="153"/>
        <v>4</v>
      </c>
      <c r="H1945" s="19">
        <v>1816</v>
      </c>
      <c r="I1945" s="19" t="s">
        <v>7</v>
      </c>
      <c r="J1945" s="19" t="s">
        <v>9</v>
      </c>
      <c r="K1945" s="20">
        <v>3</v>
      </c>
      <c r="L1945" s="21">
        <v>358.94</v>
      </c>
      <c r="M1945" s="22">
        <v>0.33</v>
      </c>
      <c r="N1945" s="21">
        <f t="shared" si="154"/>
        <v>240.4898</v>
      </c>
      <c r="O1945" s="21">
        <v>721.47</v>
      </c>
      <c r="P1945" s="19" t="s">
        <v>6</v>
      </c>
      <c r="Q1945" s="23">
        <v>4</v>
      </c>
      <c r="R1945" s="45">
        <v>4.7</v>
      </c>
    </row>
    <row r="1946" spans="2:18" x14ac:dyDescent="0.2">
      <c r="B1946" s="25">
        <v>1943</v>
      </c>
      <c r="C1946" s="18">
        <v>45773</v>
      </c>
      <c r="D1946" s="24">
        <f t="shared" si="150"/>
        <v>2025</v>
      </c>
      <c r="E1946" s="24" t="str">
        <f t="shared" si="151"/>
        <v>Q2</v>
      </c>
      <c r="F1946" s="24" t="str">
        <f t="shared" si="152"/>
        <v>Apr</v>
      </c>
      <c r="G1946" s="24">
        <f t="shared" si="153"/>
        <v>4</v>
      </c>
      <c r="H1946" s="19">
        <v>1956</v>
      </c>
      <c r="I1946" s="19" t="s">
        <v>3</v>
      </c>
      <c r="J1946" s="19" t="s">
        <v>8</v>
      </c>
      <c r="K1946" s="20">
        <v>7</v>
      </c>
      <c r="L1946" s="21">
        <v>507.78</v>
      </c>
      <c r="M1946" s="22">
        <v>0.25</v>
      </c>
      <c r="N1946" s="21">
        <f t="shared" si="154"/>
        <v>380.83499999999998</v>
      </c>
      <c r="O1946" s="21">
        <v>2665.84</v>
      </c>
      <c r="P1946" s="19" t="s">
        <v>6</v>
      </c>
      <c r="Q1946" s="23">
        <v>6</v>
      </c>
      <c r="R1946" s="45">
        <v>1.8</v>
      </c>
    </row>
    <row r="1947" spans="2:18" x14ac:dyDescent="0.2">
      <c r="B1947" s="25">
        <v>1944</v>
      </c>
      <c r="C1947" s="18">
        <v>45774</v>
      </c>
      <c r="D1947" s="24">
        <f t="shared" si="150"/>
        <v>2025</v>
      </c>
      <c r="E1947" s="24" t="str">
        <f t="shared" si="151"/>
        <v>Q2</v>
      </c>
      <c r="F1947" s="24" t="str">
        <f t="shared" si="152"/>
        <v>Apr</v>
      </c>
      <c r="G1947" s="24">
        <f t="shared" si="153"/>
        <v>4</v>
      </c>
      <c r="H1947" s="19">
        <v>1016</v>
      </c>
      <c r="I1947" s="19" t="s">
        <v>7</v>
      </c>
      <c r="J1947" s="19" t="s">
        <v>8</v>
      </c>
      <c r="K1947" s="20">
        <v>1</v>
      </c>
      <c r="L1947" s="21">
        <v>181.47</v>
      </c>
      <c r="M1947" s="22">
        <v>0.26</v>
      </c>
      <c r="N1947" s="21">
        <f t="shared" si="154"/>
        <v>134.2878</v>
      </c>
      <c r="O1947" s="21">
        <v>134.29</v>
      </c>
      <c r="P1947" s="19" t="s">
        <v>4</v>
      </c>
      <c r="Q1947" s="23">
        <v>5</v>
      </c>
      <c r="R1947" s="45">
        <v>1.3</v>
      </c>
    </row>
    <row r="1948" spans="2:18" x14ac:dyDescent="0.2">
      <c r="B1948" s="25">
        <v>1945</v>
      </c>
      <c r="C1948" s="18">
        <v>45775</v>
      </c>
      <c r="D1948" s="24">
        <f t="shared" si="150"/>
        <v>2025</v>
      </c>
      <c r="E1948" s="24" t="str">
        <f t="shared" si="151"/>
        <v>Q2</v>
      </c>
      <c r="F1948" s="24" t="str">
        <f t="shared" si="152"/>
        <v>Apr</v>
      </c>
      <c r="G1948" s="24">
        <f t="shared" si="153"/>
        <v>4</v>
      </c>
      <c r="H1948" s="19">
        <v>1329</v>
      </c>
      <c r="I1948" s="19" t="s">
        <v>3</v>
      </c>
      <c r="J1948" s="19" t="s">
        <v>9</v>
      </c>
      <c r="K1948" s="20">
        <v>4</v>
      </c>
      <c r="L1948" s="21">
        <v>351.65</v>
      </c>
      <c r="M1948" s="22">
        <v>0.33</v>
      </c>
      <c r="N1948" s="21">
        <f t="shared" si="154"/>
        <v>235.60549999999998</v>
      </c>
      <c r="O1948" s="21">
        <v>942.42</v>
      </c>
      <c r="P1948" s="19" t="s">
        <v>6</v>
      </c>
      <c r="Q1948" s="23">
        <v>4</v>
      </c>
      <c r="R1948" s="45">
        <v>3.2</v>
      </c>
    </row>
    <row r="1949" spans="2:18" x14ac:dyDescent="0.2">
      <c r="B1949" s="25">
        <v>1946</v>
      </c>
      <c r="C1949" s="18">
        <v>45776</v>
      </c>
      <c r="D1949" s="24">
        <f t="shared" si="150"/>
        <v>2025</v>
      </c>
      <c r="E1949" s="24" t="str">
        <f t="shared" si="151"/>
        <v>Q2</v>
      </c>
      <c r="F1949" s="24" t="str">
        <f t="shared" si="152"/>
        <v>Apr</v>
      </c>
      <c r="G1949" s="24">
        <f t="shared" si="153"/>
        <v>4</v>
      </c>
      <c r="H1949" s="19">
        <v>1568</v>
      </c>
      <c r="I1949" s="19" t="s">
        <v>3</v>
      </c>
      <c r="J1949" s="19" t="s">
        <v>1</v>
      </c>
      <c r="K1949" s="20">
        <v>5</v>
      </c>
      <c r="L1949" s="21">
        <v>87.09</v>
      </c>
      <c r="M1949" s="22">
        <v>7.0000000000000007E-2</v>
      </c>
      <c r="N1949" s="21">
        <f t="shared" si="154"/>
        <v>80.993700000000004</v>
      </c>
      <c r="O1949" s="21">
        <v>404.97</v>
      </c>
      <c r="P1949" s="19" t="s">
        <v>6</v>
      </c>
      <c r="Q1949" s="23">
        <v>4</v>
      </c>
      <c r="R1949" s="45">
        <v>3.9</v>
      </c>
    </row>
    <row r="1950" spans="2:18" x14ac:dyDescent="0.2">
      <c r="B1950" s="25">
        <v>1947</v>
      </c>
      <c r="C1950" s="18">
        <v>45777</v>
      </c>
      <c r="D1950" s="24">
        <f t="shared" si="150"/>
        <v>2025</v>
      </c>
      <c r="E1950" s="24" t="str">
        <f t="shared" si="151"/>
        <v>Q2</v>
      </c>
      <c r="F1950" s="24" t="str">
        <f t="shared" si="152"/>
        <v>Apr</v>
      </c>
      <c r="G1950" s="24">
        <f t="shared" si="153"/>
        <v>4</v>
      </c>
      <c r="H1950" s="19">
        <v>1822</v>
      </c>
      <c r="I1950" s="19" t="s">
        <v>3</v>
      </c>
      <c r="J1950" s="19" t="s">
        <v>1</v>
      </c>
      <c r="K1950" s="20">
        <v>7</v>
      </c>
      <c r="L1950" s="21">
        <v>418.77</v>
      </c>
      <c r="M1950" s="22">
        <v>0.35</v>
      </c>
      <c r="N1950" s="21">
        <f t="shared" si="154"/>
        <v>272.20050000000003</v>
      </c>
      <c r="O1950" s="21">
        <v>1905.4</v>
      </c>
      <c r="P1950" s="19" t="s">
        <v>6</v>
      </c>
      <c r="Q1950" s="23">
        <v>2</v>
      </c>
      <c r="R1950" s="45">
        <v>3.9</v>
      </c>
    </row>
    <row r="1951" spans="2:18" x14ac:dyDescent="0.2">
      <c r="B1951" s="25">
        <v>1948</v>
      </c>
      <c r="C1951" s="18">
        <v>45778</v>
      </c>
      <c r="D1951" s="24">
        <f t="shared" si="150"/>
        <v>2025</v>
      </c>
      <c r="E1951" s="24" t="str">
        <f t="shared" si="151"/>
        <v>Q2</v>
      </c>
      <c r="F1951" s="24" t="str">
        <f t="shared" si="152"/>
        <v>May</v>
      </c>
      <c r="G1951" s="24">
        <f t="shared" si="153"/>
        <v>5</v>
      </c>
      <c r="H1951" s="19">
        <v>1496</v>
      </c>
      <c r="I1951" s="19" t="s">
        <v>3</v>
      </c>
      <c r="J1951" s="19" t="s">
        <v>8</v>
      </c>
      <c r="K1951" s="20">
        <v>6</v>
      </c>
      <c r="L1951" s="21">
        <v>443.2</v>
      </c>
      <c r="M1951" s="22">
        <v>0.27</v>
      </c>
      <c r="N1951" s="21">
        <f t="shared" si="154"/>
        <v>323.536</v>
      </c>
      <c r="O1951" s="21">
        <v>1941.22</v>
      </c>
      <c r="P1951" s="19" t="s">
        <v>4</v>
      </c>
      <c r="Q1951" s="23">
        <v>10</v>
      </c>
      <c r="R1951" s="45">
        <v>3.1</v>
      </c>
    </row>
    <row r="1952" spans="2:18" x14ac:dyDescent="0.2">
      <c r="B1952" s="25">
        <v>1949</v>
      </c>
      <c r="C1952" s="18">
        <v>45779</v>
      </c>
      <c r="D1952" s="24">
        <f t="shared" si="150"/>
        <v>2025</v>
      </c>
      <c r="E1952" s="24" t="str">
        <f t="shared" si="151"/>
        <v>Q2</v>
      </c>
      <c r="F1952" s="24" t="str">
        <f t="shared" si="152"/>
        <v>May</v>
      </c>
      <c r="G1952" s="24">
        <f t="shared" si="153"/>
        <v>5</v>
      </c>
      <c r="H1952" s="19">
        <v>1814</v>
      </c>
      <c r="I1952" s="19" t="s">
        <v>0</v>
      </c>
      <c r="J1952" s="19" t="s">
        <v>5</v>
      </c>
      <c r="K1952" s="20">
        <v>2</v>
      </c>
      <c r="L1952" s="21">
        <v>40.06</v>
      </c>
      <c r="M1952" s="22">
        <v>0.25</v>
      </c>
      <c r="N1952" s="21">
        <f t="shared" si="154"/>
        <v>30.045000000000002</v>
      </c>
      <c r="O1952" s="21">
        <v>60.09</v>
      </c>
      <c r="P1952" s="19" t="s">
        <v>4</v>
      </c>
      <c r="Q1952" s="23">
        <v>4</v>
      </c>
      <c r="R1952" s="45">
        <v>3</v>
      </c>
    </row>
    <row r="1953" spans="2:18" x14ac:dyDescent="0.2">
      <c r="B1953" s="25">
        <v>1950</v>
      </c>
      <c r="C1953" s="18">
        <v>45780</v>
      </c>
      <c r="D1953" s="24">
        <f t="shared" si="150"/>
        <v>2025</v>
      </c>
      <c r="E1953" s="24" t="str">
        <f t="shared" si="151"/>
        <v>Q2</v>
      </c>
      <c r="F1953" s="24" t="str">
        <f t="shared" si="152"/>
        <v>May</v>
      </c>
      <c r="G1953" s="24">
        <f t="shared" si="153"/>
        <v>5</v>
      </c>
      <c r="H1953" s="19">
        <v>1011</v>
      </c>
      <c r="I1953" s="19" t="s">
        <v>7</v>
      </c>
      <c r="J1953" s="19" t="s">
        <v>8</v>
      </c>
      <c r="K1953" s="20">
        <v>3</v>
      </c>
      <c r="L1953" s="21">
        <v>410.34</v>
      </c>
      <c r="M1953" s="22">
        <v>0.13</v>
      </c>
      <c r="N1953" s="21">
        <f t="shared" si="154"/>
        <v>356.99579999999997</v>
      </c>
      <c r="O1953" s="21">
        <v>1070.99</v>
      </c>
      <c r="P1953" s="19" t="s">
        <v>6</v>
      </c>
      <c r="Q1953" s="23">
        <v>8</v>
      </c>
      <c r="R1953" s="45">
        <v>4.9000000000000004</v>
      </c>
    </row>
    <row r="1954" spans="2:18" x14ac:dyDescent="0.2">
      <c r="B1954" s="25">
        <v>1951</v>
      </c>
      <c r="C1954" s="18">
        <v>45781</v>
      </c>
      <c r="D1954" s="24">
        <f t="shared" si="150"/>
        <v>2025</v>
      </c>
      <c r="E1954" s="24" t="str">
        <f t="shared" si="151"/>
        <v>Q2</v>
      </c>
      <c r="F1954" s="24" t="str">
        <f t="shared" si="152"/>
        <v>May</v>
      </c>
      <c r="G1954" s="24">
        <f t="shared" si="153"/>
        <v>5</v>
      </c>
      <c r="H1954" s="19">
        <v>1317</v>
      </c>
      <c r="I1954" s="19" t="s">
        <v>7</v>
      </c>
      <c r="J1954" s="19" t="s">
        <v>5</v>
      </c>
      <c r="K1954" s="20">
        <v>7</v>
      </c>
      <c r="L1954" s="21">
        <v>257.58999999999997</v>
      </c>
      <c r="M1954" s="22">
        <v>0.19</v>
      </c>
      <c r="N1954" s="21">
        <f t="shared" si="154"/>
        <v>208.64789999999999</v>
      </c>
      <c r="O1954" s="21">
        <v>1460.54</v>
      </c>
      <c r="P1954" s="19" t="s">
        <v>2</v>
      </c>
      <c r="Q1954" s="23">
        <v>5</v>
      </c>
      <c r="R1954" s="45">
        <v>4.3</v>
      </c>
    </row>
    <row r="1955" spans="2:18" x14ac:dyDescent="0.2">
      <c r="B1955" s="25">
        <v>1952</v>
      </c>
      <c r="C1955" s="18">
        <v>45782</v>
      </c>
      <c r="D1955" s="24">
        <f t="shared" si="150"/>
        <v>2025</v>
      </c>
      <c r="E1955" s="24" t="str">
        <f t="shared" si="151"/>
        <v>Q2</v>
      </c>
      <c r="F1955" s="24" t="str">
        <f t="shared" si="152"/>
        <v>May</v>
      </c>
      <c r="G1955" s="24">
        <f t="shared" si="153"/>
        <v>5</v>
      </c>
      <c r="H1955" s="19">
        <v>1591</v>
      </c>
      <c r="I1955" s="19" t="s">
        <v>0</v>
      </c>
      <c r="J1955" s="19" t="s">
        <v>8</v>
      </c>
      <c r="K1955" s="20">
        <v>6</v>
      </c>
      <c r="L1955" s="21">
        <v>87.6</v>
      </c>
      <c r="M1955" s="22">
        <v>0.23</v>
      </c>
      <c r="N1955" s="21">
        <f t="shared" si="154"/>
        <v>67.451999999999998</v>
      </c>
      <c r="O1955" s="21">
        <v>404.71</v>
      </c>
      <c r="P1955" s="19" t="s">
        <v>4</v>
      </c>
      <c r="Q1955" s="23">
        <v>11</v>
      </c>
      <c r="R1955" s="45">
        <v>3.8</v>
      </c>
    </row>
    <row r="1956" spans="2:18" x14ac:dyDescent="0.2">
      <c r="B1956" s="25">
        <v>1953</v>
      </c>
      <c r="C1956" s="18">
        <v>45783</v>
      </c>
      <c r="D1956" s="24">
        <f t="shared" si="150"/>
        <v>2025</v>
      </c>
      <c r="E1956" s="24" t="str">
        <f t="shared" si="151"/>
        <v>Q2</v>
      </c>
      <c r="F1956" s="24" t="str">
        <f t="shared" si="152"/>
        <v>May</v>
      </c>
      <c r="G1956" s="24">
        <f t="shared" si="153"/>
        <v>5</v>
      </c>
      <c r="H1956" s="19">
        <v>1215</v>
      </c>
      <c r="I1956" s="19" t="s">
        <v>3</v>
      </c>
      <c r="J1956" s="19" t="s">
        <v>1</v>
      </c>
      <c r="K1956" s="20">
        <v>2</v>
      </c>
      <c r="L1956" s="21">
        <v>260.64999999999998</v>
      </c>
      <c r="M1956" s="22">
        <v>0.22</v>
      </c>
      <c r="N1956" s="21">
        <f t="shared" si="154"/>
        <v>203.30699999999999</v>
      </c>
      <c r="O1956" s="21">
        <v>406.61</v>
      </c>
      <c r="P1956" s="19" t="s">
        <v>2</v>
      </c>
      <c r="Q1956" s="23">
        <v>10</v>
      </c>
      <c r="R1956" s="45">
        <v>1.8</v>
      </c>
    </row>
    <row r="1957" spans="2:18" x14ac:dyDescent="0.2">
      <c r="B1957" s="25">
        <v>1954</v>
      </c>
      <c r="C1957" s="18">
        <v>45784</v>
      </c>
      <c r="D1957" s="24">
        <f t="shared" si="150"/>
        <v>2025</v>
      </c>
      <c r="E1957" s="24" t="str">
        <f t="shared" si="151"/>
        <v>Q2</v>
      </c>
      <c r="F1957" s="24" t="str">
        <f t="shared" si="152"/>
        <v>May</v>
      </c>
      <c r="G1957" s="24">
        <f t="shared" si="153"/>
        <v>5</v>
      </c>
      <c r="H1957" s="19">
        <v>1338</v>
      </c>
      <c r="I1957" s="19" t="s">
        <v>0</v>
      </c>
      <c r="J1957" s="19" t="s">
        <v>8</v>
      </c>
      <c r="K1957" s="20">
        <v>6</v>
      </c>
      <c r="L1957" s="21">
        <v>128.63</v>
      </c>
      <c r="M1957" s="22">
        <v>0.25</v>
      </c>
      <c r="N1957" s="21">
        <f t="shared" si="154"/>
        <v>96.472499999999997</v>
      </c>
      <c r="O1957" s="21">
        <v>578.84</v>
      </c>
      <c r="P1957" s="19" t="s">
        <v>6</v>
      </c>
      <c r="Q1957" s="23">
        <v>10</v>
      </c>
      <c r="R1957" s="45">
        <v>4.3</v>
      </c>
    </row>
    <row r="1958" spans="2:18" x14ac:dyDescent="0.2">
      <c r="B1958" s="25">
        <v>1955</v>
      </c>
      <c r="C1958" s="18">
        <v>45785</v>
      </c>
      <c r="D1958" s="24">
        <f t="shared" si="150"/>
        <v>2025</v>
      </c>
      <c r="E1958" s="24" t="str">
        <f t="shared" si="151"/>
        <v>Q2</v>
      </c>
      <c r="F1958" s="24" t="str">
        <f t="shared" si="152"/>
        <v>May</v>
      </c>
      <c r="G1958" s="24">
        <f t="shared" si="153"/>
        <v>5</v>
      </c>
      <c r="H1958" s="19">
        <v>1775</v>
      </c>
      <c r="I1958" s="19" t="s">
        <v>3</v>
      </c>
      <c r="J1958" s="19" t="s">
        <v>8</v>
      </c>
      <c r="K1958" s="20">
        <v>7</v>
      </c>
      <c r="L1958" s="21">
        <v>258.10000000000002</v>
      </c>
      <c r="M1958" s="22">
        <v>0.03</v>
      </c>
      <c r="N1958" s="21">
        <f t="shared" si="154"/>
        <v>250.35700000000003</v>
      </c>
      <c r="O1958" s="21">
        <v>1752.5</v>
      </c>
      <c r="P1958" s="19" t="s">
        <v>2</v>
      </c>
      <c r="Q1958" s="23">
        <v>8</v>
      </c>
      <c r="R1958" s="45">
        <v>4</v>
      </c>
    </row>
    <row r="1959" spans="2:18" x14ac:dyDescent="0.2">
      <c r="B1959" s="25">
        <v>1956</v>
      </c>
      <c r="C1959" s="18">
        <v>45786</v>
      </c>
      <c r="D1959" s="24">
        <f t="shared" si="150"/>
        <v>2025</v>
      </c>
      <c r="E1959" s="24" t="str">
        <f t="shared" si="151"/>
        <v>Q2</v>
      </c>
      <c r="F1959" s="24" t="str">
        <f t="shared" si="152"/>
        <v>May</v>
      </c>
      <c r="G1959" s="24">
        <f t="shared" si="153"/>
        <v>5</v>
      </c>
      <c r="H1959" s="19">
        <v>1990</v>
      </c>
      <c r="I1959" s="19" t="s">
        <v>10</v>
      </c>
      <c r="J1959" s="19" t="s">
        <v>5</v>
      </c>
      <c r="K1959" s="20">
        <v>1</v>
      </c>
      <c r="L1959" s="21">
        <v>239.84</v>
      </c>
      <c r="M1959" s="22">
        <v>0.12</v>
      </c>
      <c r="N1959" s="21">
        <f t="shared" si="154"/>
        <v>211.0592</v>
      </c>
      <c r="O1959" s="21">
        <v>211.06</v>
      </c>
      <c r="P1959" s="19" t="s">
        <v>4</v>
      </c>
      <c r="Q1959" s="23">
        <v>6</v>
      </c>
      <c r="R1959" s="45">
        <v>5</v>
      </c>
    </row>
    <row r="1960" spans="2:18" x14ac:dyDescent="0.2">
      <c r="B1960" s="25">
        <v>1957</v>
      </c>
      <c r="C1960" s="18">
        <v>45787</v>
      </c>
      <c r="D1960" s="24">
        <f t="shared" si="150"/>
        <v>2025</v>
      </c>
      <c r="E1960" s="24" t="str">
        <f t="shared" si="151"/>
        <v>Q2</v>
      </c>
      <c r="F1960" s="24" t="str">
        <f t="shared" si="152"/>
        <v>May</v>
      </c>
      <c r="G1960" s="24">
        <f t="shared" si="153"/>
        <v>5</v>
      </c>
      <c r="H1960" s="19">
        <v>1660</v>
      </c>
      <c r="I1960" s="19" t="s">
        <v>3</v>
      </c>
      <c r="J1960" s="19" t="s">
        <v>1</v>
      </c>
      <c r="K1960" s="20">
        <v>2</v>
      </c>
      <c r="L1960" s="21">
        <v>446.96</v>
      </c>
      <c r="M1960" s="22">
        <v>0.15</v>
      </c>
      <c r="N1960" s="21">
        <f t="shared" si="154"/>
        <v>379.916</v>
      </c>
      <c r="O1960" s="21">
        <v>759.83</v>
      </c>
      <c r="P1960" s="19" t="s">
        <v>4</v>
      </c>
      <c r="Q1960" s="23">
        <v>10</v>
      </c>
      <c r="R1960" s="45">
        <v>1.5</v>
      </c>
    </row>
    <row r="1961" spans="2:18" x14ac:dyDescent="0.2">
      <c r="B1961" s="25">
        <v>1958</v>
      </c>
      <c r="C1961" s="18">
        <v>45788</v>
      </c>
      <c r="D1961" s="24">
        <f t="shared" si="150"/>
        <v>2025</v>
      </c>
      <c r="E1961" s="24" t="str">
        <f t="shared" si="151"/>
        <v>Q2</v>
      </c>
      <c r="F1961" s="24" t="str">
        <f t="shared" si="152"/>
        <v>May</v>
      </c>
      <c r="G1961" s="24">
        <f t="shared" si="153"/>
        <v>5</v>
      </c>
      <c r="H1961" s="19">
        <v>1080</v>
      </c>
      <c r="I1961" s="19" t="s">
        <v>10</v>
      </c>
      <c r="J1961" s="19" t="s">
        <v>5</v>
      </c>
      <c r="K1961" s="20">
        <v>2</v>
      </c>
      <c r="L1961" s="21">
        <v>467.92</v>
      </c>
      <c r="M1961" s="22">
        <v>0.09</v>
      </c>
      <c r="N1961" s="21">
        <f t="shared" si="154"/>
        <v>425.80720000000002</v>
      </c>
      <c r="O1961" s="21">
        <v>851.61</v>
      </c>
      <c r="P1961" s="19" t="s">
        <v>4</v>
      </c>
      <c r="Q1961" s="23">
        <v>5</v>
      </c>
      <c r="R1961" s="45">
        <v>3.9</v>
      </c>
    </row>
    <row r="1962" spans="2:18" x14ac:dyDescent="0.2">
      <c r="B1962" s="25">
        <v>1959</v>
      </c>
      <c r="C1962" s="18">
        <v>45789</v>
      </c>
      <c r="D1962" s="24">
        <f t="shared" si="150"/>
        <v>2025</v>
      </c>
      <c r="E1962" s="24" t="str">
        <f t="shared" si="151"/>
        <v>Q2</v>
      </c>
      <c r="F1962" s="24" t="str">
        <f t="shared" si="152"/>
        <v>May</v>
      </c>
      <c r="G1962" s="24">
        <f t="shared" si="153"/>
        <v>5</v>
      </c>
      <c r="H1962" s="19">
        <v>1726</v>
      </c>
      <c r="I1962" s="19" t="s">
        <v>0</v>
      </c>
      <c r="J1962" s="19" t="s">
        <v>8</v>
      </c>
      <c r="K1962" s="20">
        <v>6</v>
      </c>
      <c r="L1962" s="21">
        <v>370.11</v>
      </c>
      <c r="M1962" s="22">
        <v>0.06</v>
      </c>
      <c r="N1962" s="21">
        <f t="shared" si="154"/>
        <v>347.90340000000003</v>
      </c>
      <c r="O1962" s="21">
        <v>2087.42</v>
      </c>
      <c r="P1962" s="19" t="s">
        <v>4</v>
      </c>
      <c r="Q1962" s="23">
        <v>4</v>
      </c>
      <c r="R1962" s="45">
        <v>4.9000000000000004</v>
      </c>
    </row>
    <row r="1963" spans="2:18" x14ac:dyDescent="0.2">
      <c r="B1963" s="25">
        <v>1960</v>
      </c>
      <c r="C1963" s="18">
        <v>45790</v>
      </c>
      <c r="D1963" s="24">
        <f t="shared" si="150"/>
        <v>2025</v>
      </c>
      <c r="E1963" s="24" t="str">
        <f t="shared" si="151"/>
        <v>Q2</v>
      </c>
      <c r="F1963" s="24" t="str">
        <f t="shared" si="152"/>
        <v>May</v>
      </c>
      <c r="G1963" s="24">
        <f t="shared" si="153"/>
        <v>5</v>
      </c>
      <c r="H1963" s="19">
        <v>1484</v>
      </c>
      <c r="I1963" s="19" t="s">
        <v>3</v>
      </c>
      <c r="J1963" s="19" t="s">
        <v>9</v>
      </c>
      <c r="K1963" s="20">
        <v>4</v>
      </c>
      <c r="L1963" s="21">
        <v>28.27</v>
      </c>
      <c r="M1963" s="22">
        <v>0.05</v>
      </c>
      <c r="N1963" s="21">
        <f t="shared" si="154"/>
        <v>26.8565</v>
      </c>
      <c r="O1963" s="21">
        <v>107.43</v>
      </c>
      <c r="P1963" s="19" t="s">
        <v>2</v>
      </c>
      <c r="Q1963" s="23">
        <v>10</v>
      </c>
      <c r="R1963" s="45">
        <v>2.9</v>
      </c>
    </row>
    <row r="1964" spans="2:18" x14ac:dyDescent="0.2">
      <c r="B1964" s="25">
        <v>1961</v>
      </c>
      <c r="C1964" s="18">
        <v>45791</v>
      </c>
      <c r="D1964" s="24">
        <f t="shared" si="150"/>
        <v>2025</v>
      </c>
      <c r="E1964" s="24" t="str">
        <f t="shared" si="151"/>
        <v>Q2</v>
      </c>
      <c r="F1964" s="24" t="str">
        <f t="shared" si="152"/>
        <v>May</v>
      </c>
      <c r="G1964" s="24">
        <f t="shared" si="153"/>
        <v>5</v>
      </c>
      <c r="H1964" s="19">
        <v>1373</v>
      </c>
      <c r="I1964" s="19" t="s">
        <v>7</v>
      </c>
      <c r="J1964" s="19" t="s">
        <v>8</v>
      </c>
      <c r="K1964" s="20">
        <v>7</v>
      </c>
      <c r="L1964" s="21">
        <v>559.65</v>
      </c>
      <c r="M1964" s="22">
        <v>0.13</v>
      </c>
      <c r="N1964" s="21">
        <f t="shared" si="154"/>
        <v>486.89549999999997</v>
      </c>
      <c r="O1964" s="21">
        <v>3408.27</v>
      </c>
      <c r="P1964" s="19" t="s">
        <v>4</v>
      </c>
      <c r="Q1964" s="23">
        <v>9</v>
      </c>
      <c r="R1964" s="45">
        <v>3.9</v>
      </c>
    </row>
    <row r="1965" spans="2:18" x14ac:dyDescent="0.2">
      <c r="B1965" s="25">
        <v>1962</v>
      </c>
      <c r="C1965" s="18">
        <v>45792</v>
      </c>
      <c r="D1965" s="24">
        <f t="shared" si="150"/>
        <v>2025</v>
      </c>
      <c r="E1965" s="24" t="str">
        <f t="shared" si="151"/>
        <v>Q2</v>
      </c>
      <c r="F1965" s="24" t="str">
        <f t="shared" si="152"/>
        <v>May</v>
      </c>
      <c r="G1965" s="24">
        <f t="shared" si="153"/>
        <v>5</v>
      </c>
      <c r="H1965" s="19">
        <v>1975</v>
      </c>
      <c r="I1965" s="19" t="s">
        <v>7</v>
      </c>
      <c r="J1965" s="19" t="s">
        <v>8</v>
      </c>
      <c r="K1965" s="20">
        <v>4</v>
      </c>
      <c r="L1965" s="21">
        <v>416.45</v>
      </c>
      <c r="M1965" s="22">
        <v>0.17</v>
      </c>
      <c r="N1965" s="21">
        <f t="shared" si="154"/>
        <v>345.65350000000001</v>
      </c>
      <c r="O1965" s="21">
        <v>1382.61</v>
      </c>
      <c r="P1965" s="19" t="s">
        <v>6</v>
      </c>
      <c r="Q1965" s="23">
        <v>10</v>
      </c>
      <c r="R1965" s="45">
        <v>4.9000000000000004</v>
      </c>
    </row>
    <row r="1966" spans="2:18" x14ac:dyDescent="0.2">
      <c r="B1966" s="25">
        <v>1963</v>
      </c>
      <c r="C1966" s="18">
        <v>45793</v>
      </c>
      <c r="D1966" s="24">
        <f t="shared" si="150"/>
        <v>2025</v>
      </c>
      <c r="E1966" s="24" t="str">
        <f t="shared" si="151"/>
        <v>Q2</v>
      </c>
      <c r="F1966" s="24" t="str">
        <f t="shared" si="152"/>
        <v>May</v>
      </c>
      <c r="G1966" s="24">
        <f t="shared" si="153"/>
        <v>5</v>
      </c>
      <c r="H1966" s="19">
        <v>1709</v>
      </c>
      <c r="I1966" s="19" t="s">
        <v>7</v>
      </c>
      <c r="J1966" s="19" t="s">
        <v>5</v>
      </c>
      <c r="K1966" s="20">
        <v>5</v>
      </c>
      <c r="L1966" s="21">
        <v>35</v>
      </c>
      <c r="M1966" s="22">
        <v>0.02</v>
      </c>
      <c r="N1966" s="21">
        <f t="shared" si="154"/>
        <v>34.299999999999997</v>
      </c>
      <c r="O1966" s="21">
        <v>171.5</v>
      </c>
      <c r="P1966" s="19" t="s">
        <v>4</v>
      </c>
      <c r="Q1966" s="23">
        <v>5</v>
      </c>
      <c r="R1966" s="45">
        <v>3.2</v>
      </c>
    </row>
    <row r="1967" spans="2:18" x14ac:dyDescent="0.2">
      <c r="B1967" s="25">
        <v>1964</v>
      </c>
      <c r="C1967" s="18">
        <v>45794</v>
      </c>
      <c r="D1967" s="24">
        <f t="shared" si="150"/>
        <v>2025</v>
      </c>
      <c r="E1967" s="24" t="str">
        <f t="shared" si="151"/>
        <v>Q2</v>
      </c>
      <c r="F1967" s="24" t="str">
        <f t="shared" si="152"/>
        <v>May</v>
      </c>
      <c r="G1967" s="24">
        <f t="shared" si="153"/>
        <v>5</v>
      </c>
      <c r="H1967" s="19">
        <v>1199</v>
      </c>
      <c r="I1967" s="19" t="s">
        <v>7</v>
      </c>
      <c r="J1967" s="19" t="s">
        <v>9</v>
      </c>
      <c r="K1967" s="20">
        <v>1</v>
      </c>
      <c r="L1967" s="21">
        <v>494.02</v>
      </c>
      <c r="M1967" s="22">
        <v>0.33</v>
      </c>
      <c r="N1967" s="21">
        <f t="shared" si="154"/>
        <v>330.99339999999995</v>
      </c>
      <c r="O1967" s="21">
        <v>330.99</v>
      </c>
      <c r="P1967" s="19" t="s">
        <v>6</v>
      </c>
      <c r="Q1967" s="23">
        <v>10</v>
      </c>
      <c r="R1967" s="45">
        <v>3.8</v>
      </c>
    </row>
    <row r="1968" spans="2:18" x14ac:dyDescent="0.2">
      <c r="B1968" s="25">
        <v>1965</v>
      </c>
      <c r="C1968" s="18">
        <v>45795</v>
      </c>
      <c r="D1968" s="24">
        <f t="shared" si="150"/>
        <v>2025</v>
      </c>
      <c r="E1968" s="24" t="str">
        <f t="shared" si="151"/>
        <v>Q2</v>
      </c>
      <c r="F1968" s="24" t="str">
        <f t="shared" si="152"/>
        <v>May</v>
      </c>
      <c r="G1968" s="24">
        <f t="shared" si="153"/>
        <v>5</v>
      </c>
      <c r="H1968" s="19">
        <v>1536</v>
      </c>
      <c r="I1968" s="19" t="s">
        <v>7</v>
      </c>
      <c r="J1968" s="19" t="s">
        <v>9</v>
      </c>
      <c r="K1968" s="20">
        <v>4</v>
      </c>
      <c r="L1968" s="21">
        <v>132.16</v>
      </c>
      <c r="M1968" s="22">
        <v>0.27</v>
      </c>
      <c r="N1968" s="21">
        <f t="shared" si="154"/>
        <v>96.476799999999997</v>
      </c>
      <c r="O1968" s="21">
        <v>385.91</v>
      </c>
      <c r="P1968" s="19" t="s">
        <v>4</v>
      </c>
      <c r="Q1968" s="23">
        <v>11</v>
      </c>
      <c r="R1968" s="45">
        <v>1.1000000000000001</v>
      </c>
    </row>
    <row r="1969" spans="2:18" x14ac:dyDescent="0.2">
      <c r="B1969" s="25">
        <v>1966</v>
      </c>
      <c r="C1969" s="18">
        <v>45796</v>
      </c>
      <c r="D1969" s="24">
        <f t="shared" si="150"/>
        <v>2025</v>
      </c>
      <c r="E1969" s="24" t="str">
        <f t="shared" si="151"/>
        <v>Q2</v>
      </c>
      <c r="F1969" s="24" t="str">
        <f t="shared" si="152"/>
        <v>May</v>
      </c>
      <c r="G1969" s="24">
        <f t="shared" si="153"/>
        <v>5</v>
      </c>
      <c r="H1969" s="19">
        <v>1465</v>
      </c>
      <c r="I1969" s="19" t="s">
        <v>3</v>
      </c>
      <c r="J1969" s="19" t="s">
        <v>5</v>
      </c>
      <c r="K1969" s="20">
        <v>6</v>
      </c>
      <c r="L1969" s="21">
        <v>353.84</v>
      </c>
      <c r="M1969" s="22">
        <v>0.26</v>
      </c>
      <c r="N1969" s="21">
        <f t="shared" si="154"/>
        <v>261.84159999999997</v>
      </c>
      <c r="O1969" s="21">
        <v>1571.05</v>
      </c>
      <c r="P1969" s="19" t="s">
        <v>4</v>
      </c>
      <c r="Q1969" s="23">
        <v>6</v>
      </c>
      <c r="R1969" s="45">
        <v>3.1</v>
      </c>
    </row>
    <row r="1970" spans="2:18" x14ac:dyDescent="0.2">
      <c r="B1970" s="25">
        <v>1967</v>
      </c>
      <c r="C1970" s="18">
        <v>45797</v>
      </c>
      <c r="D1970" s="24">
        <f t="shared" si="150"/>
        <v>2025</v>
      </c>
      <c r="E1970" s="24" t="str">
        <f t="shared" si="151"/>
        <v>Q2</v>
      </c>
      <c r="F1970" s="24" t="str">
        <f t="shared" si="152"/>
        <v>May</v>
      </c>
      <c r="G1970" s="24">
        <f t="shared" si="153"/>
        <v>5</v>
      </c>
      <c r="H1970" s="19">
        <v>1088</v>
      </c>
      <c r="I1970" s="19" t="s">
        <v>3</v>
      </c>
      <c r="J1970" s="19" t="s">
        <v>1</v>
      </c>
      <c r="K1970" s="20">
        <v>7</v>
      </c>
      <c r="L1970" s="21">
        <v>287.98</v>
      </c>
      <c r="M1970" s="22">
        <v>0.06</v>
      </c>
      <c r="N1970" s="21">
        <f t="shared" si="154"/>
        <v>270.70120000000003</v>
      </c>
      <c r="O1970" s="21">
        <v>1894.91</v>
      </c>
      <c r="P1970" s="19" t="s">
        <v>4</v>
      </c>
      <c r="Q1970" s="23">
        <v>7</v>
      </c>
      <c r="R1970" s="45">
        <v>2</v>
      </c>
    </row>
    <row r="1971" spans="2:18" x14ac:dyDescent="0.2">
      <c r="B1971" s="25">
        <v>1968</v>
      </c>
      <c r="C1971" s="18">
        <v>45798</v>
      </c>
      <c r="D1971" s="24">
        <f t="shared" si="150"/>
        <v>2025</v>
      </c>
      <c r="E1971" s="24" t="str">
        <f t="shared" si="151"/>
        <v>Q2</v>
      </c>
      <c r="F1971" s="24" t="str">
        <f t="shared" si="152"/>
        <v>May</v>
      </c>
      <c r="G1971" s="24">
        <f t="shared" si="153"/>
        <v>5</v>
      </c>
      <c r="H1971" s="19">
        <v>1267</v>
      </c>
      <c r="I1971" s="19" t="s">
        <v>3</v>
      </c>
      <c r="J1971" s="19" t="s">
        <v>9</v>
      </c>
      <c r="K1971" s="20">
        <v>4</v>
      </c>
      <c r="L1971" s="21">
        <v>260.61</v>
      </c>
      <c r="M1971" s="22">
        <v>0.21</v>
      </c>
      <c r="N1971" s="21">
        <f t="shared" si="154"/>
        <v>205.88190000000003</v>
      </c>
      <c r="O1971" s="21">
        <v>823.53</v>
      </c>
      <c r="P1971" s="19" t="s">
        <v>6</v>
      </c>
      <c r="Q1971" s="23">
        <v>11</v>
      </c>
      <c r="R1971" s="45">
        <v>1.5</v>
      </c>
    </row>
    <row r="1972" spans="2:18" x14ac:dyDescent="0.2">
      <c r="B1972" s="25">
        <v>1969</v>
      </c>
      <c r="C1972" s="18">
        <v>45799</v>
      </c>
      <c r="D1972" s="24">
        <f t="shared" si="150"/>
        <v>2025</v>
      </c>
      <c r="E1972" s="24" t="str">
        <f t="shared" si="151"/>
        <v>Q2</v>
      </c>
      <c r="F1972" s="24" t="str">
        <f t="shared" si="152"/>
        <v>May</v>
      </c>
      <c r="G1972" s="24">
        <f t="shared" si="153"/>
        <v>5</v>
      </c>
      <c r="H1972" s="19">
        <v>1654</v>
      </c>
      <c r="I1972" s="19" t="s">
        <v>3</v>
      </c>
      <c r="J1972" s="19" t="s">
        <v>9</v>
      </c>
      <c r="K1972" s="20">
        <v>5</v>
      </c>
      <c r="L1972" s="21">
        <v>535.48</v>
      </c>
      <c r="M1972" s="22">
        <v>0.19</v>
      </c>
      <c r="N1972" s="21">
        <f t="shared" si="154"/>
        <v>433.73880000000003</v>
      </c>
      <c r="O1972" s="21">
        <v>2168.69</v>
      </c>
      <c r="P1972" s="19" t="s">
        <v>4</v>
      </c>
      <c r="Q1972" s="23">
        <v>11</v>
      </c>
      <c r="R1972" s="45">
        <v>3.8</v>
      </c>
    </row>
    <row r="1973" spans="2:18" x14ac:dyDescent="0.2">
      <c r="B1973" s="25">
        <v>1970</v>
      </c>
      <c r="C1973" s="18">
        <v>45800</v>
      </c>
      <c r="D1973" s="24">
        <f t="shared" si="150"/>
        <v>2025</v>
      </c>
      <c r="E1973" s="24" t="str">
        <f t="shared" si="151"/>
        <v>Q2</v>
      </c>
      <c r="F1973" s="24" t="str">
        <f t="shared" si="152"/>
        <v>May</v>
      </c>
      <c r="G1973" s="24">
        <f t="shared" si="153"/>
        <v>5</v>
      </c>
      <c r="H1973" s="19">
        <v>1570</v>
      </c>
      <c r="I1973" s="19" t="s">
        <v>7</v>
      </c>
      <c r="J1973" s="19" t="s">
        <v>5</v>
      </c>
      <c r="K1973" s="20">
        <v>3</v>
      </c>
      <c r="L1973" s="21">
        <v>270.86</v>
      </c>
      <c r="M1973" s="22">
        <v>0.34</v>
      </c>
      <c r="N1973" s="21">
        <f t="shared" si="154"/>
        <v>178.76760000000002</v>
      </c>
      <c r="O1973" s="21">
        <v>536.29999999999995</v>
      </c>
      <c r="P1973" s="19" t="s">
        <v>4</v>
      </c>
      <c r="Q1973" s="23">
        <v>1</v>
      </c>
      <c r="R1973" s="45">
        <v>1.2</v>
      </c>
    </row>
    <row r="1974" spans="2:18" x14ac:dyDescent="0.2">
      <c r="B1974" s="25">
        <v>1971</v>
      </c>
      <c r="C1974" s="18">
        <v>45801</v>
      </c>
      <c r="D1974" s="24">
        <f t="shared" si="150"/>
        <v>2025</v>
      </c>
      <c r="E1974" s="24" t="str">
        <f t="shared" si="151"/>
        <v>Q2</v>
      </c>
      <c r="F1974" s="24" t="str">
        <f t="shared" si="152"/>
        <v>May</v>
      </c>
      <c r="G1974" s="24">
        <f t="shared" si="153"/>
        <v>5</v>
      </c>
      <c r="H1974" s="19">
        <v>1921</v>
      </c>
      <c r="I1974" s="19" t="s">
        <v>7</v>
      </c>
      <c r="J1974" s="19" t="s">
        <v>1</v>
      </c>
      <c r="K1974" s="20">
        <v>5</v>
      </c>
      <c r="L1974" s="21">
        <v>59.08</v>
      </c>
      <c r="M1974" s="22">
        <v>0.26</v>
      </c>
      <c r="N1974" s="21">
        <f t="shared" si="154"/>
        <v>43.719200000000001</v>
      </c>
      <c r="O1974" s="21">
        <v>218.6</v>
      </c>
      <c r="P1974" s="19" t="s">
        <v>4</v>
      </c>
      <c r="Q1974" s="23">
        <v>9</v>
      </c>
      <c r="R1974" s="45">
        <v>4.5999999999999996</v>
      </c>
    </row>
    <row r="1975" spans="2:18" x14ac:dyDescent="0.2">
      <c r="B1975" s="25">
        <v>1972</v>
      </c>
      <c r="C1975" s="18">
        <v>45802</v>
      </c>
      <c r="D1975" s="24">
        <f t="shared" si="150"/>
        <v>2025</v>
      </c>
      <c r="E1975" s="24" t="str">
        <f t="shared" si="151"/>
        <v>Q2</v>
      </c>
      <c r="F1975" s="24" t="str">
        <f t="shared" si="152"/>
        <v>May</v>
      </c>
      <c r="G1975" s="24">
        <f t="shared" si="153"/>
        <v>5</v>
      </c>
      <c r="H1975" s="19">
        <v>1488</v>
      </c>
      <c r="I1975" s="19" t="s">
        <v>7</v>
      </c>
      <c r="J1975" s="19" t="s">
        <v>1</v>
      </c>
      <c r="K1975" s="20">
        <v>2</v>
      </c>
      <c r="L1975" s="21">
        <v>568.78</v>
      </c>
      <c r="M1975" s="22">
        <v>0.2</v>
      </c>
      <c r="N1975" s="21">
        <f t="shared" si="154"/>
        <v>455.024</v>
      </c>
      <c r="O1975" s="21">
        <v>910.05</v>
      </c>
      <c r="P1975" s="19" t="s">
        <v>2</v>
      </c>
      <c r="Q1975" s="23">
        <v>8</v>
      </c>
      <c r="R1975" s="45">
        <v>3.1</v>
      </c>
    </row>
    <row r="1976" spans="2:18" x14ac:dyDescent="0.2">
      <c r="B1976" s="25">
        <v>1973</v>
      </c>
      <c r="C1976" s="18">
        <v>45803</v>
      </c>
      <c r="D1976" s="24">
        <f t="shared" si="150"/>
        <v>2025</v>
      </c>
      <c r="E1976" s="24" t="str">
        <f t="shared" si="151"/>
        <v>Q2</v>
      </c>
      <c r="F1976" s="24" t="str">
        <f t="shared" si="152"/>
        <v>May</v>
      </c>
      <c r="G1976" s="24">
        <f t="shared" si="153"/>
        <v>5</v>
      </c>
      <c r="H1976" s="19">
        <v>1876</v>
      </c>
      <c r="I1976" s="19" t="s">
        <v>3</v>
      </c>
      <c r="J1976" s="19" t="s">
        <v>8</v>
      </c>
      <c r="K1976" s="20">
        <v>7</v>
      </c>
      <c r="L1976" s="21">
        <v>553.51</v>
      </c>
      <c r="M1976" s="22">
        <v>0.3</v>
      </c>
      <c r="N1976" s="21">
        <f t="shared" si="154"/>
        <v>387.45699999999999</v>
      </c>
      <c r="O1976" s="21">
        <v>2712.2</v>
      </c>
      <c r="P1976" s="19" t="s">
        <v>6</v>
      </c>
      <c r="Q1976" s="23">
        <v>11</v>
      </c>
      <c r="R1976" s="45">
        <v>3.6</v>
      </c>
    </row>
    <row r="1977" spans="2:18" x14ac:dyDescent="0.2">
      <c r="B1977" s="25">
        <v>1974</v>
      </c>
      <c r="C1977" s="18">
        <v>45804</v>
      </c>
      <c r="D1977" s="24">
        <f t="shared" si="150"/>
        <v>2025</v>
      </c>
      <c r="E1977" s="24" t="str">
        <f t="shared" si="151"/>
        <v>Q2</v>
      </c>
      <c r="F1977" s="24" t="str">
        <f t="shared" si="152"/>
        <v>May</v>
      </c>
      <c r="G1977" s="24">
        <f t="shared" si="153"/>
        <v>5</v>
      </c>
      <c r="H1977" s="19">
        <v>1537</v>
      </c>
      <c r="I1977" s="19" t="s">
        <v>7</v>
      </c>
      <c r="J1977" s="19" t="s">
        <v>8</v>
      </c>
      <c r="K1977" s="20">
        <v>2</v>
      </c>
      <c r="L1977" s="21">
        <v>415.39</v>
      </c>
      <c r="M1977" s="22">
        <v>0.05</v>
      </c>
      <c r="N1977" s="21">
        <f t="shared" si="154"/>
        <v>394.62049999999999</v>
      </c>
      <c r="O1977" s="21">
        <v>789.24</v>
      </c>
      <c r="P1977" s="19" t="s">
        <v>6</v>
      </c>
      <c r="Q1977" s="23">
        <v>5</v>
      </c>
      <c r="R1977" s="45">
        <v>2</v>
      </c>
    </row>
    <row r="1978" spans="2:18" x14ac:dyDescent="0.2">
      <c r="B1978" s="25">
        <v>1975</v>
      </c>
      <c r="C1978" s="18">
        <v>45805</v>
      </c>
      <c r="D1978" s="24">
        <f t="shared" si="150"/>
        <v>2025</v>
      </c>
      <c r="E1978" s="24" t="str">
        <f t="shared" si="151"/>
        <v>Q2</v>
      </c>
      <c r="F1978" s="24" t="str">
        <f t="shared" si="152"/>
        <v>May</v>
      </c>
      <c r="G1978" s="24">
        <f t="shared" si="153"/>
        <v>5</v>
      </c>
      <c r="H1978" s="19">
        <v>1046</v>
      </c>
      <c r="I1978" s="19" t="s">
        <v>7</v>
      </c>
      <c r="J1978" s="19" t="s">
        <v>5</v>
      </c>
      <c r="K1978" s="20">
        <v>4</v>
      </c>
      <c r="L1978" s="21">
        <v>288.72000000000003</v>
      </c>
      <c r="M1978" s="22">
        <v>0.01</v>
      </c>
      <c r="N1978" s="21">
        <f t="shared" si="154"/>
        <v>285.83280000000002</v>
      </c>
      <c r="O1978" s="21">
        <v>1143.33</v>
      </c>
      <c r="P1978" s="19" t="s">
        <v>6</v>
      </c>
      <c r="Q1978" s="23">
        <v>3</v>
      </c>
      <c r="R1978" s="45">
        <v>1.7</v>
      </c>
    </row>
    <row r="1979" spans="2:18" x14ac:dyDescent="0.2">
      <c r="B1979" s="25">
        <v>1976</v>
      </c>
      <c r="C1979" s="18">
        <v>45806</v>
      </c>
      <c r="D1979" s="24">
        <f t="shared" si="150"/>
        <v>2025</v>
      </c>
      <c r="E1979" s="24" t="str">
        <f t="shared" si="151"/>
        <v>Q2</v>
      </c>
      <c r="F1979" s="24" t="str">
        <f t="shared" si="152"/>
        <v>May</v>
      </c>
      <c r="G1979" s="24">
        <f t="shared" si="153"/>
        <v>5</v>
      </c>
      <c r="H1979" s="19">
        <v>1287</v>
      </c>
      <c r="I1979" s="19" t="s">
        <v>3</v>
      </c>
      <c r="J1979" s="19" t="s">
        <v>1</v>
      </c>
      <c r="K1979" s="20">
        <v>4</v>
      </c>
      <c r="L1979" s="21">
        <v>69.319999999999993</v>
      </c>
      <c r="M1979" s="22">
        <v>0.24</v>
      </c>
      <c r="N1979" s="21">
        <f t="shared" si="154"/>
        <v>52.683199999999999</v>
      </c>
      <c r="O1979" s="21">
        <v>210.73</v>
      </c>
      <c r="P1979" s="19" t="s">
        <v>4</v>
      </c>
      <c r="Q1979" s="23">
        <v>5</v>
      </c>
      <c r="R1979" s="45">
        <v>2</v>
      </c>
    </row>
    <row r="1980" spans="2:18" x14ac:dyDescent="0.2">
      <c r="B1980" s="25">
        <v>1977</v>
      </c>
      <c r="C1980" s="18">
        <v>45807</v>
      </c>
      <c r="D1980" s="24">
        <f t="shared" si="150"/>
        <v>2025</v>
      </c>
      <c r="E1980" s="24" t="str">
        <f t="shared" si="151"/>
        <v>Q2</v>
      </c>
      <c r="F1980" s="24" t="str">
        <f t="shared" si="152"/>
        <v>May</v>
      </c>
      <c r="G1980" s="24">
        <f t="shared" si="153"/>
        <v>5</v>
      </c>
      <c r="H1980" s="19">
        <v>1777</v>
      </c>
      <c r="I1980" s="19" t="s">
        <v>10</v>
      </c>
      <c r="J1980" s="19" t="s">
        <v>5</v>
      </c>
      <c r="K1980" s="20">
        <v>5</v>
      </c>
      <c r="L1980" s="21">
        <v>477.59</v>
      </c>
      <c r="M1980" s="22">
        <v>0.03</v>
      </c>
      <c r="N1980" s="21">
        <f t="shared" si="154"/>
        <v>463.26229999999998</v>
      </c>
      <c r="O1980" s="21">
        <v>2316.31</v>
      </c>
      <c r="P1980" s="19" t="s">
        <v>6</v>
      </c>
      <c r="Q1980" s="23">
        <v>5</v>
      </c>
      <c r="R1980" s="45">
        <v>1.9</v>
      </c>
    </row>
    <row r="1981" spans="2:18" x14ac:dyDescent="0.2">
      <c r="B1981" s="25">
        <v>1978</v>
      </c>
      <c r="C1981" s="18">
        <v>45808</v>
      </c>
      <c r="D1981" s="24">
        <f t="shared" si="150"/>
        <v>2025</v>
      </c>
      <c r="E1981" s="24" t="str">
        <f t="shared" si="151"/>
        <v>Q2</v>
      </c>
      <c r="F1981" s="24" t="str">
        <f t="shared" si="152"/>
        <v>May</v>
      </c>
      <c r="G1981" s="24">
        <f t="shared" si="153"/>
        <v>5</v>
      </c>
      <c r="H1981" s="19">
        <v>1015</v>
      </c>
      <c r="I1981" s="19" t="s">
        <v>7</v>
      </c>
      <c r="J1981" s="19" t="s">
        <v>8</v>
      </c>
      <c r="K1981" s="20">
        <v>5</v>
      </c>
      <c r="L1981" s="21">
        <v>59.15</v>
      </c>
      <c r="M1981" s="22">
        <v>0.04</v>
      </c>
      <c r="N1981" s="21">
        <f t="shared" si="154"/>
        <v>56.783999999999999</v>
      </c>
      <c r="O1981" s="21">
        <v>283.92</v>
      </c>
      <c r="P1981" s="19" t="s">
        <v>4</v>
      </c>
      <c r="Q1981" s="23">
        <v>9</v>
      </c>
      <c r="R1981" s="45">
        <v>4.5</v>
      </c>
    </row>
    <row r="1982" spans="2:18" x14ac:dyDescent="0.2">
      <c r="B1982" s="25">
        <v>1979</v>
      </c>
      <c r="C1982" s="18">
        <v>45809</v>
      </c>
      <c r="D1982" s="24">
        <f t="shared" si="150"/>
        <v>2025</v>
      </c>
      <c r="E1982" s="24" t="str">
        <f t="shared" si="151"/>
        <v>Q2</v>
      </c>
      <c r="F1982" s="24" t="str">
        <f t="shared" si="152"/>
        <v>Jun</v>
      </c>
      <c r="G1982" s="24">
        <f t="shared" si="153"/>
        <v>6</v>
      </c>
      <c r="H1982" s="19">
        <v>1710</v>
      </c>
      <c r="I1982" s="19" t="s">
        <v>3</v>
      </c>
      <c r="J1982" s="19" t="s">
        <v>5</v>
      </c>
      <c r="K1982" s="20">
        <v>6</v>
      </c>
      <c r="L1982" s="21">
        <v>55.13</v>
      </c>
      <c r="M1982" s="22">
        <v>0.26</v>
      </c>
      <c r="N1982" s="21">
        <f t="shared" si="154"/>
        <v>40.796199999999999</v>
      </c>
      <c r="O1982" s="21">
        <v>244.78</v>
      </c>
      <c r="P1982" s="19" t="s">
        <v>4</v>
      </c>
      <c r="Q1982" s="23">
        <v>7</v>
      </c>
      <c r="R1982" s="45">
        <v>4.0999999999999996</v>
      </c>
    </row>
    <row r="1983" spans="2:18" x14ac:dyDescent="0.2">
      <c r="B1983" s="25">
        <v>1980</v>
      </c>
      <c r="C1983" s="18">
        <v>45810</v>
      </c>
      <c r="D1983" s="24">
        <f t="shared" si="150"/>
        <v>2025</v>
      </c>
      <c r="E1983" s="24" t="str">
        <f t="shared" si="151"/>
        <v>Q2</v>
      </c>
      <c r="F1983" s="24" t="str">
        <f t="shared" si="152"/>
        <v>Jun</v>
      </c>
      <c r="G1983" s="24">
        <f t="shared" si="153"/>
        <v>6</v>
      </c>
      <c r="H1983" s="19">
        <v>1400</v>
      </c>
      <c r="I1983" s="19" t="s">
        <v>10</v>
      </c>
      <c r="J1983" s="19" t="s">
        <v>5</v>
      </c>
      <c r="K1983" s="20">
        <v>1</v>
      </c>
      <c r="L1983" s="21">
        <v>329.37</v>
      </c>
      <c r="M1983" s="22">
        <v>0.09</v>
      </c>
      <c r="N1983" s="21">
        <f t="shared" si="154"/>
        <v>299.72669999999999</v>
      </c>
      <c r="O1983" s="21">
        <v>299.73</v>
      </c>
      <c r="P1983" s="19" t="s">
        <v>6</v>
      </c>
      <c r="Q1983" s="23">
        <v>2</v>
      </c>
      <c r="R1983" s="45">
        <v>4.4000000000000004</v>
      </c>
    </row>
    <row r="1984" spans="2:18" x14ac:dyDescent="0.2">
      <c r="B1984" s="25">
        <v>1981</v>
      </c>
      <c r="C1984" s="18">
        <v>45811</v>
      </c>
      <c r="D1984" s="24">
        <f t="shared" si="150"/>
        <v>2025</v>
      </c>
      <c r="E1984" s="24" t="str">
        <f t="shared" si="151"/>
        <v>Q2</v>
      </c>
      <c r="F1984" s="24" t="str">
        <f t="shared" si="152"/>
        <v>Jun</v>
      </c>
      <c r="G1984" s="24">
        <f t="shared" si="153"/>
        <v>6</v>
      </c>
      <c r="H1984" s="19">
        <v>1918</v>
      </c>
      <c r="I1984" s="19" t="s">
        <v>10</v>
      </c>
      <c r="J1984" s="19" t="s">
        <v>9</v>
      </c>
      <c r="K1984" s="20">
        <v>6</v>
      </c>
      <c r="L1984" s="21">
        <v>108.68</v>
      </c>
      <c r="M1984" s="22">
        <v>0.22</v>
      </c>
      <c r="N1984" s="21">
        <f t="shared" si="154"/>
        <v>84.770400000000009</v>
      </c>
      <c r="O1984" s="21">
        <v>508.62</v>
      </c>
      <c r="P1984" s="19" t="s">
        <v>6</v>
      </c>
      <c r="Q1984" s="23">
        <v>5</v>
      </c>
      <c r="R1984" s="45">
        <v>3.9</v>
      </c>
    </row>
    <row r="1985" spans="2:18" x14ac:dyDescent="0.2">
      <c r="B1985" s="25">
        <v>1982</v>
      </c>
      <c r="C1985" s="18">
        <v>45812</v>
      </c>
      <c r="D1985" s="24">
        <f t="shared" si="150"/>
        <v>2025</v>
      </c>
      <c r="E1985" s="24" t="str">
        <f t="shared" si="151"/>
        <v>Q2</v>
      </c>
      <c r="F1985" s="24" t="str">
        <f t="shared" si="152"/>
        <v>Jun</v>
      </c>
      <c r="G1985" s="24">
        <f t="shared" si="153"/>
        <v>6</v>
      </c>
      <c r="H1985" s="19">
        <v>1793</v>
      </c>
      <c r="I1985" s="19" t="s">
        <v>0</v>
      </c>
      <c r="J1985" s="19" t="s">
        <v>9</v>
      </c>
      <c r="K1985" s="20">
        <v>2</v>
      </c>
      <c r="L1985" s="21">
        <v>19.52</v>
      </c>
      <c r="M1985" s="22">
        <v>0.32</v>
      </c>
      <c r="N1985" s="21">
        <f t="shared" si="154"/>
        <v>13.273599999999998</v>
      </c>
      <c r="O1985" s="21">
        <v>26.55</v>
      </c>
      <c r="P1985" s="19" t="s">
        <v>4</v>
      </c>
      <c r="Q1985" s="23">
        <v>9</v>
      </c>
      <c r="R1985" s="45">
        <v>3.6</v>
      </c>
    </row>
    <row r="1986" spans="2:18" x14ac:dyDescent="0.2">
      <c r="B1986" s="25">
        <v>1983</v>
      </c>
      <c r="C1986" s="18">
        <v>45813</v>
      </c>
      <c r="D1986" s="24">
        <f t="shared" si="150"/>
        <v>2025</v>
      </c>
      <c r="E1986" s="24" t="str">
        <f t="shared" si="151"/>
        <v>Q2</v>
      </c>
      <c r="F1986" s="24" t="str">
        <f t="shared" si="152"/>
        <v>Jun</v>
      </c>
      <c r="G1986" s="24">
        <f t="shared" si="153"/>
        <v>6</v>
      </c>
      <c r="H1986" s="19">
        <v>1980</v>
      </c>
      <c r="I1986" s="19" t="s">
        <v>7</v>
      </c>
      <c r="J1986" s="19" t="s">
        <v>9</v>
      </c>
      <c r="K1986" s="20">
        <v>6</v>
      </c>
      <c r="L1986" s="21">
        <v>262.52</v>
      </c>
      <c r="M1986" s="22">
        <v>0.11</v>
      </c>
      <c r="N1986" s="21">
        <f t="shared" si="154"/>
        <v>233.64279999999999</v>
      </c>
      <c r="O1986" s="21">
        <v>1401.86</v>
      </c>
      <c r="P1986" s="19" t="s">
        <v>4</v>
      </c>
      <c r="Q1986" s="23">
        <v>11</v>
      </c>
      <c r="R1986" s="45">
        <v>3.1</v>
      </c>
    </row>
    <row r="1987" spans="2:18" x14ac:dyDescent="0.2">
      <c r="B1987" s="25">
        <v>1984</v>
      </c>
      <c r="C1987" s="18">
        <v>45814</v>
      </c>
      <c r="D1987" s="24">
        <f t="shared" si="150"/>
        <v>2025</v>
      </c>
      <c r="E1987" s="24" t="str">
        <f t="shared" si="151"/>
        <v>Q2</v>
      </c>
      <c r="F1987" s="24" t="str">
        <f t="shared" si="152"/>
        <v>Jun</v>
      </c>
      <c r="G1987" s="24">
        <f t="shared" si="153"/>
        <v>6</v>
      </c>
      <c r="H1987" s="19">
        <v>1085</v>
      </c>
      <c r="I1987" s="19" t="s">
        <v>7</v>
      </c>
      <c r="J1987" s="19" t="s">
        <v>8</v>
      </c>
      <c r="K1987" s="20">
        <v>5</v>
      </c>
      <c r="L1987" s="21">
        <v>95.27</v>
      </c>
      <c r="M1987" s="22">
        <v>0.08</v>
      </c>
      <c r="N1987" s="21">
        <f t="shared" si="154"/>
        <v>87.648399999999995</v>
      </c>
      <c r="O1987" s="21">
        <v>438.24</v>
      </c>
      <c r="P1987" s="19" t="s">
        <v>6</v>
      </c>
      <c r="Q1987" s="23">
        <v>2</v>
      </c>
      <c r="R1987" s="45">
        <v>2.1</v>
      </c>
    </row>
    <row r="1988" spans="2:18" x14ac:dyDescent="0.2">
      <c r="B1988" s="25">
        <v>1985</v>
      </c>
      <c r="C1988" s="18">
        <v>45815</v>
      </c>
      <c r="D1988" s="24">
        <f t="shared" ref="D1988:D2051" si="155">YEAR(C1988)</f>
        <v>2025</v>
      </c>
      <c r="E1988" s="24" t="str">
        <f t="shared" ref="E1988:E2051" si="156">"Q"&amp;ROUNDUP(MONTH(C1988)/3,0)</f>
        <v>Q2</v>
      </c>
      <c r="F1988" s="24" t="str">
        <f t="shared" ref="F1988:F2051" si="157">TEXT(C1988,"mmm")</f>
        <v>Jun</v>
      </c>
      <c r="G1988" s="24">
        <f t="shared" ref="G1988:G2051" si="158">MONTH(C1988)</f>
        <v>6</v>
      </c>
      <c r="H1988" s="19">
        <v>1249</v>
      </c>
      <c r="I1988" s="19" t="s">
        <v>0</v>
      </c>
      <c r="J1988" s="19" t="s">
        <v>5</v>
      </c>
      <c r="K1988" s="20">
        <v>7</v>
      </c>
      <c r="L1988" s="21">
        <v>108.9</v>
      </c>
      <c r="M1988" s="22">
        <v>0.04</v>
      </c>
      <c r="N1988" s="21">
        <f t="shared" si="154"/>
        <v>104.54400000000001</v>
      </c>
      <c r="O1988" s="21">
        <v>731.81</v>
      </c>
      <c r="P1988" s="19" t="s">
        <v>6</v>
      </c>
      <c r="Q1988" s="23">
        <v>8</v>
      </c>
      <c r="R1988" s="45">
        <v>3.8</v>
      </c>
    </row>
    <row r="1989" spans="2:18" x14ac:dyDescent="0.2">
      <c r="B1989" s="25">
        <v>1986</v>
      </c>
      <c r="C1989" s="18">
        <v>45816</v>
      </c>
      <c r="D1989" s="24">
        <f t="shared" si="155"/>
        <v>2025</v>
      </c>
      <c r="E1989" s="24" t="str">
        <f t="shared" si="156"/>
        <v>Q2</v>
      </c>
      <c r="F1989" s="24" t="str">
        <f t="shared" si="157"/>
        <v>Jun</v>
      </c>
      <c r="G1989" s="24">
        <f t="shared" si="158"/>
        <v>6</v>
      </c>
      <c r="H1989" s="19">
        <v>1390</v>
      </c>
      <c r="I1989" s="19" t="s">
        <v>3</v>
      </c>
      <c r="J1989" s="19" t="s">
        <v>9</v>
      </c>
      <c r="K1989" s="20">
        <v>6</v>
      </c>
      <c r="L1989" s="21">
        <v>59.99</v>
      </c>
      <c r="M1989" s="22">
        <v>0.05</v>
      </c>
      <c r="N1989" s="21">
        <f t="shared" ref="N1989:N2052" si="159">L1989-(L1989*M1989)</f>
        <v>56.990500000000004</v>
      </c>
      <c r="O1989" s="21">
        <v>341.94</v>
      </c>
      <c r="P1989" s="19" t="s">
        <v>4</v>
      </c>
      <c r="Q1989" s="23">
        <v>3</v>
      </c>
      <c r="R1989" s="45">
        <v>1.5</v>
      </c>
    </row>
    <row r="1990" spans="2:18" x14ac:dyDescent="0.2">
      <c r="B1990" s="25">
        <v>1987</v>
      </c>
      <c r="C1990" s="18">
        <v>45817</v>
      </c>
      <c r="D1990" s="24">
        <f t="shared" si="155"/>
        <v>2025</v>
      </c>
      <c r="E1990" s="24" t="str">
        <f t="shared" si="156"/>
        <v>Q2</v>
      </c>
      <c r="F1990" s="24" t="str">
        <f t="shared" si="157"/>
        <v>Jun</v>
      </c>
      <c r="G1990" s="24">
        <f t="shared" si="158"/>
        <v>6</v>
      </c>
      <c r="H1990" s="19">
        <v>1781</v>
      </c>
      <c r="I1990" s="19" t="s">
        <v>3</v>
      </c>
      <c r="J1990" s="19" t="s">
        <v>9</v>
      </c>
      <c r="K1990" s="20">
        <v>3</v>
      </c>
      <c r="L1990" s="21">
        <v>134.97999999999999</v>
      </c>
      <c r="M1990" s="22">
        <v>0.02</v>
      </c>
      <c r="N1990" s="21">
        <f t="shared" si="159"/>
        <v>132.28039999999999</v>
      </c>
      <c r="O1990" s="21">
        <v>396.84</v>
      </c>
      <c r="P1990" s="19" t="s">
        <v>4</v>
      </c>
      <c r="Q1990" s="23">
        <v>4</v>
      </c>
      <c r="R1990" s="45">
        <v>3</v>
      </c>
    </row>
    <row r="1991" spans="2:18" x14ac:dyDescent="0.2">
      <c r="B1991" s="25">
        <v>1988</v>
      </c>
      <c r="C1991" s="18">
        <v>45818</v>
      </c>
      <c r="D1991" s="24">
        <f t="shared" si="155"/>
        <v>2025</v>
      </c>
      <c r="E1991" s="24" t="str">
        <f t="shared" si="156"/>
        <v>Q2</v>
      </c>
      <c r="F1991" s="24" t="str">
        <f t="shared" si="157"/>
        <v>Jun</v>
      </c>
      <c r="G1991" s="24">
        <f t="shared" si="158"/>
        <v>6</v>
      </c>
      <c r="H1991" s="19">
        <v>1334</v>
      </c>
      <c r="I1991" s="19" t="s">
        <v>10</v>
      </c>
      <c r="J1991" s="19" t="s">
        <v>9</v>
      </c>
      <c r="K1991" s="20">
        <v>1</v>
      </c>
      <c r="L1991" s="21">
        <v>433.56</v>
      </c>
      <c r="M1991" s="22">
        <v>0.03</v>
      </c>
      <c r="N1991" s="21">
        <f t="shared" si="159"/>
        <v>420.5532</v>
      </c>
      <c r="O1991" s="21">
        <v>420.55</v>
      </c>
      <c r="P1991" s="19" t="s">
        <v>2</v>
      </c>
      <c r="Q1991" s="23">
        <v>2</v>
      </c>
      <c r="R1991" s="45">
        <v>1.8</v>
      </c>
    </row>
    <row r="1992" spans="2:18" x14ac:dyDescent="0.2">
      <c r="B1992" s="25">
        <v>1989</v>
      </c>
      <c r="C1992" s="18">
        <v>45819</v>
      </c>
      <c r="D1992" s="24">
        <f t="shared" si="155"/>
        <v>2025</v>
      </c>
      <c r="E1992" s="24" t="str">
        <f t="shared" si="156"/>
        <v>Q2</v>
      </c>
      <c r="F1992" s="24" t="str">
        <f t="shared" si="157"/>
        <v>Jun</v>
      </c>
      <c r="G1992" s="24">
        <f t="shared" si="158"/>
        <v>6</v>
      </c>
      <c r="H1992" s="19">
        <v>1628</v>
      </c>
      <c r="I1992" s="19" t="s">
        <v>10</v>
      </c>
      <c r="J1992" s="19" t="s">
        <v>8</v>
      </c>
      <c r="K1992" s="20">
        <v>5</v>
      </c>
      <c r="L1992" s="21">
        <v>488.22</v>
      </c>
      <c r="M1992" s="22">
        <v>0.15</v>
      </c>
      <c r="N1992" s="21">
        <f t="shared" si="159"/>
        <v>414.98700000000002</v>
      </c>
      <c r="O1992" s="21">
        <v>2074.94</v>
      </c>
      <c r="P1992" s="19" t="s">
        <v>6</v>
      </c>
      <c r="Q1992" s="23">
        <v>9</v>
      </c>
      <c r="R1992" s="45">
        <v>3</v>
      </c>
    </row>
    <row r="1993" spans="2:18" x14ac:dyDescent="0.2">
      <c r="B1993" s="25">
        <v>1990</v>
      </c>
      <c r="C1993" s="18">
        <v>45820</v>
      </c>
      <c r="D1993" s="24">
        <f t="shared" si="155"/>
        <v>2025</v>
      </c>
      <c r="E1993" s="24" t="str">
        <f t="shared" si="156"/>
        <v>Q2</v>
      </c>
      <c r="F1993" s="24" t="str">
        <f t="shared" si="157"/>
        <v>Jun</v>
      </c>
      <c r="G1993" s="24">
        <f t="shared" si="158"/>
        <v>6</v>
      </c>
      <c r="H1993" s="19">
        <v>1518</v>
      </c>
      <c r="I1993" s="19" t="s">
        <v>0</v>
      </c>
      <c r="J1993" s="19" t="s">
        <v>8</v>
      </c>
      <c r="K1993" s="20">
        <v>7</v>
      </c>
      <c r="L1993" s="21">
        <v>279.73</v>
      </c>
      <c r="M1993" s="22">
        <v>0.11</v>
      </c>
      <c r="N1993" s="21">
        <f t="shared" si="159"/>
        <v>248.95970000000003</v>
      </c>
      <c r="O1993" s="21">
        <v>1742.72</v>
      </c>
      <c r="P1993" s="19" t="s">
        <v>2</v>
      </c>
      <c r="Q1993" s="23">
        <v>6</v>
      </c>
      <c r="R1993" s="45">
        <v>2.2000000000000002</v>
      </c>
    </row>
    <row r="1994" spans="2:18" x14ac:dyDescent="0.2">
      <c r="B1994" s="25">
        <v>1991</v>
      </c>
      <c r="C1994" s="18">
        <v>45821</v>
      </c>
      <c r="D1994" s="24">
        <f t="shared" si="155"/>
        <v>2025</v>
      </c>
      <c r="E1994" s="24" t="str">
        <f t="shared" si="156"/>
        <v>Q2</v>
      </c>
      <c r="F1994" s="24" t="str">
        <f t="shared" si="157"/>
        <v>Jun</v>
      </c>
      <c r="G1994" s="24">
        <f t="shared" si="158"/>
        <v>6</v>
      </c>
      <c r="H1994" s="19">
        <v>1136</v>
      </c>
      <c r="I1994" s="19" t="s">
        <v>0</v>
      </c>
      <c r="J1994" s="19" t="s">
        <v>5</v>
      </c>
      <c r="K1994" s="20">
        <v>4</v>
      </c>
      <c r="L1994" s="21">
        <v>311.33</v>
      </c>
      <c r="M1994" s="22">
        <v>0.25</v>
      </c>
      <c r="N1994" s="21">
        <f t="shared" si="159"/>
        <v>233.4975</v>
      </c>
      <c r="O1994" s="21">
        <v>933.99</v>
      </c>
      <c r="P1994" s="19" t="s">
        <v>4</v>
      </c>
      <c r="Q1994" s="23">
        <v>9</v>
      </c>
      <c r="R1994" s="45">
        <v>1.2</v>
      </c>
    </row>
    <row r="1995" spans="2:18" x14ac:dyDescent="0.2">
      <c r="B1995" s="25">
        <v>1992</v>
      </c>
      <c r="C1995" s="18">
        <v>45822</v>
      </c>
      <c r="D1995" s="24">
        <f t="shared" si="155"/>
        <v>2025</v>
      </c>
      <c r="E1995" s="24" t="str">
        <f t="shared" si="156"/>
        <v>Q2</v>
      </c>
      <c r="F1995" s="24" t="str">
        <f t="shared" si="157"/>
        <v>Jun</v>
      </c>
      <c r="G1995" s="24">
        <f t="shared" si="158"/>
        <v>6</v>
      </c>
      <c r="H1995" s="19">
        <v>1882</v>
      </c>
      <c r="I1995" s="19" t="s">
        <v>10</v>
      </c>
      <c r="J1995" s="19" t="s">
        <v>5</v>
      </c>
      <c r="K1995" s="20">
        <v>6</v>
      </c>
      <c r="L1995" s="21">
        <v>34.1</v>
      </c>
      <c r="M1995" s="22">
        <v>0.3</v>
      </c>
      <c r="N1995" s="21">
        <f t="shared" si="159"/>
        <v>23.87</v>
      </c>
      <c r="O1995" s="21">
        <v>143.22</v>
      </c>
      <c r="P1995" s="19" t="s">
        <v>6</v>
      </c>
      <c r="Q1995" s="23">
        <v>11</v>
      </c>
      <c r="R1995" s="45">
        <v>3</v>
      </c>
    </row>
    <row r="1996" spans="2:18" x14ac:dyDescent="0.2">
      <c r="B1996" s="25">
        <v>1993</v>
      </c>
      <c r="C1996" s="18">
        <v>45823</v>
      </c>
      <c r="D1996" s="24">
        <f t="shared" si="155"/>
        <v>2025</v>
      </c>
      <c r="E1996" s="24" t="str">
        <f t="shared" si="156"/>
        <v>Q2</v>
      </c>
      <c r="F1996" s="24" t="str">
        <f t="shared" si="157"/>
        <v>Jun</v>
      </c>
      <c r="G1996" s="24">
        <f t="shared" si="158"/>
        <v>6</v>
      </c>
      <c r="H1996" s="19">
        <v>1687</v>
      </c>
      <c r="I1996" s="19" t="s">
        <v>7</v>
      </c>
      <c r="J1996" s="19" t="s">
        <v>5</v>
      </c>
      <c r="K1996" s="20">
        <v>5</v>
      </c>
      <c r="L1996" s="21">
        <v>55.55</v>
      </c>
      <c r="M1996" s="22">
        <v>0.27</v>
      </c>
      <c r="N1996" s="21">
        <f t="shared" si="159"/>
        <v>40.551499999999997</v>
      </c>
      <c r="O1996" s="21">
        <v>202.76</v>
      </c>
      <c r="P1996" s="19" t="s">
        <v>4</v>
      </c>
      <c r="Q1996" s="23">
        <v>8</v>
      </c>
      <c r="R1996" s="45">
        <v>1.7</v>
      </c>
    </row>
    <row r="1997" spans="2:18" x14ac:dyDescent="0.2">
      <c r="B1997" s="25">
        <v>1994</v>
      </c>
      <c r="C1997" s="18">
        <v>45824</v>
      </c>
      <c r="D1997" s="24">
        <f t="shared" si="155"/>
        <v>2025</v>
      </c>
      <c r="E1997" s="24" t="str">
        <f t="shared" si="156"/>
        <v>Q2</v>
      </c>
      <c r="F1997" s="24" t="str">
        <f t="shared" si="157"/>
        <v>Jun</v>
      </c>
      <c r="G1997" s="24">
        <f t="shared" si="158"/>
        <v>6</v>
      </c>
      <c r="H1997" s="19">
        <v>1839</v>
      </c>
      <c r="I1997" s="19" t="s">
        <v>0</v>
      </c>
      <c r="J1997" s="19" t="s">
        <v>9</v>
      </c>
      <c r="K1997" s="20">
        <v>4</v>
      </c>
      <c r="L1997" s="21">
        <v>165.68</v>
      </c>
      <c r="M1997" s="22">
        <v>0.19</v>
      </c>
      <c r="N1997" s="21">
        <f t="shared" si="159"/>
        <v>134.20080000000002</v>
      </c>
      <c r="O1997" s="21">
        <v>536.79999999999995</v>
      </c>
      <c r="P1997" s="19" t="s">
        <v>6</v>
      </c>
      <c r="Q1997" s="23">
        <v>9</v>
      </c>
      <c r="R1997" s="45">
        <v>1.6</v>
      </c>
    </row>
    <row r="1998" spans="2:18" x14ac:dyDescent="0.2">
      <c r="B1998" s="25">
        <v>1995</v>
      </c>
      <c r="C1998" s="18">
        <v>45825</v>
      </c>
      <c r="D1998" s="24">
        <f t="shared" si="155"/>
        <v>2025</v>
      </c>
      <c r="E1998" s="24" t="str">
        <f t="shared" si="156"/>
        <v>Q2</v>
      </c>
      <c r="F1998" s="24" t="str">
        <f t="shared" si="157"/>
        <v>Jun</v>
      </c>
      <c r="G1998" s="24">
        <f t="shared" si="158"/>
        <v>6</v>
      </c>
      <c r="H1998" s="19">
        <v>1497</v>
      </c>
      <c r="I1998" s="19" t="s">
        <v>7</v>
      </c>
      <c r="J1998" s="19" t="s">
        <v>1</v>
      </c>
      <c r="K1998" s="20">
        <v>4</v>
      </c>
      <c r="L1998" s="21">
        <v>333.18</v>
      </c>
      <c r="M1998" s="22">
        <v>0.04</v>
      </c>
      <c r="N1998" s="21">
        <f t="shared" si="159"/>
        <v>319.8528</v>
      </c>
      <c r="O1998" s="21">
        <v>1279.4100000000001</v>
      </c>
      <c r="P1998" s="19" t="s">
        <v>4</v>
      </c>
      <c r="Q1998" s="23">
        <v>5</v>
      </c>
      <c r="R1998" s="45">
        <v>2.5</v>
      </c>
    </row>
    <row r="1999" spans="2:18" x14ac:dyDescent="0.2">
      <c r="B1999" s="25">
        <v>1996</v>
      </c>
      <c r="C1999" s="18">
        <v>45826</v>
      </c>
      <c r="D1999" s="24">
        <f t="shared" si="155"/>
        <v>2025</v>
      </c>
      <c r="E1999" s="24" t="str">
        <f t="shared" si="156"/>
        <v>Q2</v>
      </c>
      <c r="F1999" s="24" t="str">
        <f t="shared" si="157"/>
        <v>Jun</v>
      </c>
      <c r="G1999" s="24">
        <f t="shared" si="158"/>
        <v>6</v>
      </c>
      <c r="H1999" s="19">
        <v>1826</v>
      </c>
      <c r="I1999" s="19" t="s">
        <v>7</v>
      </c>
      <c r="J1999" s="19" t="s">
        <v>8</v>
      </c>
      <c r="K1999" s="20">
        <v>2</v>
      </c>
      <c r="L1999" s="21">
        <v>447.64</v>
      </c>
      <c r="M1999" s="22">
        <v>0.25</v>
      </c>
      <c r="N1999" s="21">
        <f t="shared" si="159"/>
        <v>335.73</v>
      </c>
      <c r="O1999" s="21">
        <v>671.46</v>
      </c>
      <c r="P1999" s="19" t="s">
        <v>4</v>
      </c>
      <c r="Q1999" s="23">
        <v>6</v>
      </c>
      <c r="R1999" s="45">
        <v>2.4</v>
      </c>
    </row>
    <row r="2000" spans="2:18" x14ac:dyDescent="0.2">
      <c r="B2000" s="25">
        <v>1997</v>
      </c>
      <c r="C2000" s="18">
        <v>45827</v>
      </c>
      <c r="D2000" s="24">
        <f t="shared" si="155"/>
        <v>2025</v>
      </c>
      <c r="E2000" s="24" t="str">
        <f t="shared" si="156"/>
        <v>Q2</v>
      </c>
      <c r="F2000" s="24" t="str">
        <f t="shared" si="157"/>
        <v>Jun</v>
      </c>
      <c r="G2000" s="24">
        <f t="shared" si="158"/>
        <v>6</v>
      </c>
      <c r="H2000" s="19">
        <v>1726</v>
      </c>
      <c r="I2000" s="19" t="s">
        <v>0</v>
      </c>
      <c r="J2000" s="19" t="s">
        <v>9</v>
      </c>
      <c r="K2000" s="20">
        <v>2</v>
      </c>
      <c r="L2000" s="21">
        <v>368.93</v>
      </c>
      <c r="M2000" s="22">
        <v>0.13</v>
      </c>
      <c r="N2000" s="21">
        <f t="shared" si="159"/>
        <v>320.96910000000003</v>
      </c>
      <c r="O2000" s="21">
        <v>641.94000000000005</v>
      </c>
      <c r="P2000" s="19" t="s">
        <v>4</v>
      </c>
      <c r="Q2000" s="23">
        <v>7</v>
      </c>
      <c r="R2000" s="45">
        <v>4.5</v>
      </c>
    </row>
    <row r="2001" spans="2:18" x14ac:dyDescent="0.2">
      <c r="B2001" s="25">
        <v>1998</v>
      </c>
      <c r="C2001" s="18">
        <v>45828</v>
      </c>
      <c r="D2001" s="24">
        <f t="shared" si="155"/>
        <v>2025</v>
      </c>
      <c r="E2001" s="24" t="str">
        <f t="shared" si="156"/>
        <v>Q2</v>
      </c>
      <c r="F2001" s="24" t="str">
        <f t="shared" si="157"/>
        <v>Jun</v>
      </c>
      <c r="G2001" s="24">
        <f t="shared" si="158"/>
        <v>6</v>
      </c>
      <c r="H2001" s="19">
        <v>1476</v>
      </c>
      <c r="I2001" s="19" t="s">
        <v>7</v>
      </c>
      <c r="J2001" s="19" t="s">
        <v>9</v>
      </c>
      <c r="K2001" s="20">
        <v>7</v>
      </c>
      <c r="L2001" s="21">
        <v>244.39</v>
      </c>
      <c r="M2001" s="22">
        <v>0.03</v>
      </c>
      <c r="N2001" s="21">
        <f t="shared" si="159"/>
        <v>237.05829999999997</v>
      </c>
      <c r="O2001" s="21">
        <v>1659.41</v>
      </c>
      <c r="P2001" s="19" t="s">
        <v>6</v>
      </c>
      <c r="Q2001" s="23">
        <v>5</v>
      </c>
      <c r="R2001" s="45">
        <v>3.3</v>
      </c>
    </row>
    <row r="2002" spans="2:18" x14ac:dyDescent="0.2">
      <c r="B2002" s="25">
        <v>1999</v>
      </c>
      <c r="C2002" s="18">
        <v>45829</v>
      </c>
      <c r="D2002" s="24">
        <f t="shared" si="155"/>
        <v>2025</v>
      </c>
      <c r="E2002" s="24" t="str">
        <f t="shared" si="156"/>
        <v>Q2</v>
      </c>
      <c r="F2002" s="24" t="str">
        <f t="shared" si="157"/>
        <v>Jun</v>
      </c>
      <c r="G2002" s="24">
        <f t="shared" si="158"/>
        <v>6</v>
      </c>
      <c r="H2002" s="19">
        <v>1593</v>
      </c>
      <c r="I2002" s="19" t="s">
        <v>7</v>
      </c>
      <c r="J2002" s="19" t="s">
        <v>5</v>
      </c>
      <c r="K2002" s="20">
        <v>5</v>
      </c>
      <c r="L2002" s="21">
        <v>84.22</v>
      </c>
      <c r="M2002" s="22">
        <v>0.28999999999999998</v>
      </c>
      <c r="N2002" s="21">
        <f t="shared" si="159"/>
        <v>59.796199999999999</v>
      </c>
      <c r="O2002" s="21">
        <v>298.98</v>
      </c>
      <c r="P2002" s="19" t="s">
        <v>6</v>
      </c>
      <c r="Q2002" s="23">
        <v>1</v>
      </c>
      <c r="R2002" s="45">
        <v>4.4000000000000004</v>
      </c>
    </row>
    <row r="2003" spans="2:18" x14ac:dyDescent="0.2">
      <c r="B2003" s="25">
        <v>2000</v>
      </c>
      <c r="C2003" s="18">
        <v>45830</v>
      </c>
      <c r="D2003" s="24">
        <f t="shared" si="155"/>
        <v>2025</v>
      </c>
      <c r="E2003" s="24" t="str">
        <f t="shared" si="156"/>
        <v>Q2</v>
      </c>
      <c r="F2003" s="24" t="str">
        <f t="shared" si="157"/>
        <v>Jun</v>
      </c>
      <c r="G2003" s="24">
        <f t="shared" si="158"/>
        <v>6</v>
      </c>
      <c r="H2003" s="19">
        <v>1222</v>
      </c>
      <c r="I2003" s="19" t="s">
        <v>7</v>
      </c>
      <c r="J2003" s="19" t="s">
        <v>5</v>
      </c>
      <c r="K2003" s="20">
        <v>7</v>
      </c>
      <c r="L2003" s="21">
        <v>471.75</v>
      </c>
      <c r="M2003" s="22">
        <v>0.12</v>
      </c>
      <c r="N2003" s="21">
        <f t="shared" si="159"/>
        <v>415.14</v>
      </c>
      <c r="O2003" s="21">
        <v>2905.98</v>
      </c>
      <c r="P2003" s="19" t="s">
        <v>6</v>
      </c>
      <c r="Q2003" s="23">
        <v>9</v>
      </c>
      <c r="R2003" s="45">
        <v>1.6</v>
      </c>
    </row>
    <row r="2004" spans="2:18" x14ac:dyDescent="0.2">
      <c r="B2004" s="25">
        <v>2001</v>
      </c>
      <c r="C2004" s="18">
        <v>45831</v>
      </c>
      <c r="D2004" s="24">
        <f t="shared" si="155"/>
        <v>2025</v>
      </c>
      <c r="E2004" s="24" t="str">
        <f t="shared" si="156"/>
        <v>Q2</v>
      </c>
      <c r="F2004" s="24" t="str">
        <f t="shared" si="157"/>
        <v>Jun</v>
      </c>
      <c r="G2004" s="24">
        <f t="shared" si="158"/>
        <v>6</v>
      </c>
      <c r="H2004" s="19">
        <v>1989</v>
      </c>
      <c r="I2004" s="19" t="s">
        <v>0</v>
      </c>
      <c r="J2004" s="19" t="s">
        <v>9</v>
      </c>
      <c r="K2004" s="20">
        <v>5</v>
      </c>
      <c r="L2004" s="21">
        <v>227.81</v>
      </c>
      <c r="M2004" s="22">
        <v>0.08</v>
      </c>
      <c r="N2004" s="21">
        <f t="shared" si="159"/>
        <v>209.58519999999999</v>
      </c>
      <c r="O2004" s="21">
        <v>1047.93</v>
      </c>
      <c r="P2004" s="19" t="s">
        <v>2</v>
      </c>
      <c r="Q2004" s="23">
        <v>2</v>
      </c>
      <c r="R2004" s="45">
        <v>2.4</v>
      </c>
    </row>
    <row r="2005" spans="2:18" x14ac:dyDescent="0.2">
      <c r="B2005" s="25">
        <v>2002</v>
      </c>
      <c r="C2005" s="18">
        <v>45832</v>
      </c>
      <c r="D2005" s="24">
        <f t="shared" si="155"/>
        <v>2025</v>
      </c>
      <c r="E2005" s="24" t="str">
        <f t="shared" si="156"/>
        <v>Q2</v>
      </c>
      <c r="F2005" s="24" t="str">
        <f t="shared" si="157"/>
        <v>Jun</v>
      </c>
      <c r="G2005" s="24">
        <f t="shared" si="158"/>
        <v>6</v>
      </c>
      <c r="H2005" s="19">
        <v>1371</v>
      </c>
      <c r="I2005" s="19" t="s">
        <v>3</v>
      </c>
      <c r="J2005" s="19" t="s">
        <v>8</v>
      </c>
      <c r="K2005" s="20">
        <v>3</v>
      </c>
      <c r="L2005" s="21">
        <v>445.59</v>
      </c>
      <c r="M2005" s="22">
        <v>0.31</v>
      </c>
      <c r="N2005" s="21">
        <f t="shared" si="159"/>
        <v>307.45709999999997</v>
      </c>
      <c r="O2005" s="21">
        <v>922.37</v>
      </c>
      <c r="P2005" s="19" t="s">
        <v>6</v>
      </c>
      <c r="Q2005" s="23">
        <v>7</v>
      </c>
      <c r="R2005" s="45">
        <v>3.2</v>
      </c>
    </row>
    <row r="2006" spans="2:18" x14ac:dyDescent="0.2">
      <c r="B2006" s="25">
        <v>2003</v>
      </c>
      <c r="C2006" s="18">
        <v>45833</v>
      </c>
      <c r="D2006" s="24">
        <f t="shared" si="155"/>
        <v>2025</v>
      </c>
      <c r="E2006" s="24" t="str">
        <f t="shared" si="156"/>
        <v>Q2</v>
      </c>
      <c r="F2006" s="24" t="str">
        <f t="shared" si="157"/>
        <v>Jun</v>
      </c>
      <c r="G2006" s="24">
        <f t="shared" si="158"/>
        <v>6</v>
      </c>
      <c r="H2006" s="19">
        <v>1934</v>
      </c>
      <c r="I2006" s="19" t="s">
        <v>10</v>
      </c>
      <c r="J2006" s="19" t="s">
        <v>8</v>
      </c>
      <c r="K2006" s="20">
        <v>1</v>
      </c>
      <c r="L2006" s="21">
        <v>315.08999999999997</v>
      </c>
      <c r="M2006" s="22">
        <v>0.32</v>
      </c>
      <c r="N2006" s="21">
        <f t="shared" si="159"/>
        <v>214.26119999999997</v>
      </c>
      <c r="O2006" s="21">
        <v>214.26</v>
      </c>
      <c r="P2006" s="19" t="s">
        <v>6</v>
      </c>
      <c r="Q2006" s="23">
        <v>8</v>
      </c>
      <c r="R2006" s="45">
        <v>1.6</v>
      </c>
    </row>
    <row r="2007" spans="2:18" x14ac:dyDescent="0.2">
      <c r="B2007" s="25">
        <v>2004</v>
      </c>
      <c r="C2007" s="18">
        <v>45834</v>
      </c>
      <c r="D2007" s="24">
        <f t="shared" si="155"/>
        <v>2025</v>
      </c>
      <c r="E2007" s="24" t="str">
        <f t="shared" si="156"/>
        <v>Q2</v>
      </c>
      <c r="F2007" s="24" t="str">
        <f t="shared" si="157"/>
        <v>Jun</v>
      </c>
      <c r="G2007" s="24">
        <f t="shared" si="158"/>
        <v>6</v>
      </c>
      <c r="H2007" s="19">
        <v>1994</v>
      </c>
      <c r="I2007" s="19" t="s">
        <v>7</v>
      </c>
      <c r="J2007" s="19" t="s">
        <v>9</v>
      </c>
      <c r="K2007" s="20">
        <v>1</v>
      </c>
      <c r="L2007" s="21">
        <v>447.12</v>
      </c>
      <c r="M2007" s="22">
        <v>0.12</v>
      </c>
      <c r="N2007" s="21">
        <f t="shared" si="159"/>
        <v>393.46559999999999</v>
      </c>
      <c r="O2007" s="21">
        <v>393.47</v>
      </c>
      <c r="P2007" s="19" t="s">
        <v>2</v>
      </c>
      <c r="Q2007" s="23">
        <v>8</v>
      </c>
      <c r="R2007" s="45">
        <v>1.5</v>
      </c>
    </row>
    <row r="2008" spans="2:18" x14ac:dyDescent="0.2">
      <c r="B2008" s="25">
        <v>2005</v>
      </c>
      <c r="C2008" s="18">
        <v>45835</v>
      </c>
      <c r="D2008" s="24">
        <f t="shared" si="155"/>
        <v>2025</v>
      </c>
      <c r="E2008" s="24" t="str">
        <f t="shared" si="156"/>
        <v>Q2</v>
      </c>
      <c r="F2008" s="24" t="str">
        <f t="shared" si="157"/>
        <v>Jun</v>
      </c>
      <c r="G2008" s="24">
        <f t="shared" si="158"/>
        <v>6</v>
      </c>
      <c r="H2008" s="19">
        <v>1401</v>
      </c>
      <c r="I2008" s="19" t="s">
        <v>10</v>
      </c>
      <c r="J2008" s="19" t="s">
        <v>1</v>
      </c>
      <c r="K2008" s="20">
        <v>5</v>
      </c>
      <c r="L2008" s="21">
        <v>545.76</v>
      </c>
      <c r="M2008" s="22">
        <v>0.12</v>
      </c>
      <c r="N2008" s="21">
        <f t="shared" si="159"/>
        <v>480.2688</v>
      </c>
      <c r="O2008" s="21">
        <v>2401.34</v>
      </c>
      <c r="P2008" s="19" t="s">
        <v>6</v>
      </c>
      <c r="Q2008" s="23">
        <v>1</v>
      </c>
      <c r="R2008" s="45">
        <v>3.6</v>
      </c>
    </row>
    <row r="2009" spans="2:18" x14ac:dyDescent="0.2">
      <c r="B2009" s="25">
        <v>2006</v>
      </c>
      <c r="C2009" s="18">
        <v>45836</v>
      </c>
      <c r="D2009" s="24">
        <f t="shared" si="155"/>
        <v>2025</v>
      </c>
      <c r="E2009" s="24" t="str">
        <f t="shared" si="156"/>
        <v>Q2</v>
      </c>
      <c r="F2009" s="24" t="str">
        <f t="shared" si="157"/>
        <v>Jun</v>
      </c>
      <c r="G2009" s="24">
        <f t="shared" si="158"/>
        <v>6</v>
      </c>
      <c r="H2009" s="19">
        <v>1442</v>
      </c>
      <c r="I2009" s="19" t="s">
        <v>10</v>
      </c>
      <c r="J2009" s="19" t="s">
        <v>1</v>
      </c>
      <c r="K2009" s="20">
        <v>2</v>
      </c>
      <c r="L2009" s="21">
        <v>553.79999999999995</v>
      </c>
      <c r="M2009" s="22">
        <v>0.2</v>
      </c>
      <c r="N2009" s="21">
        <f t="shared" si="159"/>
        <v>443.03999999999996</v>
      </c>
      <c r="O2009" s="21">
        <v>886.08</v>
      </c>
      <c r="P2009" s="19" t="s">
        <v>4</v>
      </c>
      <c r="Q2009" s="23">
        <v>10</v>
      </c>
      <c r="R2009" s="45">
        <v>3.6</v>
      </c>
    </row>
    <row r="2010" spans="2:18" x14ac:dyDescent="0.2">
      <c r="B2010" s="25">
        <v>2007</v>
      </c>
      <c r="C2010" s="18">
        <v>45837</v>
      </c>
      <c r="D2010" s="24">
        <f t="shared" si="155"/>
        <v>2025</v>
      </c>
      <c r="E2010" s="24" t="str">
        <f t="shared" si="156"/>
        <v>Q2</v>
      </c>
      <c r="F2010" s="24" t="str">
        <f t="shared" si="157"/>
        <v>Jun</v>
      </c>
      <c r="G2010" s="24">
        <f t="shared" si="158"/>
        <v>6</v>
      </c>
      <c r="H2010" s="19">
        <v>1489</v>
      </c>
      <c r="I2010" s="19" t="s">
        <v>7</v>
      </c>
      <c r="J2010" s="19" t="s">
        <v>8</v>
      </c>
      <c r="K2010" s="20">
        <v>6</v>
      </c>
      <c r="L2010" s="21">
        <v>328.04</v>
      </c>
      <c r="M2010" s="22">
        <v>0.26</v>
      </c>
      <c r="N2010" s="21">
        <f t="shared" si="159"/>
        <v>242.74960000000002</v>
      </c>
      <c r="O2010" s="21">
        <v>1456.5</v>
      </c>
      <c r="P2010" s="19" t="s">
        <v>2</v>
      </c>
      <c r="Q2010" s="23">
        <v>7</v>
      </c>
      <c r="R2010" s="45">
        <v>1.9</v>
      </c>
    </row>
    <row r="2011" spans="2:18" x14ac:dyDescent="0.2">
      <c r="B2011" s="25">
        <v>2008</v>
      </c>
      <c r="C2011" s="18">
        <v>45838</v>
      </c>
      <c r="D2011" s="24">
        <f t="shared" si="155"/>
        <v>2025</v>
      </c>
      <c r="E2011" s="24" t="str">
        <f t="shared" si="156"/>
        <v>Q2</v>
      </c>
      <c r="F2011" s="24" t="str">
        <f t="shared" si="157"/>
        <v>Jun</v>
      </c>
      <c r="G2011" s="24">
        <f t="shared" si="158"/>
        <v>6</v>
      </c>
      <c r="H2011" s="19">
        <v>1614</v>
      </c>
      <c r="I2011" s="19" t="s">
        <v>3</v>
      </c>
      <c r="J2011" s="19" t="s">
        <v>5</v>
      </c>
      <c r="K2011" s="20">
        <v>7</v>
      </c>
      <c r="L2011" s="21">
        <v>314.23</v>
      </c>
      <c r="M2011" s="22">
        <v>0.02</v>
      </c>
      <c r="N2011" s="21">
        <f t="shared" si="159"/>
        <v>307.94540000000001</v>
      </c>
      <c r="O2011" s="21">
        <v>2155.62</v>
      </c>
      <c r="P2011" s="19" t="s">
        <v>4</v>
      </c>
      <c r="Q2011" s="23">
        <v>9</v>
      </c>
      <c r="R2011" s="45">
        <v>1.9</v>
      </c>
    </row>
    <row r="2012" spans="2:18" x14ac:dyDescent="0.2">
      <c r="B2012" s="25">
        <v>2009</v>
      </c>
      <c r="C2012" s="18">
        <v>45839</v>
      </c>
      <c r="D2012" s="24">
        <f t="shared" si="155"/>
        <v>2025</v>
      </c>
      <c r="E2012" s="24" t="str">
        <f t="shared" si="156"/>
        <v>Q3</v>
      </c>
      <c r="F2012" s="24" t="str">
        <f t="shared" si="157"/>
        <v>Jul</v>
      </c>
      <c r="G2012" s="24">
        <f t="shared" si="158"/>
        <v>7</v>
      </c>
      <c r="H2012" s="19">
        <v>1272</v>
      </c>
      <c r="I2012" s="19" t="s">
        <v>7</v>
      </c>
      <c r="J2012" s="19" t="s">
        <v>1</v>
      </c>
      <c r="K2012" s="20">
        <v>3</v>
      </c>
      <c r="L2012" s="21">
        <v>170.42</v>
      </c>
      <c r="M2012" s="22">
        <v>0.21</v>
      </c>
      <c r="N2012" s="21">
        <f t="shared" si="159"/>
        <v>134.6318</v>
      </c>
      <c r="O2012" s="21">
        <v>403.9</v>
      </c>
      <c r="P2012" s="19" t="s">
        <v>6</v>
      </c>
      <c r="Q2012" s="23">
        <v>11</v>
      </c>
      <c r="R2012" s="45">
        <v>4</v>
      </c>
    </row>
    <row r="2013" spans="2:18" x14ac:dyDescent="0.2">
      <c r="B2013" s="25">
        <v>2010</v>
      </c>
      <c r="C2013" s="18">
        <v>45840</v>
      </c>
      <c r="D2013" s="24">
        <f t="shared" si="155"/>
        <v>2025</v>
      </c>
      <c r="E2013" s="24" t="str">
        <f t="shared" si="156"/>
        <v>Q3</v>
      </c>
      <c r="F2013" s="24" t="str">
        <f t="shared" si="157"/>
        <v>Jul</v>
      </c>
      <c r="G2013" s="24">
        <f t="shared" si="158"/>
        <v>7</v>
      </c>
      <c r="H2013" s="19">
        <v>1525</v>
      </c>
      <c r="I2013" s="19" t="s">
        <v>0</v>
      </c>
      <c r="J2013" s="19" t="s">
        <v>1</v>
      </c>
      <c r="K2013" s="20">
        <v>1</v>
      </c>
      <c r="L2013" s="21">
        <v>562.44000000000005</v>
      </c>
      <c r="M2013" s="22">
        <v>0.33</v>
      </c>
      <c r="N2013" s="21">
        <f t="shared" si="159"/>
        <v>376.83480000000003</v>
      </c>
      <c r="O2013" s="21">
        <v>376.83</v>
      </c>
      <c r="P2013" s="19" t="s">
        <v>4</v>
      </c>
      <c r="Q2013" s="23">
        <v>11</v>
      </c>
      <c r="R2013" s="45">
        <v>1.5</v>
      </c>
    </row>
    <row r="2014" spans="2:18" x14ac:dyDescent="0.2">
      <c r="B2014" s="25">
        <v>2011</v>
      </c>
      <c r="C2014" s="18">
        <v>45841</v>
      </c>
      <c r="D2014" s="24">
        <f t="shared" si="155"/>
        <v>2025</v>
      </c>
      <c r="E2014" s="24" t="str">
        <f t="shared" si="156"/>
        <v>Q3</v>
      </c>
      <c r="F2014" s="24" t="str">
        <f t="shared" si="157"/>
        <v>Jul</v>
      </c>
      <c r="G2014" s="24">
        <f t="shared" si="158"/>
        <v>7</v>
      </c>
      <c r="H2014" s="19">
        <v>1158</v>
      </c>
      <c r="I2014" s="19" t="s">
        <v>3</v>
      </c>
      <c r="J2014" s="19" t="s">
        <v>5</v>
      </c>
      <c r="K2014" s="20">
        <v>5</v>
      </c>
      <c r="L2014" s="21">
        <v>282.88</v>
      </c>
      <c r="M2014" s="22">
        <v>0.09</v>
      </c>
      <c r="N2014" s="21">
        <f t="shared" si="159"/>
        <v>257.42079999999999</v>
      </c>
      <c r="O2014" s="21">
        <v>1287.0999999999999</v>
      </c>
      <c r="P2014" s="19" t="s">
        <v>6</v>
      </c>
      <c r="Q2014" s="23">
        <v>3</v>
      </c>
      <c r="R2014" s="45">
        <v>4.7</v>
      </c>
    </row>
    <row r="2015" spans="2:18" x14ac:dyDescent="0.2">
      <c r="B2015" s="25">
        <v>2012</v>
      </c>
      <c r="C2015" s="18">
        <v>45842</v>
      </c>
      <c r="D2015" s="24">
        <f t="shared" si="155"/>
        <v>2025</v>
      </c>
      <c r="E2015" s="24" t="str">
        <f t="shared" si="156"/>
        <v>Q3</v>
      </c>
      <c r="F2015" s="24" t="str">
        <f t="shared" si="157"/>
        <v>Jul</v>
      </c>
      <c r="G2015" s="24">
        <f t="shared" si="158"/>
        <v>7</v>
      </c>
      <c r="H2015" s="19">
        <v>1151</v>
      </c>
      <c r="I2015" s="19" t="s">
        <v>0</v>
      </c>
      <c r="J2015" s="19" t="s">
        <v>1</v>
      </c>
      <c r="K2015" s="20">
        <v>2</v>
      </c>
      <c r="L2015" s="21">
        <v>89.64</v>
      </c>
      <c r="M2015" s="22">
        <v>0.32</v>
      </c>
      <c r="N2015" s="21">
        <f t="shared" si="159"/>
        <v>60.955200000000005</v>
      </c>
      <c r="O2015" s="21">
        <v>121.91</v>
      </c>
      <c r="P2015" s="19" t="s">
        <v>6</v>
      </c>
      <c r="Q2015" s="23">
        <v>8</v>
      </c>
      <c r="R2015" s="45">
        <v>4.8</v>
      </c>
    </row>
    <row r="2016" spans="2:18" x14ac:dyDescent="0.2">
      <c r="B2016" s="25">
        <v>2013</v>
      </c>
      <c r="C2016" s="18">
        <v>45843</v>
      </c>
      <c r="D2016" s="24">
        <f t="shared" si="155"/>
        <v>2025</v>
      </c>
      <c r="E2016" s="24" t="str">
        <f t="shared" si="156"/>
        <v>Q3</v>
      </c>
      <c r="F2016" s="24" t="str">
        <f t="shared" si="157"/>
        <v>Jul</v>
      </c>
      <c r="G2016" s="24">
        <f t="shared" si="158"/>
        <v>7</v>
      </c>
      <c r="H2016" s="19">
        <v>1994</v>
      </c>
      <c r="I2016" s="19" t="s">
        <v>7</v>
      </c>
      <c r="J2016" s="19" t="s">
        <v>9</v>
      </c>
      <c r="K2016" s="20">
        <v>2</v>
      </c>
      <c r="L2016" s="21">
        <v>268.13</v>
      </c>
      <c r="M2016" s="22">
        <v>0.33</v>
      </c>
      <c r="N2016" s="21">
        <f t="shared" si="159"/>
        <v>179.64709999999999</v>
      </c>
      <c r="O2016" s="21">
        <v>359.29</v>
      </c>
      <c r="P2016" s="19" t="s">
        <v>4</v>
      </c>
      <c r="Q2016" s="23">
        <v>8</v>
      </c>
      <c r="R2016" s="45">
        <v>4.5</v>
      </c>
    </row>
    <row r="2017" spans="2:18" x14ac:dyDescent="0.2">
      <c r="B2017" s="25">
        <v>2014</v>
      </c>
      <c r="C2017" s="18">
        <v>45844</v>
      </c>
      <c r="D2017" s="24">
        <f t="shared" si="155"/>
        <v>2025</v>
      </c>
      <c r="E2017" s="24" t="str">
        <f t="shared" si="156"/>
        <v>Q3</v>
      </c>
      <c r="F2017" s="24" t="str">
        <f t="shared" si="157"/>
        <v>Jul</v>
      </c>
      <c r="G2017" s="24">
        <f t="shared" si="158"/>
        <v>7</v>
      </c>
      <c r="H2017" s="19">
        <v>1619</v>
      </c>
      <c r="I2017" s="19" t="s">
        <v>10</v>
      </c>
      <c r="J2017" s="19" t="s">
        <v>1</v>
      </c>
      <c r="K2017" s="20">
        <v>2</v>
      </c>
      <c r="L2017" s="21">
        <v>89.33</v>
      </c>
      <c r="M2017" s="22">
        <v>0.09</v>
      </c>
      <c r="N2017" s="21">
        <f t="shared" si="159"/>
        <v>81.290300000000002</v>
      </c>
      <c r="O2017" s="21">
        <v>162.58000000000001</v>
      </c>
      <c r="P2017" s="19" t="s">
        <v>6</v>
      </c>
      <c r="Q2017" s="23">
        <v>9</v>
      </c>
      <c r="R2017" s="45">
        <v>1.8</v>
      </c>
    </row>
    <row r="2018" spans="2:18" x14ac:dyDescent="0.2">
      <c r="B2018" s="25">
        <v>2015</v>
      </c>
      <c r="C2018" s="18">
        <v>45845</v>
      </c>
      <c r="D2018" s="24">
        <f t="shared" si="155"/>
        <v>2025</v>
      </c>
      <c r="E2018" s="24" t="str">
        <f t="shared" si="156"/>
        <v>Q3</v>
      </c>
      <c r="F2018" s="24" t="str">
        <f t="shared" si="157"/>
        <v>Jul</v>
      </c>
      <c r="G2018" s="24">
        <f t="shared" si="158"/>
        <v>7</v>
      </c>
      <c r="H2018" s="19">
        <v>1187</v>
      </c>
      <c r="I2018" s="19" t="s">
        <v>10</v>
      </c>
      <c r="J2018" s="19" t="s">
        <v>5</v>
      </c>
      <c r="K2018" s="20">
        <v>7</v>
      </c>
      <c r="L2018" s="21">
        <v>308.98</v>
      </c>
      <c r="M2018" s="22">
        <v>0.26</v>
      </c>
      <c r="N2018" s="21">
        <f t="shared" si="159"/>
        <v>228.64520000000002</v>
      </c>
      <c r="O2018" s="21">
        <v>1600.52</v>
      </c>
      <c r="P2018" s="19" t="s">
        <v>6</v>
      </c>
      <c r="Q2018" s="23">
        <v>8</v>
      </c>
      <c r="R2018" s="45">
        <v>1.1000000000000001</v>
      </c>
    </row>
    <row r="2019" spans="2:18" x14ac:dyDescent="0.2">
      <c r="B2019" s="25">
        <v>2016</v>
      </c>
      <c r="C2019" s="18">
        <v>45846</v>
      </c>
      <c r="D2019" s="24">
        <f t="shared" si="155"/>
        <v>2025</v>
      </c>
      <c r="E2019" s="24" t="str">
        <f t="shared" si="156"/>
        <v>Q3</v>
      </c>
      <c r="F2019" s="24" t="str">
        <f t="shared" si="157"/>
        <v>Jul</v>
      </c>
      <c r="G2019" s="24">
        <f t="shared" si="158"/>
        <v>7</v>
      </c>
      <c r="H2019" s="19">
        <v>1812</v>
      </c>
      <c r="I2019" s="19" t="s">
        <v>10</v>
      </c>
      <c r="J2019" s="19" t="s">
        <v>9</v>
      </c>
      <c r="K2019" s="20">
        <v>6</v>
      </c>
      <c r="L2019" s="21">
        <v>343.35</v>
      </c>
      <c r="M2019" s="22">
        <v>0.08</v>
      </c>
      <c r="N2019" s="21">
        <f t="shared" si="159"/>
        <v>315.88200000000001</v>
      </c>
      <c r="O2019" s="21">
        <v>1895.29</v>
      </c>
      <c r="P2019" s="19" t="s">
        <v>4</v>
      </c>
      <c r="Q2019" s="23">
        <v>5</v>
      </c>
      <c r="R2019" s="45">
        <v>4.7</v>
      </c>
    </row>
    <row r="2020" spans="2:18" x14ac:dyDescent="0.2">
      <c r="B2020" s="25">
        <v>2017</v>
      </c>
      <c r="C2020" s="18">
        <v>45847</v>
      </c>
      <c r="D2020" s="24">
        <f t="shared" si="155"/>
        <v>2025</v>
      </c>
      <c r="E2020" s="24" t="str">
        <f t="shared" si="156"/>
        <v>Q3</v>
      </c>
      <c r="F2020" s="24" t="str">
        <f t="shared" si="157"/>
        <v>Jul</v>
      </c>
      <c r="G2020" s="24">
        <f t="shared" si="158"/>
        <v>7</v>
      </c>
      <c r="H2020" s="19">
        <v>1097</v>
      </c>
      <c r="I2020" s="19" t="s">
        <v>0</v>
      </c>
      <c r="J2020" s="19" t="s">
        <v>1</v>
      </c>
      <c r="K2020" s="20">
        <v>4</v>
      </c>
      <c r="L2020" s="21">
        <v>212.59</v>
      </c>
      <c r="M2020" s="22">
        <v>0.26</v>
      </c>
      <c r="N2020" s="21">
        <f t="shared" si="159"/>
        <v>157.31659999999999</v>
      </c>
      <c r="O2020" s="21">
        <v>629.27</v>
      </c>
      <c r="P2020" s="19" t="s">
        <v>4</v>
      </c>
      <c r="Q2020" s="23">
        <v>5</v>
      </c>
      <c r="R2020" s="45">
        <v>2.4</v>
      </c>
    </row>
    <row r="2021" spans="2:18" x14ac:dyDescent="0.2">
      <c r="B2021" s="25">
        <v>2018</v>
      </c>
      <c r="C2021" s="18">
        <v>45848</v>
      </c>
      <c r="D2021" s="24">
        <f t="shared" si="155"/>
        <v>2025</v>
      </c>
      <c r="E2021" s="24" t="str">
        <f t="shared" si="156"/>
        <v>Q3</v>
      </c>
      <c r="F2021" s="24" t="str">
        <f t="shared" si="157"/>
        <v>Jul</v>
      </c>
      <c r="G2021" s="24">
        <f t="shared" si="158"/>
        <v>7</v>
      </c>
      <c r="H2021" s="19">
        <v>1130</v>
      </c>
      <c r="I2021" s="19" t="s">
        <v>3</v>
      </c>
      <c r="J2021" s="19" t="s">
        <v>8</v>
      </c>
      <c r="K2021" s="20">
        <v>7</v>
      </c>
      <c r="L2021" s="21">
        <v>56.92</v>
      </c>
      <c r="M2021" s="22">
        <v>0.28000000000000003</v>
      </c>
      <c r="N2021" s="21">
        <f t="shared" si="159"/>
        <v>40.982399999999998</v>
      </c>
      <c r="O2021" s="21">
        <v>286.88</v>
      </c>
      <c r="P2021" s="19" t="s">
        <v>4</v>
      </c>
      <c r="Q2021" s="23">
        <v>3</v>
      </c>
      <c r="R2021" s="45">
        <v>2.2000000000000002</v>
      </c>
    </row>
    <row r="2022" spans="2:18" x14ac:dyDescent="0.2">
      <c r="B2022" s="25">
        <v>2019</v>
      </c>
      <c r="C2022" s="18">
        <v>45849</v>
      </c>
      <c r="D2022" s="24">
        <f t="shared" si="155"/>
        <v>2025</v>
      </c>
      <c r="E2022" s="24" t="str">
        <f t="shared" si="156"/>
        <v>Q3</v>
      </c>
      <c r="F2022" s="24" t="str">
        <f t="shared" si="157"/>
        <v>Jul</v>
      </c>
      <c r="G2022" s="24">
        <f t="shared" si="158"/>
        <v>7</v>
      </c>
      <c r="H2022" s="19">
        <v>1804</v>
      </c>
      <c r="I2022" s="19" t="s">
        <v>7</v>
      </c>
      <c r="J2022" s="19" t="s">
        <v>9</v>
      </c>
      <c r="K2022" s="20">
        <v>6</v>
      </c>
      <c r="L2022" s="21">
        <v>566.95000000000005</v>
      </c>
      <c r="M2022" s="22">
        <v>0.09</v>
      </c>
      <c r="N2022" s="21">
        <f t="shared" si="159"/>
        <v>515.92450000000008</v>
      </c>
      <c r="O2022" s="21">
        <v>3095.55</v>
      </c>
      <c r="P2022" s="19" t="s">
        <v>2</v>
      </c>
      <c r="Q2022" s="23">
        <v>6</v>
      </c>
      <c r="R2022" s="45">
        <v>2</v>
      </c>
    </row>
    <row r="2023" spans="2:18" x14ac:dyDescent="0.2">
      <c r="B2023" s="25">
        <v>2020</v>
      </c>
      <c r="C2023" s="18">
        <v>45850</v>
      </c>
      <c r="D2023" s="24">
        <f t="shared" si="155"/>
        <v>2025</v>
      </c>
      <c r="E2023" s="24" t="str">
        <f t="shared" si="156"/>
        <v>Q3</v>
      </c>
      <c r="F2023" s="24" t="str">
        <f t="shared" si="157"/>
        <v>Jul</v>
      </c>
      <c r="G2023" s="24">
        <f t="shared" si="158"/>
        <v>7</v>
      </c>
      <c r="H2023" s="19">
        <v>1170</v>
      </c>
      <c r="I2023" s="19" t="s">
        <v>10</v>
      </c>
      <c r="J2023" s="19" t="s">
        <v>9</v>
      </c>
      <c r="K2023" s="20">
        <v>2</v>
      </c>
      <c r="L2023" s="21">
        <v>467.41</v>
      </c>
      <c r="M2023" s="22">
        <v>0.25</v>
      </c>
      <c r="N2023" s="21">
        <f t="shared" si="159"/>
        <v>350.5575</v>
      </c>
      <c r="O2023" s="21">
        <v>701.12</v>
      </c>
      <c r="P2023" s="19" t="s">
        <v>6</v>
      </c>
      <c r="Q2023" s="23">
        <v>10</v>
      </c>
      <c r="R2023" s="45">
        <v>2</v>
      </c>
    </row>
    <row r="2024" spans="2:18" x14ac:dyDescent="0.2">
      <c r="B2024" s="25">
        <v>2021</v>
      </c>
      <c r="C2024" s="18">
        <v>45851</v>
      </c>
      <c r="D2024" s="24">
        <f t="shared" si="155"/>
        <v>2025</v>
      </c>
      <c r="E2024" s="24" t="str">
        <f t="shared" si="156"/>
        <v>Q3</v>
      </c>
      <c r="F2024" s="24" t="str">
        <f t="shared" si="157"/>
        <v>Jul</v>
      </c>
      <c r="G2024" s="24">
        <f t="shared" si="158"/>
        <v>7</v>
      </c>
      <c r="H2024" s="19">
        <v>1935</v>
      </c>
      <c r="I2024" s="19" t="s">
        <v>10</v>
      </c>
      <c r="J2024" s="19" t="s">
        <v>8</v>
      </c>
      <c r="K2024" s="20">
        <v>5</v>
      </c>
      <c r="L2024" s="21">
        <v>505.75</v>
      </c>
      <c r="M2024" s="22">
        <v>0.28000000000000003</v>
      </c>
      <c r="N2024" s="21">
        <f t="shared" si="159"/>
        <v>364.14</v>
      </c>
      <c r="O2024" s="21">
        <v>1820.7</v>
      </c>
      <c r="P2024" s="19" t="s">
        <v>2</v>
      </c>
      <c r="Q2024" s="23">
        <v>3</v>
      </c>
      <c r="R2024" s="45">
        <v>3.9</v>
      </c>
    </row>
    <row r="2025" spans="2:18" x14ac:dyDescent="0.2">
      <c r="B2025" s="25">
        <v>2022</v>
      </c>
      <c r="C2025" s="18">
        <v>45852</v>
      </c>
      <c r="D2025" s="24">
        <f t="shared" si="155"/>
        <v>2025</v>
      </c>
      <c r="E2025" s="24" t="str">
        <f t="shared" si="156"/>
        <v>Q3</v>
      </c>
      <c r="F2025" s="24" t="str">
        <f t="shared" si="157"/>
        <v>Jul</v>
      </c>
      <c r="G2025" s="24">
        <f t="shared" si="158"/>
        <v>7</v>
      </c>
      <c r="H2025" s="19">
        <v>1985</v>
      </c>
      <c r="I2025" s="19" t="s">
        <v>3</v>
      </c>
      <c r="J2025" s="19" t="s">
        <v>8</v>
      </c>
      <c r="K2025" s="20">
        <v>3</v>
      </c>
      <c r="L2025" s="21">
        <v>229.62</v>
      </c>
      <c r="M2025" s="22">
        <v>0.13</v>
      </c>
      <c r="N2025" s="21">
        <f t="shared" si="159"/>
        <v>199.76940000000002</v>
      </c>
      <c r="O2025" s="21">
        <v>599.30999999999995</v>
      </c>
      <c r="P2025" s="19" t="s">
        <v>4</v>
      </c>
      <c r="Q2025" s="23">
        <v>2</v>
      </c>
      <c r="R2025" s="45">
        <v>4.5999999999999996</v>
      </c>
    </row>
    <row r="2026" spans="2:18" x14ac:dyDescent="0.2">
      <c r="B2026" s="25">
        <v>2023</v>
      </c>
      <c r="C2026" s="18">
        <v>45853</v>
      </c>
      <c r="D2026" s="24">
        <f t="shared" si="155"/>
        <v>2025</v>
      </c>
      <c r="E2026" s="24" t="str">
        <f t="shared" si="156"/>
        <v>Q3</v>
      </c>
      <c r="F2026" s="24" t="str">
        <f t="shared" si="157"/>
        <v>Jul</v>
      </c>
      <c r="G2026" s="24">
        <f t="shared" si="158"/>
        <v>7</v>
      </c>
      <c r="H2026" s="19">
        <v>1182</v>
      </c>
      <c r="I2026" s="19" t="s">
        <v>7</v>
      </c>
      <c r="J2026" s="19" t="s">
        <v>1</v>
      </c>
      <c r="K2026" s="20">
        <v>6</v>
      </c>
      <c r="L2026" s="21">
        <v>460.09</v>
      </c>
      <c r="M2026" s="22">
        <v>0.06</v>
      </c>
      <c r="N2026" s="21">
        <f t="shared" si="159"/>
        <v>432.4846</v>
      </c>
      <c r="O2026" s="21">
        <v>2594.91</v>
      </c>
      <c r="P2026" s="19" t="s">
        <v>4</v>
      </c>
      <c r="Q2026" s="23">
        <v>7</v>
      </c>
      <c r="R2026" s="45">
        <v>4.0999999999999996</v>
      </c>
    </row>
    <row r="2027" spans="2:18" x14ac:dyDescent="0.2">
      <c r="B2027" s="25">
        <v>2024</v>
      </c>
      <c r="C2027" s="18">
        <v>45854</v>
      </c>
      <c r="D2027" s="24">
        <f t="shared" si="155"/>
        <v>2025</v>
      </c>
      <c r="E2027" s="24" t="str">
        <f t="shared" si="156"/>
        <v>Q3</v>
      </c>
      <c r="F2027" s="24" t="str">
        <f t="shared" si="157"/>
        <v>Jul</v>
      </c>
      <c r="G2027" s="24">
        <f t="shared" si="158"/>
        <v>7</v>
      </c>
      <c r="H2027" s="19">
        <v>1982</v>
      </c>
      <c r="I2027" s="19" t="s">
        <v>3</v>
      </c>
      <c r="J2027" s="19" t="s">
        <v>1</v>
      </c>
      <c r="K2027" s="20">
        <v>5</v>
      </c>
      <c r="L2027" s="21">
        <v>298.94</v>
      </c>
      <c r="M2027" s="22">
        <v>0.03</v>
      </c>
      <c r="N2027" s="21">
        <f t="shared" si="159"/>
        <v>289.97179999999997</v>
      </c>
      <c r="O2027" s="21">
        <v>1449.86</v>
      </c>
      <c r="P2027" s="19" t="s">
        <v>4</v>
      </c>
      <c r="Q2027" s="23">
        <v>10</v>
      </c>
      <c r="R2027" s="45">
        <v>3.7</v>
      </c>
    </row>
    <row r="2028" spans="2:18" x14ac:dyDescent="0.2">
      <c r="B2028" s="25">
        <v>2025</v>
      </c>
      <c r="C2028" s="18">
        <v>45855</v>
      </c>
      <c r="D2028" s="24">
        <f t="shared" si="155"/>
        <v>2025</v>
      </c>
      <c r="E2028" s="24" t="str">
        <f t="shared" si="156"/>
        <v>Q3</v>
      </c>
      <c r="F2028" s="24" t="str">
        <f t="shared" si="157"/>
        <v>Jul</v>
      </c>
      <c r="G2028" s="24">
        <f t="shared" si="158"/>
        <v>7</v>
      </c>
      <c r="H2028" s="19">
        <v>1363</v>
      </c>
      <c r="I2028" s="19" t="s">
        <v>7</v>
      </c>
      <c r="J2028" s="19" t="s">
        <v>5</v>
      </c>
      <c r="K2028" s="20">
        <v>7</v>
      </c>
      <c r="L2028" s="21">
        <v>132.63</v>
      </c>
      <c r="M2028" s="22">
        <v>0.2</v>
      </c>
      <c r="N2028" s="21">
        <f t="shared" si="159"/>
        <v>106.104</v>
      </c>
      <c r="O2028" s="21">
        <v>742.73</v>
      </c>
      <c r="P2028" s="19" t="s">
        <v>4</v>
      </c>
      <c r="Q2028" s="23">
        <v>3</v>
      </c>
      <c r="R2028" s="45">
        <v>2.2000000000000002</v>
      </c>
    </row>
    <row r="2029" spans="2:18" x14ac:dyDescent="0.2">
      <c r="B2029" s="25">
        <v>2026</v>
      </c>
      <c r="C2029" s="18">
        <v>45856</v>
      </c>
      <c r="D2029" s="24">
        <f t="shared" si="155"/>
        <v>2025</v>
      </c>
      <c r="E2029" s="24" t="str">
        <f t="shared" si="156"/>
        <v>Q3</v>
      </c>
      <c r="F2029" s="24" t="str">
        <f t="shared" si="157"/>
        <v>Jul</v>
      </c>
      <c r="G2029" s="24">
        <f t="shared" si="158"/>
        <v>7</v>
      </c>
      <c r="H2029" s="19">
        <v>1038</v>
      </c>
      <c r="I2029" s="19" t="s">
        <v>3</v>
      </c>
      <c r="J2029" s="19" t="s">
        <v>5</v>
      </c>
      <c r="K2029" s="20">
        <v>7</v>
      </c>
      <c r="L2029" s="21">
        <v>87.79</v>
      </c>
      <c r="M2029" s="22">
        <v>0.34</v>
      </c>
      <c r="N2029" s="21">
        <f t="shared" si="159"/>
        <v>57.941400000000002</v>
      </c>
      <c r="O2029" s="21">
        <v>405.59</v>
      </c>
      <c r="P2029" s="19" t="s">
        <v>6</v>
      </c>
      <c r="Q2029" s="23">
        <v>4</v>
      </c>
      <c r="R2029" s="45">
        <v>3.2</v>
      </c>
    </row>
    <row r="2030" spans="2:18" x14ac:dyDescent="0.2">
      <c r="B2030" s="25">
        <v>2027</v>
      </c>
      <c r="C2030" s="18">
        <v>45857</v>
      </c>
      <c r="D2030" s="24">
        <f t="shared" si="155"/>
        <v>2025</v>
      </c>
      <c r="E2030" s="24" t="str">
        <f t="shared" si="156"/>
        <v>Q3</v>
      </c>
      <c r="F2030" s="24" t="str">
        <f t="shared" si="157"/>
        <v>Jul</v>
      </c>
      <c r="G2030" s="24">
        <f t="shared" si="158"/>
        <v>7</v>
      </c>
      <c r="H2030" s="19">
        <v>1526</v>
      </c>
      <c r="I2030" s="19" t="s">
        <v>3</v>
      </c>
      <c r="J2030" s="19" t="s">
        <v>9</v>
      </c>
      <c r="K2030" s="20">
        <v>2</v>
      </c>
      <c r="L2030" s="21">
        <v>216.85</v>
      </c>
      <c r="M2030" s="22">
        <v>0.28999999999999998</v>
      </c>
      <c r="N2030" s="21">
        <f t="shared" si="159"/>
        <v>153.96350000000001</v>
      </c>
      <c r="O2030" s="21">
        <v>307.93</v>
      </c>
      <c r="P2030" s="19" t="s">
        <v>2</v>
      </c>
      <c r="Q2030" s="23">
        <v>11</v>
      </c>
      <c r="R2030" s="45">
        <v>1.9</v>
      </c>
    </row>
    <row r="2031" spans="2:18" x14ac:dyDescent="0.2">
      <c r="B2031" s="25">
        <v>2028</v>
      </c>
      <c r="C2031" s="18">
        <v>45858</v>
      </c>
      <c r="D2031" s="24">
        <f t="shared" si="155"/>
        <v>2025</v>
      </c>
      <c r="E2031" s="24" t="str">
        <f t="shared" si="156"/>
        <v>Q3</v>
      </c>
      <c r="F2031" s="24" t="str">
        <f t="shared" si="157"/>
        <v>Jul</v>
      </c>
      <c r="G2031" s="24">
        <f t="shared" si="158"/>
        <v>7</v>
      </c>
      <c r="H2031" s="19">
        <v>1887</v>
      </c>
      <c r="I2031" s="19" t="s">
        <v>10</v>
      </c>
      <c r="J2031" s="19" t="s">
        <v>8</v>
      </c>
      <c r="K2031" s="20">
        <v>3</v>
      </c>
      <c r="L2031" s="21">
        <v>95.47</v>
      </c>
      <c r="M2031" s="22">
        <v>0.15</v>
      </c>
      <c r="N2031" s="21">
        <f t="shared" si="159"/>
        <v>81.149500000000003</v>
      </c>
      <c r="O2031" s="21">
        <v>243.45</v>
      </c>
      <c r="P2031" s="19" t="s">
        <v>4</v>
      </c>
      <c r="Q2031" s="23">
        <v>10</v>
      </c>
      <c r="R2031" s="45">
        <v>1.4</v>
      </c>
    </row>
    <row r="2032" spans="2:18" x14ac:dyDescent="0.2">
      <c r="B2032" s="25">
        <v>2029</v>
      </c>
      <c r="C2032" s="18">
        <v>45859</v>
      </c>
      <c r="D2032" s="24">
        <f t="shared" si="155"/>
        <v>2025</v>
      </c>
      <c r="E2032" s="24" t="str">
        <f t="shared" si="156"/>
        <v>Q3</v>
      </c>
      <c r="F2032" s="24" t="str">
        <f t="shared" si="157"/>
        <v>Jul</v>
      </c>
      <c r="G2032" s="24">
        <f t="shared" si="158"/>
        <v>7</v>
      </c>
      <c r="H2032" s="19">
        <v>1496</v>
      </c>
      <c r="I2032" s="19" t="s">
        <v>7</v>
      </c>
      <c r="J2032" s="19" t="s">
        <v>8</v>
      </c>
      <c r="K2032" s="20">
        <v>1</v>
      </c>
      <c r="L2032" s="21">
        <v>598.99</v>
      </c>
      <c r="M2032" s="22">
        <v>0.19</v>
      </c>
      <c r="N2032" s="21">
        <f t="shared" si="159"/>
        <v>485.18190000000004</v>
      </c>
      <c r="O2032" s="21">
        <v>485.18</v>
      </c>
      <c r="P2032" s="19" t="s">
        <v>2</v>
      </c>
      <c r="Q2032" s="23">
        <v>8</v>
      </c>
      <c r="R2032" s="45">
        <v>1.5</v>
      </c>
    </row>
    <row r="2033" spans="2:18" x14ac:dyDescent="0.2">
      <c r="B2033" s="25">
        <v>2030</v>
      </c>
      <c r="C2033" s="18">
        <v>45860</v>
      </c>
      <c r="D2033" s="24">
        <f t="shared" si="155"/>
        <v>2025</v>
      </c>
      <c r="E2033" s="24" t="str">
        <f t="shared" si="156"/>
        <v>Q3</v>
      </c>
      <c r="F2033" s="24" t="str">
        <f t="shared" si="157"/>
        <v>Jul</v>
      </c>
      <c r="G2033" s="24">
        <f t="shared" si="158"/>
        <v>7</v>
      </c>
      <c r="H2033" s="19">
        <v>1515</v>
      </c>
      <c r="I2033" s="19" t="s">
        <v>3</v>
      </c>
      <c r="J2033" s="19" t="s">
        <v>5</v>
      </c>
      <c r="K2033" s="20">
        <v>1</v>
      </c>
      <c r="L2033" s="21">
        <v>43.78</v>
      </c>
      <c r="M2033" s="22">
        <v>0.1</v>
      </c>
      <c r="N2033" s="21">
        <f t="shared" si="159"/>
        <v>39.402000000000001</v>
      </c>
      <c r="O2033" s="21">
        <v>39.4</v>
      </c>
      <c r="P2033" s="19" t="s">
        <v>4</v>
      </c>
      <c r="Q2033" s="23">
        <v>1</v>
      </c>
      <c r="R2033" s="45">
        <v>3.4</v>
      </c>
    </row>
    <row r="2034" spans="2:18" x14ac:dyDescent="0.2">
      <c r="B2034" s="25">
        <v>2031</v>
      </c>
      <c r="C2034" s="18">
        <v>45861</v>
      </c>
      <c r="D2034" s="24">
        <f t="shared" si="155"/>
        <v>2025</v>
      </c>
      <c r="E2034" s="24" t="str">
        <f t="shared" si="156"/>
        <v>Q3</v>
      </c>
      <c r="F2034" s="24" t="str">
        <f t="shared" si="157"/>
        <v>Jul</v>
      </c>
      <c r="G2034" s="24">
        <f t="shared" si="158"/>
        <v>7</v>
      </c>
      <c r="H2034" s="19">
        <v>1348</v>
      </c>
      <c r="I2034" s="19" t="s">
        <v>7</v>
      </c>
      <c r="J2034" s="19" t="s">
        <v>9</v>
      </c>
      <c r="K2034" s="20">
        <v>7</v>
      </c>
      <c r="L2034" s="21">
        <v>273.07</v>
      </c>
      <c r="M2034" s="22">
        <v>0.06</v>
      </c>
      <c r="N2034" s="21">
        <f t="shared" si="159"/>
        <v>256.68579999999997</v>
      </c>
      <c r="O2034" s="21">
        <v>1796.8</v>
      </c>
      <c r="P2034" s="19" t="s">
        <v>2</v>
      </c>
      <c r="Q2034" s="23">
        <v>9</v>
      </c>
      <c r="R2034" s="45">
        <v>1.2</v>
      </c>
    </row>
    <row r="2035" spans="2:18" x14ac:dyDescent="0.2">
      <c r="B2035" s="25">
        <v>2032</v>
      </c>
      <c r="C2035" s="18">
        <v>45862</v>
      </c>
      <c r="D2035" s="24">
        <f t="shared" si="155"/>
        <v>2025</v>
      </c>
      <c r="E2035" s="24" t="str">
        <f t="shared" si="156"/>
        <v>Q3</v>
      </c>
      <c r="F2035" s="24" t="str">
        <f t="shared" si="157"/>
        <v>Jul</v>
      </c>
      <c r="G2035" s="24">
        <f t="shared" si="158"/>
        <v>7</v>
      </c>
      <c r="H2035" s="19">
        <v>1981</v>
      </c>
      <c r="I2035" s="19" t="s">
        <v>7</v>
      </c>
      <c r="J2035" s="19" t="s">
        <v>9</v>
      </c>
      <c r="K2035" s="20">
        <v>5</v>
      </c>
      <c r="L2035" s="21">
        <v>279.47000000000003</v>
      </c>
      <c r="M2035" s="22">
        <v>0.17</v>
      </c>
      <c r="N2035" s="21">
        <f t="shared" si="159"/>
        <v>231.96010000000001</v>
      </c>
      <c r="O2035" s="21">
        <v>1159.8</v>
      </c>
      <c r="P2035" s="19" t="s">
        <v>4</v>
      </c>
      <c r="Q2035" s="23">
        <v>6</v>
      </c>
      <c r="R2035" s="45">
        <v>4.9000000000000004</v>
      </c>
    </row>
    <row r="2036" spans="2:18" x14ac:dyDescent="0.2">
      <c r="B2036" s="25">
        <v>2033</v>
      </c>
      <c r="C2036" s="18">
        <v>45863</v>
      </c>
      <c r="D2036" s="24">
        <f t="shared" si="155"/>
        <v>2025</v>
      </c>
      <c r="E2036" s="24" t="str">
        <f t="shared" si="156"/>
        <v>Q3</v>
      </c>
      <c r="F2036" s="24" t="str">
        <f t="shared" si="157"/>
        <v>Jul</v>
      </c>
      <c r="G2036" s="24">
        <f t="shared" si="158"/>
        <v>7</v>
      </c>
      <c r="H2036" s="19">
        <v>1920</v>
      </c>
      <c r="I2036" s="19" t="s">
        <v>10</v>
      </c>
      <c r="J2036" s="19" t="s">
        <v>5</v>
      </c>
      <c r="K2036" s="20">
        <v>3</v>
      </c>
      <c r="L2036" s="21">
        <v>190.87</v>
      </c>
      <c r="M2036" s="22">
        <v>0.16</v>
      </c>
      <c r="N2036" s="21">
        <f t="shared" si="159"/>
        <v>160.33080000000001</v>
      </c>
      <c r="O2036" s="21">
        <v>480.99</v>
      </c>
      <c r="P2036" s="19" t="s">
        <v>2</v>
      </c>
      <c r="Q2036" s="23">
        <v>2</v>
      </c>
      <c r="R2036" s="45">
        <v>5</v>
      </c>
    </row>
    <row r="2037" spans="2:18" x14ac:dyDescent="0.2">
      <c r="B2037" s="25">
        <v>2034</v>
      </c>
      <c r="C2037" s="18">
        <v>45864</v>
      </c>
      <c r="D2037" s="24">
        <f t="shared" si="155"/>
        <v>2025</v>
      </c>
      <c r="E2037" s="24" t="str">
        <f t="shared" si="156"/>
        <v>Q3</v>
      </c>
      <c r="F2037" s="24" t="str">
        <f t="shared" si="157"/>
        <v>Jul</v>
      </c>
      <c r="G2037" s="24">
        <f t="shared" si="158"/>
        <v>7</v>
      </c>
      <c r="H2037" s="19">
        <v>1396</v>
      </c>
      <c r="I2037" s="19" t="s">
        <v>0</v>
      </c>
      <c r="J2037" s="19" t="s">
        <v>5</v>
      </c>
      <c r="K2037" s="20">
        <v>5</v>
      </c>
      <c r="L2037" s="21">
        <v>349.24</v>
      </c>
      <c r="M2037" s="22">
        <v>0.18</v>
      </c>
      <c r="N2037" s="21">
        <f t="shared" si="159"/>
        <v>286.3768</v>
      </c>
      <c r="O2037" s="21">
        <v>1431.88</v>
      </c>
      <c r="P2037" s="19" t="s">
        <v>4</v>
      </c>
      <c r="Q2037" s="23">
        <v>3</v>
      </c>
      <c r="R2037" s="45">
        <v>1.6</v>
      </c>
    </row>
    <row r="2038" spans="2:18" x14ac:dyDescent="0.2">
      <c r="B2038" s="25">
        <v>2035</v>
      </c>
      <c r="C2038" s="18">
        <v>45865</v>
      </c>
      <c r="D2038" s="24">
        <f t="shared" si="155"/>
        <v>2025</v>
      </c>
      <c r="E2038" s="24" t="str">
        <f t="shared" si="156"/>
        <v>Q3</v>
      </c>
      <c r="F2038" s="24" t="str">
        <f t="shared" si="157"/>
        <v>Jul</v>
      </c>
      <c r="G2038" s="24">
        <f t="shared" si="158"/>
        <v>7</v>
      </c>
      <c r="H2038" s="19">
        <v>1721</v>
      </c>
      <c r="I2038" s="19" t="s">
        <v>3</v>
      </c>
      <c r="J2038" s="19" t="s">
        <v>5</v>
      </c>
      <c r="K2038" s="20">
        <v>3</v>
      </c>
      <c r="L2038" s="21">
        <v>102.74</v>
      </c>
      <c r="M2038" s="22">
        <v>0.33</v>
      </c>
      <c r="N2038" s="21">
        <f t="shared" si="159"/>
        <v>68.835799999999992</v>
      </c>
      <c r="O2038" s="21">
        <v>206.51</v>
      </c>
      <c r="P2038" s="19" t="s">
        <v>2</v>
      </c>
      <c r="Q2038" s="23">
        <v>5</v>
      </c>
      <c r="R2038" s="45">
        <v>2.7</v>
      </c>
    </row>
    <row r="2039" spans="2:18" x14ac:dyDescent="0.2">
      <c r="B2039" s="25">
        <v>2036</v>
      </c>
      <c r="C2039" s="18">
        <v>45866</v>
      </c>
      <c r="D2039" s="24">
        <f t="shared" si="155"/>
        <v>2025</v>
      </c>
      <c r="E2039" s="24" t="str">
        <f t="shared" si="156"/>
        <v>Q3</v>
      </c>
      <c r="F2039" s="24" t="str">
        <f t="shared" si="157"/>
        <v>Jul</v>
      </c>
      <c r="G2039" s="24">
        <f t="shared" si="158"/>
        <v>7</v>
      </c>
      <c r="H2039" s="19">
        <v>1160</v>
      </c>
      <c r="I2039" s="19" t="s">
        <v>10</v>
      </c>
      <c r="J2039" s="19" t="s">
        <v>1</v>
      </c>
      <c r="K2039" s="20">
        <v>3</v>
      </c>
      <c r="L2039" s="21">
        <v>473.59</v>
      </c>
      <c r="M2039" s="22">
        <v>0.21</v>
      </c>
      <c r="N2039" s="21">
        <f t="shared" si="159"/>
        <v>374.1361</v>
      </c>
      <c r="O2039" s="21">
        <v>1122.4100000000001</v>
      </c>
      <c r="P2039" s="19" t="s">
        <v>4</v>
      </c>
      <c r="Q2039" s="23">
        <v>11</v>
      </c>
      <c r="R2039" s="45">
        <v>4.0999999999999996</v>
      </c>
    </row>
    <row r="2040" spans="2:18" x14ac:dyDescent="0.2">
      <c r="B2040" s="25">
        <v>2037</v>
      </c>
      <c r="C2040" s="18">
        <v>45867</v>
      </c>
      <c r="D2040" s="24">
        <f t="shared" si="155"/>
        <v>2025</v>
      </c>
      <c r="E2040" s="24" t="str">
        <f t="shared" si="156"/>
        <v>Q3</v>
      </c>
      <c r="F2040" s="24" t="str">
        <f t="shared" si="157"/>
        <v>Jul</v>
      </c>
      <c r="G2040" s="24">
        <f t="shared" si="158"/>
        <v>7</v>
      </c>
      <c r="H2040" s="19">
        <v>1015</v>
      </c>
      <c r="I2040" s="19" t="s">
        <v>0</v>
      </c>
      <c r="J2040" s="19" t="s">
        <v>9</v>
      </c>
      <c r="K2040" s="20">
        <v>7</v>
      </c>
      <c r="L2040" s="21">
        <v>209.48</v>
      </c>
      <c r="M2040" s="22">
        <v>0.21</v>
      </c>
      <c r="N2040" s="21">
        <f t="shared" si="159"/>
        <v>165.48919999999998</v>
      </c>
      <c r="O2040" s="21">
        <v>1158.42</v>
      </c>
      <c r="P2040" s="19" t="s">
        <v>4</v>
      </c>
      <c r="Q2040" s="23">
        <v>6</v>
      </c>
      <c r="R2040" s="45">
        <v>4.8</v>
      </c>
    </row>
    <row r="2041" spans="2:18" x14ac:dyDescent="0.2">
      <c r="B2041" s="25">
        <v>2038</v>
      </c>
      <c r="C2041" s="18">
        <v>45868</v>
      </c>
      <c r="D2041" s="24">
        <f t="shared" si="155"/>
        <v>2025</v>
      </c>
      <c r="E2041" s="24" t="str">
        <f t="shared" si="156"/>
        <v>Q3</v>
      </c>
      <c r="F2041" s="24" t="str">
        <f t="shared" si="157"/>
        <v>Jul</v>
      </c>
      <c r="G2041" s="24">
        <f t="shared" si="158"/>
        <v>7</v>
      </c>
      <c r="H2041" s="19">
        <v>1492</v>
      </c>
      <c r="I2041" s="19" t="s">
        <v>10</v>
      </c>
      <c r="J2041" s="19" t="s">
        <v>9</v>
      </c>
      <c r="K2041" s="20">
        <v>5</v>
      </c>
      <c r="L2041" s="21">
        <v>360.94</v>
      </c>
      <c r="M2041" s="22">
        <v>0.04</v>
      </c>
      <c r="N2041" s="21">
        <f t="shared" si="159"/>
        <v>346.50240000000002</v>
      </c>
      <c r="O2041" s="21">
        <v>1732.51</v>
      </c>
      <c r="P2041" s="19" t="s">
        <v>6</v>
      </c>
      <c r="Q2041" s="23">
        <v>9</v>
      </c>
      <c r="R2041" s="45">
        <v>4.5999999999999996</v>
      </c>
    </row>
    <row r="2042" spans="2:18" x14ac:dyDescent="0.2">
      <c r="B2042" s="25">
        <v>2039</v>
      </c>
      <c r="C2042" s="18">
        <v>45869</v>
      </c>
      <c r="D2042" s="24">
        <f t="shared" si="155"/>
        <v>2025</v>
      </c>
      <c r="E2042" s="24" t="str">
        <f t="shared" si="156"/>
        <v>Q3</v>
      </c>
      <c r="F2042" s="24" t="str">
        <f t="shared" si="157"/>
        <v>Jul</v>
      </c>
      <c r="G2042" s="24">
        <f t="shared" si="158"/>
        <v>7</v>
      </c>
      <c r="H2042" s="19">
        <v>1425</v>
      </c>
      <c r="I2042" s="19" t="s">
        <v>7</v>
      </c>
      <c r="J2042" s="19" t="s">
        <v>9</v>
      </c>
      <c r="K2042" s="20">
        <v>7</v>
      </c>
      <c r="L2042" s="21">
        <v>433.65</v>
      </c>
      <c r="M2042" s="22">
        <v>0.35</v>
      </c>
      <c r="N2042" s="21">
        <f t="shared" si="159"/>
        <v>281.8725</v>
      </c>
      <c r="O2042" s="21">
        <v>1973.11</v>
      </c>
      <c r="P2042" s="19" t="s">
        <v>4</v>
      </c>
      <c r="Q2042" s="23">
        <v>2</v>
      </c>
      <c r="R2042" s="45">
        <v>2</v>
      </c>
    </row>
    <row r="2043" spans="2:18" x14ac:dyDescent="0.2">
      <c r="B2043" s="25">
        <v>2040</v>
      </c>
      <c r="C2043" s="18">
        <v>45870</v>
      </c>
      <c r="D2043" s="24">
        <f t="shared" si="155"/>
        <v>2025</v>
      </c>
      <c r="E2043" s="24" t="str">
        <f t="shared" si="156"/>
        <v>Q3</v>
      </c>
      <c r="F2043" s="24" t="str">
        <f t="shared" si="157"/>
        <v>Aug</v>
      </c>
      <c r="G2043" s="24">
        <f t="shared" si="158"/>
        <v>8</v>
      </c>
      <c r="H2043" s="19">
        <v>1107</v>
      </c>
      <c r="I2043" s="19" t="s">
        <v>0</v>
      </c>
      <c r="J2043" s="19" t="s">
        <v>5</v>
      </c>
      <c r="K2043" s="20">
        <v>3</v>
      </c>
      <c r="L2043" s="21">
        <v>535.09</v>
      </c>
      <c r="M2043" s="22">
        <v>0.27</v>
      </c>
      <c r="N2043" s="21">
        <f t="shared" si="159"/>
        <v>390.6157</v>
      </c>
      <c r="O2043" s="21">
        <v>1171.8499999999999</v>
      </c>
      <c r="P2043" s="19" t="s">
        <v>6</v>
      </c>
      <c r="Q2043" s="23">
        <v>5</v>
      </c>
      <c r="R2043" s="45">
        <v>1.3</v>
      </c>
    </row>
    <row r="2044" spans="2:18" x14ac:dyDescent="0.2">
      <c r="B2044" s="25">
        <v>2041</v>
      </c>
      <c r="C2044" s="18">
        <v>45871</v>
      </c>
      <c r="D2044" s="24">
        <f t="shared" si="155"/>
        <v>2025</v>
      </c>
      <c r="E2044" s="24" t="str">
        <f t="shared" si="156"/>
        <v>Q3</v>
      </c>
      <c r="F2044" s="24" t="str">
        <f t="shared" si="157"/>
        <v>Aug</v>
      </c>
      <c r="G2044" s="24">
        <f t="shared" si="158"/>
        <v>8</v>
      </c>
      <c r="H2044" s="19">
        <v>1893</v>
      </c>
      <c r="I2044" s="19" t="s">
        <v>3</v>
      </c>
      <c r="J2044" s="19" t="s">
        <v>5</v>
      </c>
      <c r="K2044" s="20">
        <v>6</v>
      </c>
      <c r="L2044" s="21">
        <v>503.94</v>
      </c>
      <c r="M2044" s="22">
        <v>0.31</v>
      </c>
      <c r="N2044" s="21">
        <f t="shared" si="159"/>
        <v>347.71860000000004</v>
      </c>
      <c r="O2044" s="21">
        <v>2086.31</v>
      </c>
      <c r="P2044" s="19" t="s">
        <v>2</v>
      </c>
      <c r="Q2044" s="23">
        <v>7</v>
      </c>
      <c r="R2044" s="45">
        <v>2.2000000000000002</v>
      </c>
    </row>
    <row r="2045" spans="2:18" x14ac:dyDescent="0.2">
      <c r="B2045" s="25">
        <v>2042</v>
      </c>
      <c r="C2045" s="18">
        <v>45872</v>
      </c>
      <c r="D2045" s="24">
        <f t="shared" si="155"/>
        <v>2025</v>
      </c>
      <c r="E2045" s="24" t="str">
        <f t="shared" si="156"/>
        <v>Q3</v>
      </c>
      <c r="F2045" s="24" t="str">
        <f t="shared" si="157"/>
        <v>Aug</v>
      </c>
      <c r="G2045" s="24">
        <f t="shared" si="158"/>
        <v>8</v>
      </c>
      <c r="H2045" s="19">
        <v>1449</v>
      </c>
      <c r="I2045" s="19" t="s">
        <v>7</v>
      </c>
      <c r="J2045" s="19" t="s">
        <v>5</v>
      </c>
      <c r="K2045" s="20">
        <v>2</v>
      </c>
      <c r="L2045" s="21">
        <v>370.86</v>
      </c>
      <c r="M2045" s="22">
        <v>0.15</v>
      </c>
      <c r="N2045" s="21">
        <f t="shared" si="159"/>
        <v>315.23099999999999</v>
      </c>
      <c r="O2045" s="21">
        <v>630.46</v>
      </c>
      <c r="P2045" s="19" t="s">
        <v>6</v>
      </c>
      <c r="Q2045" s="23">
        <v>11</v>
      </c>
      <c r="R2045" s="45">
        <v>2.7</v>
      </c>
    </row>
    <row r="2046" spans="2:18" x14ac:dyDescent="0.2">
      <c r="B2046" s="25">
        <v>2043</v>
      </c>
      <c r="C2046" s="18">
        <v>45873</v>
      </c>
      <c r="D2046" s="24">
        <f t="shared" si="155"/>
        <v>2025</v>
      </c>
      <c r="E2046" s="24" t="str">
        <f t="shared" si="156"/>
        <v>Q3</v>
      </c>
      <c r="F2046" s="24" t="str">
        <f t="shared" si="157"/>
        <v>Aug</v>
      </c>
      <c r="G2046" s="24">
        <f t="shared" si="158"/>
        <v>8</v>
      </c>
      <c r="H2046" s="19">
        <v>1310</v>
      </c>
      <c r="I2046" s="19" t="s">
        <v>7</v>
      </c>
      <c r="J2046" s="19" t="s">
        <v>5</v>
      </c>
      <c r="K2046" s="20">
        <v>3</v>
      </c>
      <c r="L2046" s="21">
        <v>242.21</v>
      </c>
      <c r="M2046" s="22">
        <v>0.18</v>
      </c>
      <c r="N2046" s="21">
        <f t="shared" si="159"/>
        <v>198.6122</v>
      </c>
      <c r="O2046" s="21">
        <v>595.84</v>
      </c>
      <c r="P2046" s="19" t="s">
        <v>6</v>
      </c>
      <c r="Q2046" s="23">
        <v>11</v>
      </c>
      <c r="R2046" s="45">
        <v>2.4</v>
      </c>
    </row>
    <row r="2047" spans="2:18" x14ac:dyDescent="0.2">
      <c r="B2047" s="25">
        <v>2044</v>
      </c>
      <c r="C2047" s="18">
        <v>45874</v>
      </c>
      <c r="D2047" s="24">
        <f t="shared" si="155"/>
        <v>2025</v>
      </c>
      <c r="E2047" s="24" t="str">
        <f t="shared" si="156"/>
        <v>Q3</v>
      </c>
      <c r="F2047" s="24" t="str">
        <f t="shared" si="157"/>
        <v>Aug</v>
      </c>
      <c r="G2047" s="24">
        <f t="shared" si="158"/>
        <v>8</v>
      </c>
      <c r="H2047" s="19">
        <v>1738</v>
      </c>
      <c r="I2047" s="19" t="s">
        <v>3</v>
      </c>
      <c r="J2047" s="19" t="s">
        <v>8</v>
      </c>
      <c r="K2047" s="20">
        <v>6</v>
      </c>
      <c r="L2047" s="21">
        <v>309.37</v>
      </c>
      <c r="M2047" s="22">
        <v>0.18</v>
      </c>
      <c r="N2047" s="21">
        <f t="shared" si="159"/>
        <v>253.68340000000001</v>
      </c>
      <c r="O2047" s="21">
        <v>1522.1</v>
      </c>
      <c r="P2047" s="19" t="s">
        <v>4</v>
      </c>
      <c r="Q2047" s="23">
        <v>7</v>
      </c>
      <c r="R2047" s="45">
        <v>4.0999999999999996</v>
      </c>
    </row>
    <row r="2048" spans="2:18" x14ac:dyDescent="0.2">
      <c r="B2048" s="25">
        <v>2045</v>
      </c>
      <c r="C2048" s="18">
        <v>45875</v>
      </c>
      <c r="D2048" s="24">
        <f t="shared" si="155"/>
        <v>2025</v>
      </c>
      <c r="E2048" s="24" t="str">
        <f t="shared" si="156"/>
        <v>Q3</v>
      </c>
      <c r="F2048" s="24" t="str">
        <f t="shared" si="157"/>
        <v>Aug</v>
      </c>
      <c r="G2048" s="24">
        <f t="shared" si="158"/>
        <v>8</v>
      </c>
      <c r="H2048" s="19">
        <v>1169</v>
      </c>
      <c r="I2048" s="19" t="s">
        <v>7</v>
      </c>
      <c r="J2048" s="19" t="s">
        <v>5</v>
      </c>
      <c r="K2048" s="20">
        <v>3</v>
      </c>
      <c r="L2048" s="21">
        <v>464.71</v>
      </c>
      <c r="M2048" s="22">
        <v>7.0000000000000007E-2</v>
      </c>
      <c r="N2048" s="21">
        <f t="shared" si="159"/>
        <v>432.18029999999999</v>
      </c>
      <c r="O2048" s="21">
        <v>1296.54</v>
      </c>
      <c r="P2048" s="19" t="s">
        <v>6</v>
      </c>
      <c r="Q2048" s="23">
        <v>4</v>
      </c>
      <c r="R2048" s="45">
        <v>2</v>
      </c>
    </row>
    <row r="2049" spans="2:18" x14ac:dyDescent="0.2">
      <c r="B2049" s="25">
        <v>2046</v>
      </c>
      <c r="C2049" s="18">
        <v>45876</v>
      </c>
      <c r="D2049" s="24">
        <f t="shared" si="155"/>
        <v>2025</v>
      </c>
      <c r="E2049" s="24" t="str">
        <f t="shared" si="156"/>
        <v>Q3</v>
      </c>
      <c r="F2049" s="24" t="str">
        <f t="shared" si="157"/>
        <v>Aug</v>
      </c>
      <c r="G2049" s="24">
        <f t="shared" si="158"/>
        <v>8</v>
      </c>
      <c r="H2049" s="19">
        <v>1545</v>
      </c>
      <c r="I2049" s="19" t="s">
        <v>7</v>
      </c>
      <c r="J2049" s="19" t="s">
        <v>1</v>
      </c>
      <c r="K2049" s="20">
        <v>6</v>
      </c>
      <c r="L2049" s="21">
        <v>528.36</v>
      </c>
      <c r="M2049" s="22">
        <v>0.24</v>
      </c>
      <c r="N2049" s="21">
        <f t="shared" si="159"/>
        <v>401.55360000000002</v>
      </c>
      <c r="O2049" s="21">
        <v>2409.3200000000002</v>
      </c>
      <c r="P2049" s="19" t="s">
        <v>6</v>
      </c>
      <c r="Q2049" s="23">
        <v>3</v>
      </c>
      <c r="R2049" s="45">
        <v>4.4000000000000004</v>
      </c>
    </row>
    <row r="2050" spans="2:18" x14ac:dyDescent="0.2">
      <c r="B2050" s="25">
        <v>2047</v>
      </c>
      <c r="C2050" s="18">
        <v>45877</v>
      </c>
      <c r="D2050" s="24">
        <f t="shared" si="155"/>
        <v>2025</v>
      </c>
      <c r="E2050" s="24" t="str">
        <f t="shared" si="156"/>
        <v>Q3</v>
      </c>
      <c r="F2050" s="24" t="str">
        <f t="shared" si="157"/>
        <v>Aug</v>
      </c>
      <c r="G2050" s="24">
        <f t="shared" si="158"/>
        <v>8</v>
      </c>
      <c r="H2050" s="19">
        <v>1413</v>
      </c>
      <c r="I2050" s="19" t="s">
        <v>7</v>
      </c>
      <c r="J2050" s="19" t="s">
        <v>8</v>
      </c>
      <c r="K2050" s="20">
        <v>5</v>
      </c>
      <c r="L2050" s="21">
        <v>75.709999999999994</v>
      </c>
      <c r="M2050" s="22">
        <v>0.32</v>
      </c>
      <c r="N2050" s="21">
        <f t="shared" si="159"/>
        <v>51.482799999999997</v>
      </c>
      <c r="O2050" s="21">
        <v>257.41000000000003</v>
      </c>
      <c r="P2050" s="19" t="s">
        <v>2</v>
      </c>
      <c r="Q2050" s="23">
        <v>8</v>
      </c>
      <c r="R2050" s="45">
        <v>1.9</v>
      </c>
    </row>
    <row r="2051" spans="2:18" x14ac:dyDescent="0.2">
      <c r="B2051" s="25">
        <v>2048</v>
      </c>
      <c r="C2051" s="18">
        <v>45878</v>
      </c>
      <c r="D2051" s="24">
        <f t="shared" si="155"/>
        <v>2025</v>
      </c>
      <c r="E2051" s="24" t="str">
        <f t="shared" si="156"/>
        <v>Q3</v>
      </c>
      <c r="F2051" s="24" t="str">
        <f t="shared" si="157"/>
        <v>Aug</v>
      </c>
      <c r="G2051" s="24">
        <f t="shared" si="158"/>
        <v>8</v>
      </c>
      <c r="H2051" s="19">
        <v>1250</v>
      </c>
      <c r="I2051" s="19" t="s">
        <v>10</v>
      </c>
      <c r="J2051" s="19" t="s">
        <v>8</v>
      </c>
      <c r="K2051" s="20">
        <v>1</v>
      </c>
      <c r="L2051" s="21">
        <v>240.14</v>
      </c>
      <c r="M2051" s="22">
        <v>0.06</v>
      </c>
      <c r="N2051" s="21">
        <f t="shared" si="159"/>
        <v>225.73159999999999</v>
      </c>
      <c r="O2051" s="21">
        <v>225.73</v>
      </c>
      <c r="P2051" s="19" t="s">
        <v>4</v>
      </c>
      <c r="Q2051" s="23">
        <v>2</v>
      </c>
      <c r="R2051" s="45">
        <v>2.4</v>
      </c>
    </row>
    <row r="2052" spans="2:18" x14ac:dyDescent="0.2">
      <c r="B2052" s="25">
        <v>2049</v>
      </c>
      <c r="C2052" s="18">
        <v>45879</v>
      </c>
      <c r="D2052" s="24">
        <f t="shared" ref="D2052:D2115" si="160">YEAR(C2052)</f>
        <v>2025</v>
      </c>
      <c r="E2052" s="24" t="str">
        <f t="shared" ref="E2052:E2115" si="161">"Q"&amp;ROUNDUP(MONTH(C2052)/3,0)</f>
        <v>Q3</v>
      </c>
      <c r="F2052" s="24" t="str">
        <f t="shared" ref="F2052:F2115" si="162">TEXT(C2052,"mmm")</f>
        <v>Aug</v>
      </c>
      <c r="G2052" s="24">
        <f t="shared" ref="G2052:G2115" si="163">MONTH(C2052)</f>
        <v>8</v>
      </c>
      <c r="H2052" s="19">
        <v>1758</v>
      </c>
      <c r="I2052" s="19" t="s">
        <v>0</v>
      </c>
      <c r="J2052" s="19" t="s">
        <v>5</v>
      </c>
      <c r="K2052" s="20">
        <v>4</v>
      </c>
      <c r="L2052" s="21">
        <v>469.03</v>
      </c>
      <c r="M2052" s="22">
        <v>0.03</v>
      </c>
      <c r="N2052" s="21">
        <f t="shared" si="159"/>
        <v>454.95909999999998</v>
      </c>
      <c r="O2052" s="21">
        <v>1819.84</v>
      </c>
      <c r="P2052" s="19" t="s">
        <v>6</v>
      </c>
      <c r="Q2052" s="23">
        <v>5</v>
      </c>
      <c r="R2052" s="45">
        <v>2.8</v>
      </c>
    </row>
    <row r="2053" spans="2:18" x14ac:dyDescent="0.2">
      <c r="B2053" s="25">
        <v>2050</v>
      </c>
      <c r="C2053" s="18">
        <v>45880</v>
      </c>
      <c r="D2053" s="24">
        <f t="shared" si="160"/>
        <v>2025</v>
      </c>
      <c r="E2053" s="24" t="str">
        <f t="shared" si="161"/>
        <v>Q3</v>
      </c>
      <c r="F2053" s="24" t="str">
        <f t="shared" si="162"/>
        <v>Aug</v>
      </c>
      <c r="G2053" s="24">
        <f t="shared" si="163"/>
        <v>8</v>
      </c>
      <c r="H2053" s="19">
        <v>1780</v>
      </c>
      <c r="I2053" s="19" t="s">
        <v>7</v>
      </c>
      <c r="J2053" s="19" t="s">
        <v>9</v>
      </c>
      <c r="K2053" s="20">
        <v>3</v>
      </c>
      <c r="L2053" s="21">
        <v>267.52</v>
      </c>
      <c r="M2053" s="22">
        <v>0.26</v>
      </c>
      <c r="N2053" s="21">
        <f t="shared" ref="N2053:N2116" si="164">L2053-(L2053*M2053)</f>
        <v>197.96479999999997</v>
      </c>
      <c r="O2053" s="21">
        <v>593.89</v>
      </c>
      <c r="P2053" s="19" t="s">
        <v>4</v>
      </c>
      <c r="Q2053" s="23">
        <v>10</v>
      </c>
      <c r="R2053" s="45">
        <v>2.2000000000000002</v>
      </c>
    </row>
    <row r="2054" spans="2:18" x14ac:dyDescent="0.2">
      <c r="B2054" s="25">
        <v>2051</v>
      </c>
      <c r="C2054" s="18">
        <v>45881</v>
      </c>
      <c r="D2054" s="24">
        <f t="shared" si="160"/>
        <v>2025</v>
      </c>
      <c r="E2054" s="24" t="str">
        <f t="shared" si="161"/>
        <v>Q3</v>
      </c>
      <c r="F2054" s="24" t="str">
        <f t="shared" si="162"/>
        <v>Aug</v>
      </c>
      <c r="G2054" s="24">
        <f t="shared" si="163"/>
        <v>8</v>
      </c>
      <c r="H2054" s="19">
        <v>1140</v>
      </c>
      <c r="I2054" s="19" t="s">
        <v>0</v>
      </c>
      <c r="J2054" s="19" t="s">
        <v>5</v>
      </c>
      <c r="K2054" s="20">
        <v>4</v>
      </c>
      <c r="L2054" s="21">
        <v>209.35</v>
      </c>
      <c r="M2054" s="22">
        <v>0.1</v>
      </c>
      <c r="N2054" s="21">
        <f t="shared" si="164"/>
        <v>188.41499999999999</v>
      </c>
      <c r="O2054" s="21">
        <v>753.66</v>
      </c>
      <c r="P2054" s="19" t="s">
        <v>4</v>
      </c>
      <c r="Q2054" s="23">
        <v>5</v>
      </c>
      <c r="R2054" s="45">
        <v>4.0999999999999996</v>
      </c>
    </row>
    <row r="2055" spans="2:18" x14ac:dyDescent="0.2">
      <c r="B2055" s="25">
        <v>2052</v>
      </c>
      <c r="C2055" s="18">
        <v>45882</v>
      </c>
      <c r="D2055" s="24">
        <f t="shared" si="160"/>
        <v>2025</v>
      </c>
      <c r="E2055" s="24" t="str">
        <f t="shared" si="161"/>
        <v>Q3</v>
      </c>
      <c r="F2055" s="24" t="str">
        <f t="shared" si="162"/>
        <v>Aug</v>
      </c>
      <c r="G2055" s="24">
        <f t="shared" si="163"/>
        <v>8</v>
      </c>
      <c r="H2055" s="19">
        <v>1273</v>
      </c>
      <c r="I2055" s="19" t="s">
        <v>0</v>
      </c>
      <c r="J2055" s="19" t="s">
        <v>9</v>
      </c>
      <c r="K2055" s="20">
        <v>3</v>
      </c>
      <c r="L2055" s="21">
        <v>255.62</v>
      </c>
      <c r="M2055" s="22">
        <v>0.22</v>
      </c>
      <c r="N2055" s="21">
        <f t="shared" si="164"/>
        <v>199.3836</v>
      </c>
      <c r="O2055" s="21">
        <v>598.15</v>
      </c>
      <c r="P2055" s="19" t="s">
        <v>4</v>
      </c>
      <c r="Q2055" s="23">
        <v>1</v>
      </c>
      <c r="R2055" s="45">
        <v>2.6</v>
      </c>
    </row>
    <row r="2056" spans="2:18" x14ac:dyDescent="0.2">
      <c r="B2056" s="25">
        <v>2053</v>
      </c>
      <c r="C2056" s="18">
        <v>45883</v>
      </c>
      <c r="D2056" s="24">
        <f t="shared" si="160"/>
        <v>2025</v>
      </c>
      <c r="E2056" s="24" t="str">
        <f t="shared" si="161"/>
        <v>Q3</v>
      </c>
      <c r="F2056" s="24" t="str">
        <f t="shared" si="162"/>
        <v>Aug</v>
      </c>
      <c r="G2056" s="24">
        <f t="shared" si="163"/>
        <v>8</v>
      </c>
      <c r="H2056" s="19">
        <v>1415</v>
      </c>
      <c r="I2056" s="19" t="s">
        <v>10</v>
      </c>
      <c r="J2056" s="19" t="s">
        <v>5</v>
      </c>
      <c r="K2056" s="20">
        <v>5</v>
      </c>
      <c r="L2056" s="21">
        <v>367.66</v>
      </c>
      <c r="M2056" s="22">
        <v>0.24</v>
      </c>
      <c r="N2056" s="21">
        <f t="shared" si="164"/>
        <v>279.42160000000001</v>
      </c>
      <c r="O2056" s="21">
        <v>1397.11</v>
      </c>
      <c r="P2056" s="19" t="s">
        <v>4</v>
      </c>
      <c r="Q2056" s="23">
        <v>7</v>
      </c>
      <c r="R2056" s="45">
        <v>4.5</v>
      </c>
    </row>
    <row r="2057" spans="2:18" x14ac:dyDescent="0.2">
      <c r="B2057" s="25">
        <v>2054</v>
      </c>
      <c r="C2057" s="18">
        <v>45884</v>
      </c>
      <c r="D2057" s="24">
        <f t="shared" si="160"/>
        <v>2025</v>
      </c>
      <c r="E2057" s="24" t="str">
        <f t="shared" si="161"/>
        <v>Q3</v>
      </c>
      <c r="F2057" s="24" t="str">
        <f t="shared" si="162"/>
        <v>Aug</v>
      </c>
      <c r="G2057" s="24">
        <f t="shared" si="163"/>
        <v>8</v>
      </c>
      <c r="H2057" s="19">
        <v>1607</v>
      </c>
      <c r="I2057" s="19" t="s">
        <v>7</v>
      </c>
      <c r="J2057" s="19" t="s">
        <v>5</v>
      </c>
      <c r="K2057" s="20">
        <v>5</v>
      </c>
      <c r="L2057" s="21">
        <v>599.89</v>
      </c>
      <c r="M2057" s="22">
        <v>0.11</v>
      </c>
      <c r="N2057" s="21">
        <f t="shared" si="164"/>
        <v>533.90210000000002</v>
      </c>
      <c r="O2057" s="21">
        <v>2669.51</v>
      </c>
      <c r="P2057" s="19" t="s">
        <v>4</v>
      </c>
      <c r="Q2057" s="23">
        <v>4</v>
      </c>
      <c r="R2057" s="45">
        <v>4.9000000000000004</v>
      </c>
    </row>
    <row r="2058" spans="2:18" x14ac:dyDescent="0.2">
      <c r="B2058" s="25">
        <v>2055</v>
      </c>
      <c r="C2058" s="18">
        <v>45885</v>
      </c>
      <c r="D2058" s="24">
        <f t="shared" si="160"/>
        <v>2025</v>
      </c>
      <c r="E2058" s="24" t="str">
        <f t="shared" si="161"/>
        <v>Q3</v>
      </c>
      <c r="F2058" s="24" t="str">
        <f t="shared" si="162"/>
        <v>Aug</v>
      </c>
      <c r="G2058" s="24">
        <f t="shared" si="163"/>
        <v>8</v>
      </c>
      <c r="H2058" s="19">
        <v>1738</v>
      </c>
      <c r="I2058" s="19" t="s">
        <v>10</v>
      </c>
      <c r="J2058" s="19" t="s">
        <v>9</v>
      </c>
      <c r="K2058" s="20">
        <v>6</v>
      </c>
      <c r="L2058" s="21">
        <v>303.39999999999998</v>
      </c>
      <c r="M2058" s="22">
        <v>0.28999999999999998</v>
      </c>
      <c r="N2058" s="21">
        <f t="shared" si="164"/>
        <v>215.41399999999999</v>
      </c>
      <c r="O2058" s="21">
        <v>1292.48</v>
      </c>
      <c r="P2058" s="19" t="s">
        <v>4</v>
      </c>
      <c r="Q2058" s="23">
        <v>10</v>
      </c>
      <c r="R2058" s="45">
        <v>4.4000000000000004</v>
      </c>
    </row>
    <row r="2059" spans="2:18" x14ac:dyDescent="0.2">
      <c r="B2059" s="25">
        <v>2056</v>
      </c>
      <c r="C2059" s="18">
        <v>45886</v>
      </c>
      <c r="D2059" s="24">
        <f t="shared" si="160"/>
        <v>2025</v>
      </c>
      <c r="E2059" s="24" t="str">
        <f t="shared" si="161"/>
        <v>Q3</v>
      </c>
      <c r="F2059" s="24" t="str">
        <f t="shared" si="162"/>
        <v>Aug</v>
      </c>
      <c r="G2059" s="24">
        <f t="shared" si="163"/>
        <v>8</v>
      </c>
      <c r="H2059" s="19">
        <v>1890</v>
      </c>
      <c r="I2059" s="19" t="s">
        <v>0</v>
      </c>
      <c r="J2059" s="19" t="s">
        <v>9</v>
      </c>
      <c r="K2059" s="20">
        <v>3</v>
      </c>
      <c r="L2059" s="21">
        <v>136.97</v>
      </c>
      <c r="M2059" s="22">
        <v>0.19</v>
      </c>
      <c r="N2059" s="21">
        <f t="shared" si="164"/>
        <v>110.9457</v>
      </c>
      <c r="O2059" s="21">
        <v>332.84</v>
      </c>
      <c r="P2059" s="19" t="s">
        <v>2</v>
      </c>
      <c r="Q2059" s="23">
        <v>2</v>
      </c>
      <c r="R2059" s="45">
        <v>3.1</v>
      </c>
    </row>
    <row r="2060" spans="2:18" x14ac:dyDescent="0.2">
      <c r="B2060" s="25">
        <v>2057</v>
      </c>
      <c r="C2060" s="18">
        <v>45887</v>
      </c>
      <c r="D2060" s="24">
        <f t="shared" si="160"/>
        <v>2025</v>
      </c>
      <c r="E2060" s="24" t="str">
        <f t="shared" si="161"/>
        <v>Q3</v>
      </c>
      <c r="F2060" s="24" t="str">
        <f t="shared" si="162"/>
        <v>Aug</v>
      </c>
      <c r="G2060" s="24">
        <f t="shared" si="163"/>
        <v>8</v>
      </c>
      <c r="H2060" s="19">
        <v>1038</v>
      </c>
      <c r="I2060" s="19" t="s">
        <v>10</v>
      </c>
      <c r="J2060" s="19" t="s">
        <v>9</v>
      </c>
      <c r="K2060" s="20">
        <v>5</v>
      </c>
      <c r="L2060" s="21">
        <v>110.27</v>
      </c>
      <c r="M2060" s="22">
        <v>0.3</v>
      </c>
      <c r="N2060" s="21">
        <f t="shared" si="164"/>
        <v>77.188999999999993</v>
      </c>
      <c r="O2060" s="21">
        <v>385.94</v>
      </c>
      <c r="P2060" s="19" t="s">
        <v>4</v>
      </c>
      <c r="Q2060" s="23">
        <v>8</v>
      </c>
      <c r="R2060" s="45">
        <v>3</v>
      </c>
    </row>
    <row r="2061" spans="2:18" x14ac:dyDescent="0.2">
      <c r="B2061" s="25">
        <v>2058</v>
      </c>
      <c r="C2061" s="18">
        <v>45888</v>
      </c>
      <c r="D2061" s="24">
        <f t="shared" si="160"/>
        <v>2025</v>
      </c>
      <c r="E2061" s="24" t="str">
        <f t="shared" si="161"/>
        <v>Q3</v>
      </c>
      <c r="F2061" s="24" t="str">
        <f t="shared" si="162"/>
        <v>Aug</v>
      </c>
      <c r="G2061" s="24">
        <f t="shared" si="163"/>
        <v>8</v>
      </c>
      <c r="H2061" s="19">
        <v>1813</v>
      </c>
      <c r="I2061" s="19" t="s">
        <v>7</v>
      </c>
      <c r="J2061" s="19" t="s">
        <v>9</v>
      </c>
      <c r="K2061" s="20">
        <v>5</v>
      </c>
      <c r="L2061" s="21">
        <v>39.770000000000003</v>
      </c>
      <c r="M2061" s="22">
        <v>0.27</v>
      </c>
      <c r="N2061" s="21">
        <f t="shared" si="164"/>
        <v>29.0321</v>
      </c>
      <c r="O2061" s="21">
        <v>145.16</v>
      </c>
      <c r="P2061" s="19" t="s">
        <v>2</v>
      </c>
      <c r="Q2061" s="23">
        <v>4</v>
      </c>
      <c r="R2061" s="45">
        <v>1.9</v>
      </c>
    </row>
    <row r="2062" spans="2:18" x14ac:dyDescent="0.2">
      <c r="B2062" s="25">
        <v>2059</v>
      </c>
      <c r="C2062" s="18">
        <v>45889</v>
      </c>
      <c r="D2062" s="24">
        <f t="shared" si="160"/>
        <v>2025</v>
      </c>
      <c r="E2062" s="24" t="str">
        <f t="shared" si="161"/>
        <v>Q3</v>
      </c>
      <c r="F2062" s="24" t="str">
        <f t="shared" si="162"/>
        <v>Aug</v>
      </c>
      <c r="G2062" s="24">
        <f t="shared" si="163"/>
        <v>8</v>
      </c>
      <c r="H2062" s="19">
        <v>1028</v>
      </c>
      <c r="I2062" s="19" t="s">
        <v>3</v>
      </c>
      <c r="J2062" s="19" t="s">
        <v>1</v>
      </c>
      <c r="K2062" s="20">
        <v>3</v>
      </c>
      <c r="L2062" s="21">
        <v>341.91</v>
      </c>
      <c r="M2062" s="22">
        <v>0.3</v>
      </c>
      <c r="N2062" s="21">
        <f t="shared" si="164"/>
        <v>239.33700000000002</v>
      </c>
      <c r="O2062" s="21">
        <v>718.01</v>
      </c>
      <c r="P2062" s="19" t="s">
        <v>4</v>
      </c>
      <c r="Q2062" s="23">
        <v>1</v>
      </c>
      <c r="R2062" s="45">
        <v>3.4</v>
      </c>
    </row>
    <row r="2063" spans="2:18" x14ac:dyDescent="0.2">
      <c r="B2063" s="25">
        <v>2060</v>
      </c>
      <c r="C2063" s="18">
        <v>45890</v>
      </c>
      <c r="D2063" s="24">
        <f t="shared" si="160"/>
        <v>2025</v>
      </c>
      <c r="E2063" s="24" t="str">
        <f t="shared" si="161"/>
        <v>Q3</v>
      </c>
      <c r="F2063" s="24" t="str">
        <f t="shared" si="162"/>
        <v>Aug</v>
      </c>
      <c r="G2063" s="24">
        <f t="shared" si="163"/>
        <v>8</v>
      </c>
      <c r="H2063" s="19">
        <v>1957</v>
      </c>
      <c r="I2063" s="19" t="s">
        <v>3</v>
      </c>
      <c r="J2063" s="19" t="s">
        <v>9</v>
      </c>
      <c r="K2063" s="20">
        <v>6</v>
      </c>
      <c r="L2063" s="21">
        <v>333.57</v>
      </c>
      <c r="M2063" s="22">
        <v>0.01</v>
      </c>
      <c r="N2063" s="21">
        <f t="shared" si="164"/>
        <v>330.23430000000002</v>
      </c>
      <c r="O2063" s="21">
        <v>1981.41</v>
      </c>
      <c r="P2063" s="19" t="s">
        <v>4</v>
      </c>
      <c r="Q2063" s="23">
        <v>8</v>
      </c>
      <c r="R2063" s="45">
        <v>4.8</v>
      </c>
    </row>
    <row r="2064" spans="2:18" x14ac:dyDescent="0.2">
      <c r="B2064" s="25">
        <v>2061</v>
      </c>
      <c r="C2064" s="18">
        <v>45891</v>
      </c>
      <c r="D2064" s="24">
        <f t="shared" si="160"/>
        <v>2025</v>
      </c>
      <c r="E2064" s="24" t="str">
        <f t="shared" si="161"/>
        <v>Q3</v>
      </c>
      <c r="F2064" s="24" t="str">
        <f t="shared" si="162"/>
        <v>Aug</v>
      </c>
      <c r="G2064" s="24">
        <f t="shared" si="163"/>
        <v>8</v>
      </c>
      <c r="H2064" s="19">
        <v>1476</v>
      </c>
      <c r="I2064" s="19" t="s">
        <v>3</v>
      </c>
      <c r="J2064" s="19" t="s">
        <v>5</v>
      </c>
      <c r="K2064" s="20">
        <v>6</v>
      </c>
      <c r="L2064" s="21">
        <v>135.06</v>
      </c>
      <c r="M2064" s="22">
        <v>0.09</v>
      </c>
      <c r="N2064" s="21">
        <f t="shared" si="164"/>
        <v>122.9046</v>
      </c>
      <c r="O2064" s="21">
        <v>737.43</v>
      </c>
      <c r="P2064" s="19" t="s">
        <v>6</v>
      </c>
      <c r="Q2064" s="23">
        <v>11</v>
      </c>
      <c r="R2064" s="45">
        <v>1.3</v>
      </c>
    </row>
    <row r="2065" spans="2:18" x14ac:dyDescent="0.2">
      <c r="B2065" s="25">
        <v>2062</v>
      </c>
      <c r="C2065" s="18">
        <v>45892</v>
      </c>
      <c r="D2065" s="24">
        <f t="shared" si="160"/>
        <v>2025</v>
      </c>
      <c r="E2065" s="24" t="str">
        <f t="shared" si="161"/>
        <v>Q3</v>
      </c>
      <c r="F2065" s="24" t="str">
        <f t="shared" si="162"/>
        <v>Aug</v>
      </c>
      <c r="G2065" s="24">
        <f t="shared" si="163"/>
        <v>8</v>
      </c>
      <c r="H2065" s="19">
        <v>1317</v>
      </c>
      <c r="I2065" s="19" t="s">
        <v>7</v>
      </c>
      <c r="J2065" s="19" t="s">
        <v>5</v>
      </c>
      <c r="K2065" s="20">
        <v>6</v>
      </c>
      <c r="L2065" s="21">
        <v>421.77</v>
      </c>
      <c r="M2065" s="22">
        <v>0.03</v>
      </c>
      <c r="N2065" s="21">
        <f t="shared" si="164"/>
        <v>409.11689999999999</v>
      </c>
      <c r="O2065" s="21">
        <v>2454.6999999999998</v>
      </c>
      <c r="P2065" s="19" t="s">
        <v>6</v>
      </c>
      <c r="Q2065" s="23">
        <v>7</v>
      </c>
      <c r="R2065" s="45">
        <v>4</v>
      </c>
    </row>
    <row r="2066" spans="2:18" x14ac:dyDescent="0.2">
      <c r="B2066" s="25">
        <v>2063</v>
      </c>
      <c r="C2066" s="18">
        <v>45893</v>
      </c>
      <c r="D2066" s="24">
        <f t="shared" si="160"/>
        <v>2025</v>
      </c>
      <c r="E2066" s="24" t="str">
        <f t="shared" si="161"/>
        <v>Q3</v>
      </c>
      <c r="F2066" s="24" t="str">
        <f t="shared" si="162"/>
        <v>Aug</v>
      </c>
      <c r="G2066" s="24">
        <f t="shared" si="163"/>
        <v>8</v>
      </c>
      <c r="H2066" s="19">
        <v>1244</v>
      </c>
      <c r="I2066" s="19" t="s">
        <v>7</v>
      </c>
      <c r="J2066" s="19" t="s">
        <v>1</v>
      </c>
      <c r="K2066" s="20">
        <v>6</v>
      </c>
      <c r="L2066" s="21">
        <v>448.55</v>
      </c>
      <c r="M2066" s="22">
        <v>0.15</v>
      </c>
      <c r="N2066" s="21">
        <f t="shared" si="164"/>
        <v>381.26750000000004</v>
      </c>
      <c r="O2066" s="21">
        <v>2287.6</v>
      </c>
      <c r="P2066" s="19" t="s">
        <v>6</v>
      </c>
      <c r="Q2066" s="23">
        <v>3</v>
      </c>
      <c r="R2066" s="45">
        <v>4.5</v>
      </c>
    </row>
    <row r="2067" spans="2:18" x14ac:dyDescent="0.2">
      <c r="B2067" s="25">
        <v>2064</v>
      </c>
      <c r="C2067" s="18">
        <v>45894</v>
      </c>
      <c r="D2067" s="24">
        <f t="shared" si="160"/>
        <v>2025</v>
      </c>
      <c r="E2067" s="24" t="str">
        <f t="shared" si="161"/>
        <v>Q3</v>
      </c>
      <c r="F2067" s="24" t="str">
        <f t="shared" si="162"/>
        <v>Aug</v>
      </c>
      <c r="G2067" s="24">
        <f t="shared" si="163"/>
        <v>8</v>
      </c>
      <c r="H2067" s="19">
        <v>1747</v>
      </c>
      <c r="I2067" s="19" t="s">
        <v>10</v>
      </c>
      <c r="J2067" s="19" t="s">
        <v>9</v>
      </c>
      <c r="K2067" s="20">
        <v>1</v>
      </c>
      <c r="L2067" s="21">
        <v>166.57</v>
      </c>
      <c r="M2067" s="22">
        <v>0.31</v>
      </c>
      <c r="N2067" s="21">
        <f t="shared" si="164"/>
        <v>114.9333</v>
      </c>
      <c r="O2067" s="21">
        <v>114.93</v>
      </c>
      <c r="P2067" s="19" t="s">
        <v>6</v>
      </c>
      <c r="Q2067" s="23">
        <v>3</v>
      </c>
      <c r="R2067" s="45">
        <v>4.9000000000000004</v>
      </c>
    </row>
    <row r="2068" spans="2:18" x14ac:dyDescent="0.2">
      <c r="B2068" s="25">
        <v>2065</v>
      </c>
      <c r="C2068" s="18">
        <v>45895</v>
      </c>
      <c r="D2068" s="24">
        <f t="shared" si="160"/>
        <v>2025</v>
      </c>
      <c r="E2068" s="24" t="str">
        <f t="shared" si="161"/>
        <v>Q3</v>
      </c>
      <c r="F2068" s="24" t="str">
        <f t="shared" si="162"/>
        <v>Aug</v>
      </c>
      <c r="G2068" s="24">
        <f t="shared" si="163"/>
        <v>8</v>
      </c>
      <c r="H2068" s="19">
        <v>1696</v>
      </c>
      <c r="I2068" s="19" t="s">
        <v>0</v>
      </c>
      <c r="J2068" s="19" t="s">
        <v>5</v>
      </c>
      <c r="K2068" s="20">
        <v>3</v>
      </c>
      <c r="L2068" s="21">
        <v>216.3</v>
      </c>
      <c r="M2068" s="22">
        <v>0.16</v>
      </c>
      <c r="N2068" s="21">
        <f t="shared" si="164"/>
        <v>181.69200000000001</v>
      </c>
      <c r="O2068" s="21">
        <v>545.08000000000004</v>
      </c>
      <c r="P2068" s="19" t="s">
        <v>4</v>
      </c>
      <c r="Q2068" s="23">
        <v>7</v>
      </c>
      <c r="R2068" s="45">
        <v>2.2999999999999998</v>
      </c>
    </row>
    <row r="2069" spans="2:18" x14ac:dyDescent="0.2">
      <c r="B2069" s="25">
        <v>2066</v>
      </c>
      <c r="C2069" s="18">
        <v>45896</v>
      </c>
      <c r="D2069" s="24">
        <f t="shared" si="160"/>
        <v>2025</v>
      </c>
      <c r="E2069" s="24" t="str">
        <f t="shared" si="161"/>
        <v>Q3</v>
      </c>
      <c r="F2069" s="24" t="str">
        <f t="shared" si="162"/>
        <v>Aug</v>
      </c>
      <c r="G2069" s="24">
        <f t="shared" si="163"/>
        <v>8</v>
      </c>
      <c r="H2069" s="19">
        <v>1271</v>
      </c>
      <c r="I2069" s="19" t="s">
        <v>7</v>
      </c>
      <c r="J2069" s="19" t="s">
        <v>1</v>
      </c>
      <c r="K2069" s="20">
        <v>7</v>
      </c>
      <c r="L2069" s="21">
        <v>594.42999999999995</v>
      </c>
      <c r="M2069" s="22">
        <v>0.3</v>
      </c>
      <c r="N2069" s="21">
        <f t="shared" si="164"/>
        <v>416.101</v>
      </c>
      <c r="O2069" s="21">
        <v>2912.71</v>
      </c>
      <c r="P2069" s="19" t="s">
        <v>6</v>
      </c>
      <c r="Q2069" s="23">
        <v>2</v>
      </c>
      <c r="R2069" s="45">
        <v>2.4</v>
      </c>
    </row>
    <row r="2070" spans="2:18" x14ac:dyDescent="0.2">
      <c r="B2070" s="25">
        <v>2067</v>
      </c>
      <c r="C2070" s="18">
        <v>45897</v>
      </c>
      <c r="D2070" s="24">
        <f t="shared" si="160"/>
        <v>2025</v>
      </c>
      <c r="E2070" s="24" t="str">
        <f t="shared" si="161"/>
        <v>Q3</v>
      </c>
      <c r="F2070" s="24" t="str">
        <f t="shared" si="162"/>
        <v>Aug</v>
      </c>
      <c r="G2070" s="24">
        <f t="shared" si="163"/>
        <v>8</v>
      </c>
      <c r="H2070" s="19">
        <v>1439</v>
      </c>
      <c r="I2070" s="19" t="s">
        <v>0</v>
      </c>
      <c r="J2070" s="19" t="s">
        <v>5</v>
      </c>
      <c r="K2070" s="20">
        <v>1</v>
      </c>
      <c r="L2070" s="21">
        <v>233.94</v>
      </c>
      <c r="M2070" s="22">
        <v>0.11</v>
      </c>
      <c r="N2070" s="21">
        <f t="shared" si="164"/>
        <v>208.20660000000001</v>
      </c>
      <c r="O2070" s="21">
        <v>208.21</v>
      </c>
      <c r="P2070" s="19" t="s">
        <v>6</v>
      </c>
      <c r="Q2070" s="23">
        <v>5</v>
      </c>
      <c r="R2070" s="45">
        <v>1.9</v>
      </c>
    </row>
    <row r="2071" spans="2:18" x14ac:dyDescent="0.2">
      <c r="B2071" s="25">
        <v>2068</v>
      </c>
      <c r="C2071" s="18">
        <v>45898</v>
      </c>
      <c r="D2071" s="24">
        <f t="shared" si="160"/>
        <v>2025</v>
      </c>
      <c r="E2071" s="24" t="str">
        <f t="shared" si="161"/>
        <v>Q3</v>
      </c>
      <c r="F2071" s="24" t="str">
        <f t="shared" si="162"/>
        <v>Aug</v>
      </c>
      <c r="G2071" s="24">
        <f t="shared" si="163"/>
        <v>8</v>
      </c>
      <c r="H2071" s="19">
        <v>1747</v>
      </c>
      <c r="I2071" s="19" t="s">
        <v>7</v>
      </c>
      <c r="J2071" s="19" t="s">
        <v>1</v>
      </c>
      <c r="K2071" s="20">
        <v>5</v>
      </c>
      <c r="L2071" s="21">
        <v>460.07</v>
      </c>
      <c r="M2071" s="22">
        <v>0.12</v>
      </c>
      <c r="N2071" s="21">
        <f t="shared" si="164"/>
        <v>404.86160000000001</v>
      </c>
      <c r="O2071" s="21">
        <v>2024.31</v>
      </c>
      <c r="P2071" s="19" t="s">
        <v>4</v>
      </c>
      <c r="Q2071" s="23">
        <v>7</v>
      </c>
      <c r="R2071" s="45">
        <v>4.2</v>
      </c>
    </row>
    <row r="2072" spans="2:18" x14ac:dyDescent="0.2">
      <c r="B2072" s="25">
        <v>2069</v>
      </c>
      <c r="C2072" s="18">
        <v>45899</v>
      </c>
      <c r="D2072" s="24">
        <f t="shared" si="160"/>
        <v>2025</v>
      </c>
      <c r="E2072" s="24" t="str">
        <f t="shared" si="161"/>
        <v>Q3</v>
      </c>
      <c r="F2072" s="24" t="str">
        <f t="shared" si="162"/>
        <v>Aug</v>
      </c>
      <c r="G2072" s="24">
        <f t="shared" si="163"/>
        <v>8</v>
      </c>
      <c r="H2072" s="19">
        <v>1238</v>
      </c>
      <c r="I2072" s="19" t="s">
        <v>10</v>
      </c>
      <c r="J2072" s="19" t="s">
        <v>1</v>
      </c>
      <c r="K2072" s="20">
        <v>1</v>
      </c>
      <c r="L2072" s="21">
        <v>279.83999999999997</v>
      </c>
      <c r="M2072" s="22">
        <v>0.31</v>
      </c>
      <c r="N2072" s="21">
        <f t="shared" si="164"/>
        <v>193.08959999999999</v>
      </c>
      <c r="O2072" s="21">
        <v>193.09</v>
      </c>
      <c r="P2072" s="19" t="s">
        <v>2</v>
      </c>
      <c r="Q2072" s="23">
        <v>6</v>
      </c>
      <c r="R2072" s="45">
        <v>1.6</v>
      </c>
    </row>
    <row r="2073" spans="2:18" x14ac:dyDescent="0.2">
      <c r="B2073" s="25">
        <v>2070</v>
      </c>
      <c r="C2073" s="18">
        <v>45900</v>
      </c>
      <c r="D2073" s="24">
        <f t="shared" si="160"/>
        <v>2025</v>
      </c>
      <c r="E2073" s="24" t="str">
        <f t="shared" si="161"/>
        <v>Q3</v>
      </c>
      <c r="F2073" s="24" t="str">
        <f t="shared" si="162"/>
        <v>Aug</v>
      </c>
      <c r="G2073" s="24">
        <f t="shared" si="163"/>
        <v>8</v>
      </c>
      <c r="H2073" s="19">
        <v>1376</v>
      </c>
      <c r="I2073" s="19" t="s">
        <v>10</v>
      </c>
      <c r="J2073" s="19" t="s">
        <v>8</v>
      </c>
      <c r="K2073" s="20">
        <v>7</v>
      </c>
      <c r="L2073" s="21">
        <v>479.11</v>
      </c>
      <c r="M2073" s="22">
        <v>0.15</v>
      </c>
      <c r="N2073" s="21">
        <f t="shared" si="164"/>
        <v>407.24350000000004</v>
      </c>
      <c r="O2073" s="21">
        <v>2850.7</v>
      </c>
      <c r="P2073" s="19" t="s">
        <v>6</v>
      </c>
      <c r="Q2073" s="23">
        <v>10</v>
      </c>
      <c r="R2073" s="45">
        <v>2.1</v>
      </c>
    </row>
    <row r="2074" spans="2:18" x14ac:dyDescent="0.2">
      <c r="B2074" s="25">
        <v>2071</v>
      </c>
      <c r="C2074" s="18">
        <v>45901</v>
      </c>
      <c r="D2074" s="24">
        <f t="shared" si="160"/>
        <v>2025</v>
      </c>
      <c r="E2074" s="24" t="str">
        <f t="shared" si="161"/>
        <v>Q3</v>
      </c>
      <c r="F2074" s="24" t="str">
        <f t="shared" si="162"/>
        <v>Sep</v>
      </c>
      <c r="G2074" s="24">
        <f t="shared" si="163"/>
        <v>9</v>
      </c>
      <c r="H2074" s="19">
        <v>1265</v>
      </c>
      <c r="I2074" s="19" t="s">
        <v>10</v>
      </c>
      <c r="J2074" s="19" t="s">
        <v>8</v>
      </c>
      <c r="K2074" s="20">
        <v>7</v>
      </c>
      <c r="L2074" s="21">
        <v>464.88</v>
      </c>
      <c r="M2074" s="22">
        <v>0.28000000000000003</v>
      </c>
      <c r="N2074" s="21">
        <f t="shared" si="164"/>
        <v>334.71359999999999</v>
      </c>
      <c r="O2074" s="21">
        <v>2343</v>
      </c>
      <c r="P2074" s="19" t="s">
        <v>4</v>
      </c>
      <c r="Q2074" s="23">
        <v>7</v>
      </c>
      <c r="R2074" s="45">
        <v>2.2000000000000002</v>
      </c>
    </row>
    <row r="2075" spans="2:18" x14ac:dyDescent="0.2">
      <c r="B2075" s="25">
        <v>2072</v>
      </c>
      <c r="C2075" s="18">
        <v>45902</v>
      </c>
      <c r="D2075" s="24">
        <f t="shared" si="160"/>
        <v>2025</v>
      </c>
      <c r="E2075" s="24" t="str">
        <f t="shared" si="161"/>
        <v>Q3</v>
      </c>
      <c r="F2075" s="24" t="str">
        <f t="shared" si="162"/>
        <v>Sep</v>
      </c>
      <c r="G2075" s="24">
        <f t="shared" si="163"/>
        <v>9</v>
      </c>
      <c r="H2075" s="19">
        <v>1925</v>
      </c>
      <c r="I2075" s="19" t="s">
        <v>0</v>
      </c>
      <c r="J2075" s="19" t="s">
        <v>9</v>
      </c>
      <c r="K2075" s="20">
        <v>7</v>
      </c>
      <c r="L2075" s="21">
        <v>405.64</v>
      </c>
      <c r="M2075" s="22">
        <v>0.08</v>
      </c>
      <c r="N2075" s="21">
        <f t="shared" si="164"/>
        <v>373.18880000000001</v>
      </c>
      <c r="O2075" s="21">
        <v>2612.3200000000002</v>
      </c>
      <c r="P2075" s="19" t="s">
        <v>2</v>
      </c>
      <c r="Q2075" s="23">
        <v>2</v>
      </c>
      <c r="R2075" s="45">
        <v>2.5</v>
      </c>
    </row>
    <row r="2076" spans="2:18" x14ac:dyDescent="0.2">
      <c r="B2076" s="25">
        <v>2073</v>
      </c>
      <c r="C2076" s="18">
        <v>45903</v>
      </c>
      <c r="D2076" s="24">
        <f t="shared" si="160"/>
        <v>2025</v>
      </c>
      <c r="E2076" s="24" t="str">
        <f t="shared" si="161"/>
        <v>Q3</v>
      </c>
      <c r="F2076" s="24" t="str">
        <f t="shared" si="162"/>
        <v>Sep</v>
      </c>
      <c r="G2076" s="24">
        <f t="shared" si="163"/>
        <v>9</v>
      </c>
      <c r="H2076" s="19">
        <v>1920</v>
      </c>
      <c r="I2076" s="19" t="s">
        <v>7</v>
      </c>
      <c r="J2076" s="19" t="s">
        <v>8</v>
      </c>
      <c r="K2076" s="20">
        <v>6</v>
      </c>
      <c r="L2076" s="21">
        <v>515.04999999999995</v>
      </c>
      <c r="M2076" s="22">
        <v>0.33</v>
      </c>
      <c r="N2076" s="21">
        <f t="shared" si="164"/>
        <v>345.08349999999996</v>
      </c>
      <c r="O2076" s="21">
        <v>2070.5</v>
      </c>
      <c r="P2076" s="19" t="s">
        <v>2</v>
      </c>
      <c r="Q2076" s="23">
        <v>7</v>
      </c>
      <c r="R2076" s="45">
        <v>2.7</v>
      </c>
    </row>
    <row r="2077" spans="2:18" x14ac:dyDescent="0.2">
      <c r="B2077" s="25">
        <v>2074</v>
      </c>
      <c r="C2077" s="18">
        <v>45904</v>
      </c>
      <c r="D2077" s="24">
        <f t="shared" si="160"/>
        <v>2025</v>
      </c>
      <c r="E2077" s="24" t="str">
        <f t="shared" si="161"/>
        <v>Q3</v>
      </c>
      <c r="F2077" s="24" t="str">
        <f t="shared" si="162"/>
        <v>Sep</v>
      </c>
      <c r="G2077" s="24">
        <f t="shared" si="163"/>
        <v>9</v>
      </c>
      <c r="H2077" s="19">
        <v>1358</v>
      </c>
      <c r="I2077" s="19" t="s">
        <v>0</v>
      </c>
      <c r="J2077" s="19" t="s">
        <v>1</v>
      </c>
      <c r="K2077" s="20">
        <v>5</v>
      </c>
      <c r="L2077" s="21">
        <v>564.44000000000005</v>
      </c>
      <c r="M2077" s="22">
        <v>0.2</v>
      </c>
      <c r="N2077" s="21">
        <f t="shared" si="164"/>
        <v>451.55200000000002</v>
      </c>
      <c r="O2077" s="21">
        <v>2257.7600000000002</v>
      </c>
      <c r="P2077" s="19" t="s">
        <v>6</v>
      </c>
      <c r="Q2077" s="23">
        <v>2</v>
      </c>
      <c r="R2077" s="45">
        <v>3.2</v>
      </c>
    </row>
    <row r="2078" spans="2:18" x14ac:dyDescent="0.2">
      <c r="B2078" s="25">
        <v>2075</v>
      </c>
      <c r="C2078" s="18">
        <v>45905</v>
      </c>
      <c r="D2078" s="24">
        <f t="shared" si="160"/>
        <v>2025</v>
      </c>
      <c r="E2078" s="24" t="str">
        <f t="shared" si="161"/>
        <v>Q3</v>
      </c>
      <c r="F2078" s="24" t="str">
        <f t="shared" si="162"/>
        <v>Sep</v>
      </c>
      <c r="G2078" s="24">
        <f t="shared" si="163"/>
        <v>9</v>
      </c>
      <c r="H2078" s="19">
        <v>1339</v>
      </c>
      <c r="I2078" s="19" t="s">
        <v>7</v>
      </c>
      <c r="J2078" s="19" t="s">
        <v>5</v>
      </c>
      <c r="K2078" s="20">
        <v>1</v>
      </c>
      <c r="L2078" s="21">
        <v>354.29</v>
      </c>
      <c r="M2078" s="22">
        <v>0.27</v>
      </c>
      <c r="N2078" s="21">
        <f t="shared" si="164"/>
        <v>258.63170000000002</v>
      </c>
      <c r="O2078" s="21">
        <v>258.63</v>
      </c>
      <c r="P2078" s="19" t="s">
        <v>4</v>
      </c>
      <c r="Q2078" s="23">
        <v>7</v>
      </c>
      <c r="R2078" s="45">
        <v>4.8</v>
      </c>
    </row>
    <row r="2079" spans="2:18" x14ac:dyDescent="0.2">
      <c r="B2079" s="25">
        <v>2076</v>
      </c>
      <c r="C2079" s="18">
        <v>45906</v>
      </c>
      <c r="D2079" s="24">
        <f t="shared" si="160"/>
        <v>2025</v>
      </c>
      <c r="E2079" s="24" t="str">
        <f t="shared" si="161"/>
        <v>Q3</v>
      </c>
      <c r="F2079" s="24" t="str">
        <f t="shared" si="162"/>
        <v>Sep</v>
      </c>
      <c r="G2079" s="24">
        <f t="shared" si="163"/>
        <v>9</v>
      </c>
      <c r="H2079" s="19">
        <v>1388</v>
      </c>
      <c r="I2079" s="19" t="s">
        <v>10</v>
      </c>
      <c r="J2079" s="19" t="s">
        <v>5</v>
      </c>
      <c r="K2079" s="20">
        <v>1</v>
      </c>
      <c r="L2079" s="21">
        <v>153.91999999999999</v>
      </c>
      <c r="M2079" s="22">
        <v>0.03</v>
      </c>
      <c r="N2079" s="21">
        <f t="shared" si="164"/>
        <v>149.30239999999998</v>
      </c>
      <c r="O2079" s="21">
        <v>149.30000000000001</v>
      </c>
      <c r="P2079" s="19" t="s">
        <v>2</v>
      </c>
      <c r="Q2079" s="23">
        <v>8</v>
      </c>
      <c r="R2079" s="45">
        <v>2</v>
      </c>
    </row>
    <row r="2080" spans="2:18" x14ac:dyDescent="0.2">
      <c r="B2080" s="25">
        <v>2077</v>
      </c>
      <c r="C2080" s="18">
        <v>45907</v>
      </c>
      <c r="D2080" s="24">
        <f t="shared" si="160"/>
        <v>2025</v>
      </c>
      <c r="E2080" s="24" t="str">
        <f t="shared" si="161"/>
        <v>Q3</v>
      </c>
      <c r="F2080" s="24" t="str">
        <f t="shared" si="162"/>
        <v>Sep</v>
      </c>
      <c r="G2080" s="24">
        <f t="shared" si="163"/>
        <v>9</v>
      </c>
      <c r="H2080" s="19">
        <v>1576</v>
      </c>
      <c r="I2080" s="19" t="s">
        <v>10</v>
      </c>
      <c r="J2080" s="19" t="s">
        <v>9</v>
      </c>
      <c r="K2080" s="20">
        <v>3</v>
      </c>
      <c r="L2080" s="21">
        <v>248.2</v>
      </c>
      <c r="M2080" s="22">
        <v>0.17</v>
      </c>
      <c r="N2080" s="21">
        <f t="shared" si="164"/>
        <v>206.00599999999997</v>
      </c>
      <c r="O2080" s="21">
        <v>618.02</v>
      </c>
      <c r="P2080" s="19" t="s">
        <v>4</v>
      </c>
      <c r="Q2080" s="23">
        <v>10</v>
      </c>
      <c r="R2080" s="45">
        <v>4.0999999999999996</v>
      </c>
    </row>
    <row r="2081" spans="2:18" x14ac:dyDescent="0.2">
      <c r="B2081" s="25">
        <v>2078</v>
      </c>
      <c r="C2081" s="18">
        <v>45908</v>
      </c>
      <c r="D2081" s="24">
        <f t="shared" si="160"/>
        <v>2025</v>
      </c>
      <c r="E2081" s="24" t="str">
        <f t="shared" si="161"/>
        <v>Q3</v>
      </c>
      <c r="F2081" s="24" t="str">
        <f t="shared" si="162"/>
        <v>Sep</v>
      </c>
      <c r="G2081" s="24">
        <f t="shared" si="163"/>
        <v>9</v>
      </c>
      <c r="H2081" s="19">
        <v>1989</v>
      </c>
      <c r="I2081" s="19" t="s">
        <v>10</v>
      </c>
      <c r="J2081" s="19" t="s">
        <v>8</v>
      </c>
      <c r="K2081" s="20">
        <v>1</v>
      </c>
      <c r="L2081" s="21">
        <v>458.61</v>
      </c>
      <c r="M2081" s="22">
        <v>0.32</v>
      </c>
      <c r="N2081" s="21">
        <f t="shared" si="164"/>
        <v>311.85480000000001</v>
      </c>
      <c r="O2081" s="21">
        <v>311.85000000000002</v>
      </c>
      <c r="P2081" s="19" t="s">
        <v>4</v>
      </c>
      <c r="Q2081" s="23">
        <v>8</v>
      </c>
      <c r="R2081" s="45">
        <v>3.7</v>
      </c>
    </row>
    <row r="2082" spans="2:18" x14ac:dyDescent="0.2">
      <c r="B2082" s="25">
        <v>2079</v>
      </c>
      <c r="C2082" s="18">
        <v>45909</v>
      </c>
      <c r="D2082" s="24">
        <f t="shared" si="160"/>
        <v>2025</v>
      </c>
      <c r="E2082" s="24" t="str">
        <f t="shared" si="161"/>
        <v>Q3</v>
      </c>
      <c r="F2082" s="24" t="str">
        <f t="shared" si="162"/>
        <v>Sep</v>
      </c>
      <c r="G2082" s="24">
        <f t="shared" si="163"/>
        <v>9</v>
      </c>
      <c r="H2082" s="19">
        <v>1688</v>
      </c>
      <c r="I2082" s="19" t="s">
        <v>7</v>
      </c>
      <c r="J2082" s="19" t="s">
        <v>9</v>
      </c>
      <c r="K2082" s="20">
        <v>5</v>
      </c>
      <c r="L2082" s="21">
        <v>395.77</v>
      </c>
      <c r="M2082" s="22">
        <v>0.31</v>
      </c>
      <c r="N2082" s="21">
        <f t="shared" si="164"/>
        <v>273.0813</v>
      </c>
      <c r="O2082" s="21">
        <v>1365.41</v>
      </c>
      <c r="P2082" s="19" t="s">
        <v>4</v>
      </c>
      <c r="Q2082" s="23">
        <v>5</v>
      </c>
      <c r="R2082" s="45">
        <v>1.5</v>
      </c>
    </row>
    <row r="2083" spans="2:18" x14ac:dyDescent="0.2">
      <c r="B2083" s="25">
        <v>2080</v>
      </c>
      <c r="C2083" s="18">
        <v>45910</v>
      </c>
      <c r="D2083" s="24">
        <f t="shared" si="160"/>
        <v>2025</v>
      </c>
      <c r="E2083" s="24" t="str">
        <f t="shared" si="161"/>
        <v>Q3</v>
      </c>
      <c r="F2083" s="24" t="str">
        <f t="shared" si="162"/>
        <v>Sep</v>
      </c>
      <c r="G2083" s="24">
        <f t="shared" si="163"/>
        <v>9</v>
      </c>
      <c r="H2083" s="19">
        <v>1002</v>
      </c>
      <c r="I2083" s="19" t="s">
        <v>0</v>
      </c>
      <c r="J2083" s="19" t="s">
        <v>1</v>
      </c>
      <c r="K2083" s="20">
        <v>6</v>
      </c>
      <c r="L2083" s="21">
        <v>119.01</v>
      </c>
      <c r="M2083" s="22">
        <v>0.02</v>
      </c>
      <c r="N2083" s="21">
        <f t="shared" si="164"/>
        <v>116.6298</v>
      </c>
      <c r="O2083" s="21">
        <v>699.78</v>
      </c>
      <c r="P2083" s="19" t="s">
        <v>6</v>
      </c>
      <c r="Q2083" s="23">
        <v>7</v>
      </c>
      <c r="R2083" s="45">
        <v>4.2</v>
      </c>
    </row>
    <row r="2084" spans="2:18" x14ac:dyDescent="0.2">
      <c r="B2084" s="25">
        <v>2081</v>
      </c>
      <c r="C2084" s="18">
        <v>45911</v>
      </c>
      <c r="D2084" s="24">
        <f t="shared" si="160"/>
        <v>2025</v>
      </c>
      <c r="E2084" s="24" t="str">
        <f t="shared" si="161"/>
        <v>Q3</v>
      </c>
      <c r="F2084" s="24" t="str">
        <f t="shared" si="162"/>
        <v>Sep</v>
      </c>
      <c r="G2084" s="24">
        <f t="shared" si="163"/>
        <v>9</v>
      </c>
      <c r="H2084" s="19">
        <v>1428</v>
      </c>
      <c r="I2084" s="19" t="s">
        <v>7</v>
      </c>
      <c r="J2084" s="19" t="s">
        <v>8</v>
      </c>
      <c r="K2084" s="20">
        <v>3</v>
      </c>
      <c r="L2084" s="21">
        <v>44.98</v>
      </c>
      <c r="M2084" s="22">
        <v>0.11</v>
      </c>
      <c r="N2084" s="21">
        <f t="shared" si="164"/>
        <v>40.032199999999996</v>
      </c>
      <c r="O2084" s="21">
        <v>120.1</v>
      </c>
      <c r="P2084" s="19" t="s">
        <v>2</v>
      </c>
      <c r="Q2084" s="23">
        <v>11</v>
      </c>
      <c r="R2084" s="45">
        <v>1.4</v>
      </c>
    </row>
    <row r="2085" spans="2:18" x14ac:dyDescent="0.2">
      <c r="B2085" s="25">
        <v>2082</v>
      </c>
      <c r="C2085" s="18">
        <v>45912</v>
      </c>
      <c r="D2085" s="24">
        <f t="shared" si="160"/>
        <v>2025</v>
      </c>
      <c r="E2085" s="24" t="str">
        <f t="shared" si="161"/>
        <v>Q3</v>
      </c>
      <c r="F2085" s="24" t="str">
        <f t="shared" si="162"/>
        <v>Sep</v>
      </c>
      <c r="G2085" s="24">
        <f t="shared" si="163"/>
        <v>9</v>
      </c>
      <c r="H2085" s="19">
        <v>1141</v>
      </c>
      <c r="I2085" s="19" t="s">
        <v>7</v>
      </c>
      <c r="J2085" s="19" t="s">
        <v>9</v>
      </c>
      <c r="K2085" s="20">
        <v>1</v>
      </c>
      <c r="L2085" s="21">
        <v>414.53</v>
      </c>
      <c r="M2085" s="22">
        <v>0.16</v>
      </c>
      <c r="N2085" s="21">
        <f t="shared" si="164"/>
        <v>348.20519999999999</v>
      </c>
      <c r="O2085" s="21">
        <v>348.21</v>
      </c>
      <c r="P2085" s="19" t="s">
        <v>6</v>
      </c>
      <c r="Q2085" s="23">
        <v>8</v>
      </c>
      <c r="R2085" s="45">
        <v>4</v>
      </c>
    </row>
    <row r="2086" spans="2:18" x14ac:dyDescent="0.2">
      <c r="B2086" s="25">
        <v>2083</v>
      </c>
      <c r="C2086" s="18">
        <v>45913</v>
      </c>
      <c r="D2086" s="24">
        <f t="shared" si="160"/>
        <v>2025</v>
      </c>
      <c r="E2086" s="24" t="str">
        <f t="shared" si="161"/>
        <v>Q3</v>
      </c>
      <c r="F2086" s="24" t="str">
        <f t="shared" si="162"/>
        <v>Sep</v>
      </c>
      <c r="G2086" s="24">
        <f t="shared" si="163"/>
        <v>9</v>
      </c>
      <c r="H2086" s="19">
        <v>1375</v>
      </c>
      <c r="I2086" s="19" t="s">
        <v>10</v>
      </c>
      <c r="J2086" s="19" t="s">
        <v>5</v>
      </c>
      <c r="K2086" s="20">
        <v>3</v>
      </c>
      <c r="L2086" s="21">
        <v>161.88</v>
      </c>
      <c r="M2086" s="22">
        <v>0.06</v>
      </c>
      <c r="N2086" s="21">
        <f t="shared" si="164"/>
        <v>152.16720000000001</v>
      </c>
      <c r="O2086" s="21">
        <v>456.5</v>
      </c>
      <c r="P2086" s="19" t="s">
        <v>2</v>
      </c>
      <c r="Q2086" s="23">
        <v>4</v>
      </c>
      <c r="R2086" s="45">
        <v>3.9</v>
      </c>
    </row>
    <row r="2087" spans="2:18" x14ac:dyDescent="0.2">
      <c r="B2087" s="25">
        <v>2084</v>
      </c>
      <c r="C2087" s="18">
        <v>45914</v>
      </c>
      <c r="D2087" s="24">
        <f t="shared" si="160"/>
        <v>2025</v>
      </c>
      <c r="E2087" s="24" t="str">
        <f t="shared" si="161"/>
        <v>Q3</v>
      </c>
      <c r="F2087" s="24" t="str">
        <f t="shared" si="162"/>
        <v>Sep</v>
      </c>
      <c r="G2087" s="24">
        <f t="shared" si="163"/>
        <v>9</v>
      </c>
      <c r="H2087" s="19">
        <v>1669</v>
      </c>
      <c r="I2087" s="19" t="s">
        <v>3</v>
      </c>
      <c r="J2087" s="19" t="s">
        <v>5</v>
      </c>
      <c r="K2087" s="20">
        <v>4</v>
      </c>
      <c r="L2087" s="21">
        <v>307.31</v>
      </c>
      <c r="M2087" s="22">
        <v>0.26</v>
      </c>
      <c r="N2087" s="21">
        <f t="shared" si="164"/>
        <v>227.40940000000001</v>
      </c>
      <c r="O2087" s="21">
        <v>909.64</v>
      </c>
      <c r="P2087" s="19" t="s">
        <v>4</v>
      </c>
      <c r="Q2087" s="23">
        <v>2</v>
      </c>
      <c r="R2087" s="45">
        <v>3.8</v>
      </c>
    </row>
    <row r="2088" spans="2:18" x14ac:dyDescent="0.2">
      <c r="B2088" s="25">
        <v>2085</v>
      </c>
      <c r="C2088" s="18">
        <v>45915</v>
      </c>
      <c r="D2088" s="24">
        <f t="shared" si="160"/>
        <v>2025</v>
      </c>
      <c r="E2088" s="24" t="str">
        <f t="shared" si="161"/>
        <v>Q3</v>
      </c>
      <c r="F2088" s="24" t="str">
        <f t="shared" si="162"/>
        <v>Sep</v>
      </c>
      <c r="G2088" s="24">
        <f t="shared" si="163"/>
        <v>9</v>
      </c>
      <c r="H2088" s="19">
        <v>1323</v>
      </c>
      <c r="I2088" s="19" t="s">
        <v>10</v>
      </c>
      <c r="J2088" s="19" t="s">
        <v>9</v>
      </c>
      <c r="K2088" s="20">
        <v>3</v>
      </c>
      <c r="L2088" s="21">
        <v>451.85</v>
      </c>
      <c r="M2088" s="22">
        <v>0.06</v>
      </c>
      <c r="N2088" s="21">
        <f t="shared" si="164"/>
        <v>424.73900000000003</v>
      </c>
      <c r="O2088" s="21">
        <v>1274.22</v>
      </c>
      <c r="P2088" s="19" t="s">
        <v>4</v>
      </c>
      <c r="Q2088" s="23">
        <v>7</v>
      </c>
      <c r="R2088" s="45">
        <v>2.1</v>
      </c>
    </row>
    <row r="2089" spans="2:18" x14ac:dyDescent="0.2">
      <c r="B2089" s="25">
        <v>2086</v>
      </c>
      <c r="C2089" s="18">
        <v>45916</v>
      </c>
      <c r="D2089" s="24">
        <f t="shared" si="160"/>
        <v>2025</v>
      </c>
      <c r="E2089" s="24" t="str">
        <f t="shared" si="161"/>
        <v>Q3</v>
      </c>
      <c r="F2089" s="24" t="str">
        <f t="shared" si="162"/>
        <v>Sep</v>
      </c>
      <c r="G2089" s="24">
        <f t="shared" si="163"/>
        <v>9</v>
      </c>
      <c r="H2089" s="19">
        <v>1145</v>
      </c>
      <c r="I2089" s="19" t="s">
        <v>3</v>
      </c>
      <c r="J2089" s="19" t="s">
        <v>9</v>
      </c>
      <c r="K2089" s="20">
        <v>7</v>
      </c>
      <c r="L2089" s="21">
        <v>344.16</v>
      </c>
      <c r="M2089" s="22">
        <v>0.12</v>
      </c>
      <c r="N2089" s="21">
        <f t="shared" si="164"/>
        <v>302.86080000000004</v>
      </c>
      <c r="O2089" s="21">
        <v>2120.0300000000002</v>
      </c>
      <c r="P2089" s="19" t="s">
        <v>6</v>
      </c>
      <c r="Q2089" s="23">
        <v>1</v>
      </c>
      <c r="R2089" s="45">
        <v>3.3</v>
      </c>
    </row>
    <row r="2090" spans="2:18" x14ac:dyDescent="0.2">
      <c r="B2090" s="25">
        <v>2087</v>
      </c>
      <c r="C2090" s="18">
        <v>45917</v>
      </c>
      <c r="D2090" s="24">
        <f t="shared" si="160"/>
        <v>2025</v>
      </c>
      <c r="E2090" s="24" t="str">
        <f t="shared" si="161"/>
        <v>Q3</v>
      </c>
      <c r="F2090" s="24" t="str">
        <f t="shared" si="162"/>
        <v>Sep</v>
      </c>
      <c r="G2090" s="24">
        <f t="shared" si="163"/>
        <v>9</v>
      </c>
      <c r="H2090" s="19">
        <v>1957</v>
      </c>
      <c r="I2090" s="19" t="s">
        <v>7</v>
      </c>
      <c r="J2090" s="19" t="s">
        <v>9</v>
      </c>
      <c r="K2090" s="20">
        <v>6</v>
      </c>
      <c r="L2090" s="21">
        <v>63.73</v>
      </c>
      <c r="M2090" s="22">
        <v>0.23</v>
      </c>
      <c r="N2090" s="21">
        <f t="shared" si="164"/>
        <v>49.072099999999999</v>
      </c>
      <c r="O2090" s="21">
        <v>294.43</v>
      </c>
      <c r="P2090" s="19" t="s">
        <v>2</v>
      </c>
      <c r="Q2090" s="23">
        <v>2</v>
      </c>
      <c r="R2090" s="45">
        <v>4</v>
      </c>
    </row>
    <row r="2091" spans="2:18" x14ac:dyDescent="0.2">
      <c r="B2091" s="25">
        <v>2088</v>
      </c>
      <c r="C2091" s="18">
        <v>45918</v>
      </c>
      <c r="D2091" s="24">
        <f t="shared" si="160"/>
        <v>2025</v>
      </c>
      <c r="E2091" s="24" t="str">
        <f t="shared" si="161"/>
        <v>Q3</v>
      </c>
      <c r="F2091" s="24" t="str">
        <f t="shared" si="162"/>
        <v>Sep</v>
      </c>
      <c r="G2091" s="24">
        <f t="shared" si="163"/>
        <v>9</v>
      </c>
      <c r="H2091" s="19">
        <v>1292</v>
      </c>
      <c r="I2091" s="19" t="s">
        <v>10</v>
      </c>
      <c r="J2091" s="19" t="s">
        <v>1</v>
      </c>
      <c r="K2091" s="20">
        <v>7</v>
      </c>
      <c r="L2091" s="21">
        <v>123.56</v>
      </c>
      <c r="M2091" s="22">
        <v>0.17</v>
      </c>
      <c r="N2091" s="21">
        <f t="shared" si="164"/>
        <v>102.5548</v>
      </c>
      <c r="O2091" s="21">
        <v>717.88</v>
      </c>
      <c r="P2091" s="19" t="s">
        <v>6</v>
      </c>
      <c r="Q2091" s="23">
        <v>10</v>
      </c>
      <c r="R2091" s="45">
        <v>3.6</v>
      </c>
    </row>
    <row r="2092" spans="2:18" x14ac:dyDescent="0.2">
      <c r="B2092" s="25">
        <v>2089</v>
      </c>
      <c r="C2092" s="18">
        <v>45919</v>
      </c>
      <c r="D2092" s="24">
        <f t="shared" si="160"/>
        <v>2025</v>
      </c>
      <c r="E2092" s="24" t="str">
        <f t="shared" si="161"/>
        <v>Q3</v>
      </c>
      <c r="F2092" s="24" t="str">
        <f t="shared" si="162"/>
        <v>Sep</v>
      </c>
      <c r="G2092" s="24">
        <f t="shared" si="163"/>
        <v>9</v>
      </c>
      <c r="H2092" s="19">
        <v>1664</v>
      </c>
      <c r="I2092" s="19" t="s">
        <v>3</v>
      </c>
      <c r="J2092" s="19" t="s">
        <v>1</v>
      </c>
      <c r="K2092" s="20">
        <v>4</v>
      </c>
      <c r="L2092" s="21">
        <v>143.31</v>
      </c>
      <c r="M2092" s="22">
        <v>0.26</v>
      </c>
      <c r="N2092" s="21">
        <f t="shared" si="164"/>
        <v>106.04939999999999</v>
      </c>
      <c r="O2092" s="21">
        <v>424.2</v>
      </c>
      <c r="P2092" s="19" t="s">
        <v>4</v>
      </c>
      <c r="Q2092" s="23">
        <v>7</v>
      </c>
      <c r="R2092" s="45">
        <v>4.2</v>
      </c>
    </row>
    <row r="2093" spans="2:18" x14ac:dyDescent="0.2">
      <c r="B2093" s="25">
        <v>2090</v>
      </c>
      <c r="C2093" s="18">
        <v>45920</v>
      </c>
      <c r="D2093" s="24">
        <f t="shared" si="160"/>
        <v>2025</v>
      </c>
      <c r="E2093" s="24" t="str">
        <f t="shared" si="161"/>
        <v>Q3</v>
      </c>
      <c r="F2093" s="24" t="str">
        <f t="shared" si="162"/>
        <v>Sep</v>
      </c>
      <c r="G2093" s="24">
        <f t="shared" si="163"/>
        <v>9</v>
      </c>
      <c r="H2093" s="19">
        <v>1431</v>
      </c>
      <c r="I2093" s="19" t="s">
        <v>7</v>
      </c>
      <c r="J2093" s="19" t="s">
        <v>5</v>
      </c>
      <c r="K2093" s="20">
        <v>7</v>
      </c>
      <c r="L2093" s="21">
        <v>165.85</v>
      </c>
      <c r="M2093" s="22">
        <v>0.34</v>
      </c>
      <c r="N2093" s="21">
        <f t="shared" si="164"/>
        <v>109.46099999999998</v>
      </c>
      <c r="O2093" s="21">
        <v>766.23</v>
      </c>
      <c r="P2093" s="19" t="s">
        <v>4</v>
      </c>
      <c r="Q2093" s="23">
        <v>10</v>
      </c>
      <c r="R2093" s="45">
        <v>3.8</v>
      </c>
    </row>
    <row r="2094" spans="2:18" x14ac:dyDescent="0.2">
      <c r="B2094" s="25">
        <v>2091</v>
      </c>
      <c r="C2094" s="18">
        <v>45921</v>
      </c>
      <c r="D2094" s="24">
        <f t="shared" si="160"/>
        <v>2025</v>
      </c>
      <c r="E2094" s="24" t="str">
        <f t="shared" si="161"/>
        <v>Q3</v>
      </c>
      <c r="F2094" s="24" t="str">
        <f t="shared" si="162"/>
        <v>Sep</v>
      </c>
      <c r="G2094" s="24">
        <f t="shared" si="163"/>
        <v>9</v>
      </c>
      <c r="H2094" s="19">
        <v>1704</v>
      </c>
      <c r="I2094" s="19" t="s">
        <v>10</v>
      </c>
      <c r="J2094" s="19" t="s">
        <v>1</v>
      </c>
      <c r="K2094" s="20">
        <v>4</v>
      </c>
      <c r="L2094" s="21">
        <v>345.76</v>
      </c>
      <c r="M2094" s="22">
        <v>0.04</v>
      </c>
      <c r="N2094" s="21">
        <f t="shared" si="164"/>
        <v>331.92959999999999</v>
      </c>
      <c r="O2094" s="21">
        <v>1327.72</v>
      </c>
      <c r="P2094" s="19" t="s">
        <v>4</v>
      </c>
      <c r="Q2094" s="23">
        <v>1</v>
      </c>
      <c r="R2094" s="45">
        <v>2.1</v>
      </c>
    </row>
    <row r="2095" spans="2:18" x14ac:dyDescent="0.2">
      <c r="B2095" s="25">
        <v>2092</v>
      </c>
      <c r="C2095" s="18">
        <v>45922</v>
      </c>
      <c r="D2095" s="24">
        <f t="shared" si="160"/>
        <v>2025</v>
      </c>
      <c r="E2095" s="24" t="str">
        <f t="shared" si="161"/>
        <v>Q3</v>
      </c>
      <c r="F2095" s="24" t="str">
        <f t="shared" si="162"/>
        <v>Sep</v>
      </c>
      <c r="G2095" s="24">
        <f t="shared" si="163"/>
        <v>9</v>
      </c>
      <c r="H2095" s="19">
        <v>1948</v>
      </c>
      <c r="I2095" s="19" t="s">
        <v>3</v>
      </c>
      <c r="J2095" s="19" t="s">
        <v>1</v>
      </c>
      <c r="K2095" s="20">
        <v>3</v>
      </c>
      <c r="L2095" s="21">
        <v>309.82</v>
      </c>
      <c r="M2095" s="22">
        <v>0.25</v>
      </c>
      <c r="N2095" s="21">
        <f t="shared" si="164"/>
        <v>232.36500000000001</v>
      </c>
      <c r="O2095" s="21">
        <v>697.1</v>
      </c>
      <c r="P2095" s="19" t="s">
        <v>4</v>
      </c>
      <c r="Q2095" s="23">
        <v>7</v>
      </c>
      <c r="R2095" s="45">
        <v>1.6</v>
      </c>
    </row>
    <row r="2096" spans="2:18" x14ac:dyDescent="0.2">
      <c r="B2096" s="25">
        <v>2093</v>
      </c>
      <c r="C2096" s="18">
        <v>45923</v>
      </c>
      <c r="D2096" s="24">
        <f t="shared" si="160"/>
        <v>2025</v>
      </c>
      <c r="E2096" s="24" t="str">
        <f t="shared" si="161"/>
        <v>Q3</v>
      </c>
      <c r="F2096" s="24" t="str">
        <f t="shared" si="162"/>
        <v>Sep</v>
      </c>
      <c r="G2096" s="24">
        <f t="shared" si="163"/>
        <v>9</v>
      </c>
      <c r="H2096" s="19">
        <v>1974</v>
      </c>
      <c r="I2096" s="19" t="s">
        <v>3</v>
      </c>
      <c r="J2096" s="19" t="s">
        <v>8</v>
      </c>
      <c r="K2096" s="20">
        <v>5</v>
      </c>
      <c r="L2096" s="21">
        <v>133.85</v>
      </c>
      <c r="M2096" s="22">
        <v>0.08</v>
      </c>
      <c r="N2096" s="21">
        <f t="shared" si="164"/>
        <v>123.142</v>
      </c>
      <c r="O2096" s="21">
        <v>615.71</v>
      </c>
      <c r="P2096" s="19" t="s">
        <v>4</v>
      </c>
      <c r="Q2096" s="23">
        <v>5</v>
      </c>
      <c r="R2096" s="45">
        <v>3.5</v>
      </c>
    </row>
    <row r="2097" spans="2:18" x14ac:dyDescent="0.2">
      <c r="B2097" s="25">
        <v>2094</v>
      </c>
      <c r="C2097" s="18">
        <v>45924</v>
      </c>
      <c r="D2097" s="24">
        <f t="shared" si="160"/>
        <v>2025</v>
      </c>
      <c r="E2097" s="24" t="str">
        <f t="shared" si="161"/>
        <v>Q3</v>
      </c>
      <c r="F2097" s="24" t="str">
        <f t="shared" si="162"/>
        <v>Sep</v>
      </c>
      <c r="G2097" s="24">
        <f t="shared" si="163"/>
        <v>9</v>
      </c>
      <c r="H2097" s="19">
        <v>1584</v>
      </c>
      <c r="I2097" s="19" t="s">
        <v>3</v>
      </c>
      <c r="J2097" s="19" t="s">
        <v>1</v>
      </c>
      <c r="K2097" s="20">
        <v>6</v>
      </c>
      <c r="L2097" s="21">
        <v>54.52</v>
      </c>
      <c r="M2097" s="22">
        <v>0.15</v>
      </c>
      <c r="N2097" s="21">
        <f t="shared" si="164"/>
        <v>46.341999999999999</v>
      </c>
      <c r="O2097" s="21">
        <v>278.05</v>
      </c>
      <c r="P2097" s="19" t="s">
        <v>2</v>
      </c>
      <c r="Q2097" s="23">
        <v>11</v>
      </c>
      <c r="R2097" s="45">
        <v>4</v>
      </c>
    </row>
    <row r="2098" spans="2:18" x14ac:dyDescent="0.2">
      <c r="B2098" s="25">
        <v>2095</v>
      </c>
      <c r="C2098" s="18">
        <v>45925</v>
      </c>
      <c r="D2098" s="24">
        <f t="shared" si="160"/>
        <v>2025</v>
      </c>
      <c r="E2098" s="24" t="str">
        <f t="shared" si="161"/>
        <v>Q3</v>
      </c>
      <c r="F2098" s="24" t="str">
        <f t="shared" si="162"/>
        <v>Sep</v>
      </c>
      <c r="G2098" s="24">
        <f t="shared" si="163"/>
        <v>9</v>
      </c>
      <c r="H2098" s="19">
        <v>1398</v>
      </c>
      <c r="I2098" s="19" t="s">
        <v>10</v>
      </c>
      <c r="J2098" s="19" t="s">
        <v>8</v>
      </c>
      <c r="K2098" s="20">
        <v>5</v>
      </c>
      <c r="L2098" s="21">
        <v>115.29</v>
      </c>
      <c r="M2098" s="22">
        <v>0.01</v>
      </c>
      <c r="N2098" s="21">
        <f t="shared" si="164"/>
        <v>114.1371</v>
      </c>
      <c r="O2098" s="21">
        <v>570.69000000000005</v>
      </c>
      <c r="P2098" s="19" t="s">
        <v>6</v>
      </c>
      <c r="Q2098" s="23">
        <v>3</v>
      </c>
      <c r="R2098" s="45">
        <v>1.6</v>
      </c>
    </row>
    <row r="2099" spans="2:18" x14ac:dyDescent="0.2">
      <c r="B2099" s="25">
        <v>2096</v>
      </c>
      <c r="C2099" s="18">
        <v>45926</v>
      </c>
      <c r="D2099" s="24">
        <f t="shared" si="160"/>
        <v>2025</v>
      </c>
      <c r="E2099" s="24" t="str">
        <f t="shared" si="161"/>
        <v>Q3</v>
      </c>
      <c r="F2099" s="24" t="str">
        <f t="shared" si="162"/>
        <v>Sep</v>
      </c>
      <c r="G2099" s="24">
        <f t="shared" si="163"/>
        <v>9</v>
      </c>
      <c r="H2099" s="19">
        <v>1816</v>
      </c>
      <c r="I2099" s="19" t="s">
        <v>10</v>
      </c>
      <c r="J2099" s="19" t="s">
        <v>1</v>
      </c>
      <c r="K2099" s="20">
        <v>6</v>
      </c>
      <c r="L2099" s="21">
        <v>590.86</v>
      </c>
      <c r="M2099" s="22">
        <v>0.05</v>
      </c>
      <c r="N2099" s="21">
        <f t="shared" si="164"/>
        <v>561.31700000000001</v>
      </c>
      <c r="O2099" s="21">
        <v>3367.9</v>
      </c>
      <c r="P2099" s="19" t="s">
        <v>6</v>
      </c>
      <c r="Q2099" s="23">
        <v>11</v>
      </c>
      <c r="R2099" s="45">
        <v>1.7</v>
      </c>
    </row>
    <row r="2100" spans="2:18" x14ac:dyDescent="0.2">
      <c r="B2100" s="25">
        <v>2097</v>
      </c>
      <c r="C2100" s="18">
        <v>45927</v>
      </c>
      <c r="D2100" s="24">
        <f t="shared" si="160"/>
        <v>2025</v>
      </c>
      <c r="E2100" s="24" t="str">
        <f t="shared" si="161"/>
        <v>Q3</v>
      </c>
      <c r="F2100" s="24" t="str">
        <f t="shared" si="162"/>
        <v>Sep</v>
      </c>
      <c r="G2100" s="24">
        <f t="shared" si="163"/>
        <v>9</v>
      </c>
      <c r="H2100" s="19">
        <v>1888</v>
      </c>
      <c r="I2100" s="19" t="s">
        <v>10</v>
      </c>
      <c r="J2100" s="19" t="s">
        <v>5</v>
      </c>
      <c r="K2100" s="20">
        <v>6</v>
      </c>
      <c r="L2100" s="21">
        <v>289.10000000000002</v>
      </c>
      <c r="M2100" s="22">
        <v>0.11</v>
      </c>
      <c r="N2100" s="21">
        <f t="shared" si="164"/>
        <v>257.29900000000004</v>
      </c>
      <c r="O2100" s="21">
        <v>1543.79</v>
      </c>
      <c r="P2100" s="19" t="s">
        <v>4</v>
      </c>
      <c r="Q2100" s="23">
        <v>2</v>
      </c>
      <c r="R2100" s="45">
        <v>1</v>
      </c>
    </row>
    <row r="2101" spans="2:18" x14ac:dyDescent="0.2">
      <c r="B2101" s="25">
        <v>2098</v>
      </c>
      <c r="C2101" s="18">
        <v>45928</v>
      </c>
      <c r="D2101" s="24">
        <f t="shared" si="160"/>
        <v>2025</v>
      </c>
      <c r="E2101" s="24" t="str">
        <f t="shared" si="161"/>
        <v>Q3</v>
      </c>
      <c r="F2101" s="24" t="str">
        <f t="shared" si="162"/>
        <v>Sep</v>
      </c>
      <c r="G2101" s="24">
        <f t="shared" si="163"/>
        <v>9</v>
      </c>
      <c r="H2101" s="19">
        <v>1343</v>
      </c>
      <c r="I2101" s="19" t="s">
        <v>7</v>
      </c>
      <c r="J2101" s="19" t="s">
        <v>9</v>
      </c>
      <c r="K2101" s="20">
        <v>7</v>
      </c>
      <c r="L2101" s="21">
        <v>522.4</v>
      </c>
      <c r="M2101" s="22">
        <v>0.12</v>
      </c>
      <c r="N2101" s="21">
        <f t="shared" si="164"/>
        <v>459.71199999999999</v>
      </c>
      <c r="O2101" s="21">
        <v>3217.98</v>
      </c>
      <c r="P2101" s="19" t="s">
        <v>4</v>
      </c>
      <c r="Q2101" s="23">
        <v>7</v>
      </c>
      <c r="R2101" s="45">
        <v>3.1</v>
      </c>
    </row>
    <row r="2102" spans="2:18" x14ac:dyDescent="0.2">
      <c r="B2102" s="25">
        <v>2099</v>
      </c>
      <c r="C2102" s="18">
        <v>45929</v>
      </c>
      <c r="D2102" s="24">
        <f t="shared" si="160"/>
        <v>2025</v>
      </c>
      <c r="E2102" s="24" t="str">
        <f t="shared" si="161"/>
        <v>Q3</v>
      </c>
      <c r="F2102" s="24" t="str">
        <f t="shared" si="162"/>
        <v>Sep</v>
      </c>
      <c r="G2102" s="24">
        <f t="shared" si="163"/>
        <v>9</v>
      </c>
      <c r="H2102" s="19">
        <v>1963</v>
      </c>
      <c r="I2102" s="19" t="s">
        <v>10</v>
      </c>
      <c r="J2102" s="19" t="s">
        <v>5</v>
      </c>
      <c r="K2102" s="20">
        <v>7</v>
      </c>
      <c r="L2102" s="21">
        <v>511.52</v>
      </c>
      <c r="M2102" s="22">
        <v>0.31</v>
      </c>
      <c r="N2102" s="21">
        <f t="shared" si="164"/>
        <v>352.94880000000001</v>
      </c>
      <c r="O2102" s="21">
        <v>2470.64</v>
      </c>
      <c r="P2102" s="19" t="s">
        <v>6</v>
      </c>
      <c r="Q2102" s="23">
        <v>9</v>
      </c>
      <c r="R2102" s="45">
        <v>3.2</v>
      </c>
    </row>
    <row r="2103" spans="2:18" x14ac:dyDescent="0.2">
      <c r="B2103" s="25">
        <v>2100</v>
      </c>
      <c r="C2103" s="18">
        <v>45930</v>
      </c>
      <c r="D2103" s="24">
        <f t="shared" si="160"/>
        <v>2025</v>
      </c>
      <c r="E2103" s="24" t="str">
        <f t="shared" si="161"/>
        <v>Q3</v>
      </c>
      <c r="F2103" s="24" t="str">
        <f t="shared" si="162"/>
        <v>Sep</v>
      </c>
      <c r="G2103" s="24">
        <f t="shared" si="163"/>
        <v>9</v>
      </c>
      <c r="H2103" s="19">
        <v>1139</v>
      </c>
      <c r="I2103" s="19" t="s">
        <v>10</v>
      </c>
      <c r="J2103" s="19" t="s">
        <v>1</v>
      </c>
      <c r="K2103" s="20">
        <v>5</v>
      </c>
      <c r="L2103" s="21">
        <v>314.24</v>
      </c>
      <c r="M2103" s="22">
        <v>0.26</v>
      </c>
      <c r="N2103" s="21">
        <f t="shared" si="164"/>
        <v>232.5376</v>
      </c>
      <c r="O2103" s="21">
        <v>1162.69</v>
      </c>
      <c r="P2103" s="19" t="s">
        <v>2</v>
      </c>
      <c r="Q2103" s="23">
        <v>9</v>
      </c>
      <c r="R2103" s="45">
        <v>3</v>
      </c>
    </row>
    <row r="2104" spans="2:18" x14ac:dyDescent="0.2">
      <c r="B2104" s="25">
        <v>2101</v>
      </c>
      <c r="C2104" s="18">
        <v>45931</v>
      </c>
      <c r="D2104" s="24">
        <f t="shared" si="160"/>
        <v>2025</v>
      </c>
      <c r="E2104" s="24" t="str">
        <f t="shared" si="161"/>
        <v>Q4</v>
      </c>
      <c r="F2104" s="24" t="str">
        <f t="shared" si="162"/>
        <v>Oct</v>
      </c>
      <c r="G2104" s="24">
        <f t="shared" si="163"/>
        <v>10</v>
      </c>
      <c r="H2104" s="19">
        <v>1186</v>
      </c>
      <c r="I2104" s="19" t="s">
        <v>10</v>
      </c>
      <c r="J2104" s="19" t="s">
        <v>9</v>
      </c>
      <c r="K2104" s="20">
        <v>2</v>
      </c>
      <c r="L2104" s="21">
        <v>428.41</v>
      </c>
      <c r="M2104" s="22">
        <v>0.34</v>
      </c>
      <c r="N2104" s="21">
        <f t="shared" si="164"/>
        <v>282.75060000000002</v>
      </c>
      <c r="O2104" s="21">
        <v>565.5</v>
      </c>
      <c r="P2104" s="19" t="s">
        <v>6</v>
      </c>
      <c r="Q2104" s="23">
        <v>10</v>
      </c>
      <c r="R2104" s="45">
        <v>2.2999999999999998</v>
      </c>
    </row>
    <row r="2105" spans="2:18" x14ac:dyDescent="0.2">
      <c r="B2105" s="25">
        <v>2102</v>
      </c>
      <c r="C2105" s="18">
        <v>45932</v>
      </c>
      <c r="D2105" s="24">
        <f t="shared" si="160"/>
        <v>2025</v>
      </c>
      <c r="E2105" s="24" t="str">
        <f t="shared" si="161"/>
        <v>Q4</v>
      </c>
      <c r="F2105" s="24" t="str">
        <f t="shared" si="162"/>
        <v>Oct</v>
      </c>
      <c r="G2105" s="24">
        <f t="shared" si="163"/>
        <v>10</v>
      </c>
      <c r="H2105" s="19">
        <v>1804</v>
      </c>
      <c r="I2105" s="19" t="s">
        <v>3</v>
      </c>
      <c r="J2105" s="19" t="s">
        <v>9</v>
      </c>
      <c r="K2105" s="20">
        <v>4</v>
      </c>
      <c r="L2105" s="21">
        <v>127.76</v>
      </c>
      <c r="M2105" s="22">
        <v>0.21</v>
      </c>
      <c r="N2105" s="21">
        <f t="shared" si="164"/>
        <v>100.93040000000001</v>
      </c>
      <c r="O2105" s="21">
        <v>403.72</v>
      </c>
      <c r="P2105" s="19" t="s">
        <v>2</v>
      </c>
      <c r="Q2105" s="23">
        <v>10</v>
      </c>
      <c r="R2105" s="45">
        <v>2.7</v>
      </c>
    </row>
    <row r="2106" spans="2:18" x14ac:dyDescent="0.2">
      <c r="B2106" s="25">
        <v>2103</v>
      </c>
      <c r="C2106" s="18">
        <v>45933</v>
      </c>
      <c r="D2106" s="24">
        <f t="shared" si="160"/>
        <v>2025</v>
      </c>
      <c r="E2106" s="24" t="str">
        <f t="shared" si="161"/>
        <v>Q4</v>
      </c>
      <c r="F2106" s="24" t="str">
        <f t="shared" si="162"/>
        <v>Oct</v>
      </c>
      <c r="G2106" s="24">
        <f t="shared" si="163"/>
        <v>10</v>
      </c>
      <c r="H2106" s="19">
        <v>1060</v>
      </c>
      <c r="I2106" s="19" t="s">
        <v>0</v>
      </c>
      <c r="J2106" s="19" t="s">
        <v>9</v>
      </c>
      <c r="K2106" s="20">
        <v>7</v>
      </c>
      <c r="L2106" s="21">
        <v>417.71</v>
      </c>
      <c r="M2106" s="22">
        <v>0.08</v>
      </c>
      <c r="N2106" s="21">
        <f t="shared" si="164"/>
        <v>384.29319999999996</v>
      </c>
      <c r="O2106" s="21">
        <v>2690.05</v>
      </c>
      <c r="P2106" s="19" t="s">
        <v>2</v>
      </c>
      <c r="Q2106" s="23">
        <v>8</v>
      </c>
      <c r="R2106" s="45">
        <v>4.0999999999999996</v>
      </c>
    </row>
    <row r="2107" spans="2:18" x14ac:dyDescent="0.2">
      <c r="B2107" s="25">
        <v>2104</v>
      </c>
      <c r="C2107" s="18">
        <v>45934</v>
      </c>
      <c r="D2107" s="24">
        <f t="shared" si="160"/>
        <v>2025</v>
      </c>
      <c r="E2107" s="24" t="str">
        <f t="shared" si="161"/>
        <v>Q4</v>
      </c>
      <c r="F2107" s="24" t="str">
        <f t="shared" si="162"/>
        <v>Oct</v>
      </c>
      <c r="G2107" s="24">
        <f t="shared" si="163"/>
        <v>10</v>
      </c>
      <c r="H2107" s="19">
        <v>1996</v>
      </c>
      <c r="I2107" s="19" t="s">
        <v>10</v>
      </c>
      <c r="J2107" s="19" t="s">
        <v>8</v>
      </c>
      <c r="K2107" s="20">
        <v>7</v>
      </c>
      <c r="L2107" s="21">
        <v>174.34</v>
      </c>
      <c r="M2107" s="22">
        <v>0.11</v>
      </c>
      <c r="N2107" s="21">
        <f t="shared" si="164"/>
        <v>155.1626</v>
      </c>
      <c r="O2107" s="21">
        <v>1086.1400000000001</v>
      </c>
      <c r="P2107" s="19" t="s">
        <v>4</v>
      </c>
      <c r="Q2107" s="23">
        <v>2</v>
      </c>
      <c r="R2107" s="45">
        <v>1.7</v>
      </c>
    </row>
    <row r="2108" spans="2:18" x14ac:dyDescent="0.2">
      <c r="B2108" s="25">
        <v>2105</v>
      </c>
      <c r="C2108" s="18">
        <v>45935</v>
      </c>
      <c r="D2108" s="24">
        <f t="shared" si="160"/>
        <v>2025</v>
      </c>
      <c r="E2108" s="24" t="str">
        <f t="shared" si="161"/>
        <v>Q4</v>
      </c>
      <c r="F2108" s="24" t="str">
        <f t="shared" si="162"/>
        <v>Oct</v>
      </c>
      <c r="G2108" s="24">
        <f t="shared" si="163"/>
        <v>10</v>
      </c>
      <c r="H2108" s="19">
        <v>1938</v>
      </c>
      <c r="I2108" s="19" t="s">
        <v>7</v>
      </c>
      <c r="J2108" s="19" t="s">
        <v>5</v>
      </c>
      <c r="K2108" s="20">
        <v>7</v>
      </c>
      <c r="L2108" s="21">
        <v>501.76</v>
      </c>
      <c r="M2108" s="22">
        <v>0.11</v>
      </c>
      <c r="N2108" s="21">
        <f t="shared" si="164"/>
        <v>446.56639999999999</v>
      </c>
      <c r="O2108" s="21">
        <v>3125.96</v>
      </c>
      <c r="P2108" s="19" t="s">
        <v>4</v>
      </c>
      <c r="Q2108" s="23">
        <v>1</v>
      </c>
      <c r="R2108" s="45">
        <v>1.8</v>
      </c>
    </row>
    <row r="2109" spans="2:18" x14ac:dyDescent="0.2">
      <c r="B2109" s="25">
        <v>2106</v>
      </c>
      <c r="C2109" s="18">
        <v>45936</v>
      </c>
      <c r="D2109" s="24">
        <f t="shared" si="160"/>
        <v>2025</v>
      </c>
      <c r="E2109" s="24" t="str">
        <f t="shared" si="161"/>
        <v>Q4</v>
      </c>
      <c r="F2109" s="24" t="str">
        <f t="shared" si="162"/>
        <v>Oct</v>
      </c>
      <c r="G2109" s="24">
        <f t="shared" si="163"/>
        <v>10</v>
      </c>
      <c r="H2109" s="19">
        <v>1379</v>
      </c>
      <c r="I2109" s="19" t="s">
        <v>3</v>
      </c>
      <c r="J2109" s="19" t="s">
        <v>8</v>
      </c>
      <c r="K2109" s="20">
        <v>3</v>
      </c>
      <c r="L2109" s="21">
        <v>63.98</v>
      </c>
      <c r="M2109" s="22">
        <v>0.11</v>
      </c>
      <c r="N2109" s="21">
        <f t="shared" si="164"/>
        <v>56.9422</v>
      </c>
      <c r="O2109" s="21">
        <v>170.83</v>
      </c>
      <c r="P2109" s="19" t="s">
        <v>6</v>
      </c>
      <c r="Q2109" s="23">
        <v>8</v>
      </c>
      <c r="R2109" s="45">
        <v>3.7</v>
      </c>
    </row>
    <row r="2110" spans="2:18" x14ac:dyDescent="0.2">
      <c r="B2110" s="25">
        <v>2107</v>
      </c>
      <c r="C2110" s="18">
        <v>45937</v>
      </c>
      <c r="D2110" s="24">
        <f t="shared" si="160"/>
        <v>2025</v>
      </c>
      <c r="E2110" s="24" t="str">
        <f t="shared" si="161"/>
        <v>Q4</v>
      </c>
      <c r="F2110" s="24" t="str">
        <f t="shared" si="162"/>
        <v>Oct</v>
      </c>
      <c r="G2110" s="24">
        <f t="shared" si="163"/>
        <v>10</v>
      </c>
      <c r="H2110" s="19">
        <v>1709</v>
      </c>
      <c r="I2110" s="19" t="s">
        <v>0</v>
      </c>
      <c r="J2110" s="19" t="s">
        <v>9</v>
      </c>
      <c r="K2110" s="20">
        <v>5</v>
      </c>
      <c r="L2110" s="21">
        <v>467.29</v>
      </c>
      <c r="M2110" s="22">
        <v>0.24</v>
      </c>
      <c r="N2110" s="21">
        <f t="shared" si="164"/>
        <v>355.1404</v>
      </c>
      <c r="O2110" s="21">
        <v>1775.7</v>
      </c>
      <c r="P2110" s="19" t="s">
        <v>4</v>
      </c>
      <c r="Q2110" s="23">
        <v>2</v>
      </c>
      <c r="R2110" s="45">
        <v>4.5</v>
      </c>
    </row>
    <row r="2111" spans="2:18" x14ac:dyDescent="0.2">
      <c r="B2111" s="25">
        <v>2108</v>
      </c>
      <c r="C2111" s="18">
        <v>45938</v>
      </c>
      <c r="D2111" s="24">
        <f t="shared" si="160"/>
        <v>2025</v>
      </c>
      <c r="E2111" s="24" t="str">
        <f t="shared" si="161"/>
        <v>Q4</v>
      </c>
      <c r="F2111" s="24" t="str">
        <f t="shared" si="162"/>
        <v>Oct</v>
      </c>
      <c r="G2111" s="24">
        <f t="shared" si="163"/>
        <v>10</v>
      </c>
      <c r="H2111" s="19">
        <v>1806</v>
      </c>
      <c r="I2111" s="19" t="s">
        <v>7</v>
      </c>
      <c r="J2111" s="19" t="s">
        <v>5</v>
      </c>
      <c r="K2111" s="20">
        <v>5</v>
      </c>
      <c r="L2111" s="21">
        <v>73.459999999999994</v>
      </c>
      <c r="M2111" s="22">
        <v>0.19</v>
      </c>
      <c r="N2111" s="21">
        <f t="shared" si="164"/>
        <v>59.502599999999994</v>
      </c>
      <c r="O2111" s="21">
        <v>297.51</v>
      </c>
      <c r="P2111" s="19" t="s">
        <v>4</v>
      </c>
      <c r="Q2111" s="23">
        <v>4</v>
      </c>
      <c r="R2111" s="45">
        <v>2.4</v>
      </c>
    </row>
    <row r="2112" spans="2:18" x14ac:dyDescent="0.2">
      <c r="B2112" s="25">
        <v>2109</v>
      </c>
      <c r="C2112" s="18">
        <v>45939</v>
      </c>
      <c r="D2112" s="24">
        <f t="shared" si="160"/>
        <v>2025</v>
      </c>
      <c r="E2112" s="24" t="str">
        <f t="shared" si="161"/>
        <v>Q4</v>
      </c>
      <c r="F2112" s="24" t="str">
        <f t="shared" si="162"/>
        <v>Oct</v>
      </c>
      <c r="G2112" s="24">
        <f t="shared" si="163"/>
        <v>10</v>
      </c>
      <c r="H2112" s="19">
        <v>1439</v>
      </c>
      <c r="I2112" s="19" t="s">
        <v>0</v>
      </c>
      <c r="J2112" s="19" t="s">
        <v>5</v>
      </c>
      <c r="K2112" s="20">
        <v>7</v>
      </c>
      <c r="L2112" s="21">
        <v>530.5</v>
      </c>
      <c r="M2112" s="22">
        <v>0.13</v>
      </c>
      <c r="N2112" s="21">
        <f t="shared" si="164"/>
        <v>461.53499999999997</v>
      </c>
      <c r="O2112" s="21">
        <v>3230.74</v>
      </c>
      <c r="P2112" s="19" t="s">
        <v>4</v>
      </c>
      <c r="Q2112" s="23">
        <v>4</v>
      </c>
      <c r="R2112" s="45">
        <v>4.7</v>
      </c>
    </row>
    <row r="2113" spans="2:18" x14ac:dyDescent="0.2">
      <c r="B2113" s="25">
        <v>2110</v>
      </c>
      <c r="C2113" s="18">
        <v>45940</v>
      </c>
      <c r="D2113" s="24">
        <f t="shared" si="160"/>
        <v>2025</v>
      </c>
      <c r="E2113" s="24" t="str">
        <f t="shared" si="161"/>
        <v>Q4</v>
      </c>
      <c r="F2113" s="24" t="str">
        <f t="shared" si="162"/>
        <v>Oct</v>
      </c>
      <c r="G2113" s="24">
        <f t="shared" si="163"/>
        <v>10</v>
      </c>
      <c r="H2113" s="19">
        <v>1318</v>
      </c>
      <c r="I2113" s="19" t="s">
        <v>10</v>
      </c>
      <c r="J2113" s="19" t="s">
        <v>1</v>
      </c>
      <c r="K2113" s="20">
        <v>3</v>
      </c>
      <c r="L2113" s="21">
        <v>192.96</v>
      </c>
      <c r="M2113" s="22">
        <v>0.05</v>
      </c>
      <c r="N2113" s="21">
        <f t="shared" si="164"/>
        <v>183.31200000000001</v>
      </c>
      <c r="O2113" s="21">
        <v>549.94000000000005</v>
      </c>
      <c r="P2113" s="19" t="s">
        <v>4</v>
      </c>
      <c r="Q2113" s="23">
        <v>2</v>
      </c>
      <c r="R2113" s="45">
        <v>1.2</v>
      </c>
    </row>
    <row r="2114" spans="2:18" x14ac:dyDescent="0.2">
      <c r="B2114" s="25">
        <v>2111</v>
      </c>
      <c r="C2114" s="18">
        <v>45941</v>
      </c>
      <c r="D2114" s="24">
        <f t="shared" si="160"/>
        <v>2025</v>
      </c>
      <c r="E2114" s="24" t="str">
        <f t="shared" si="161"/>
        <v>Q4</v>
      </c>
      <c r="F2114" s="24" t="str">
        <f t="shared" si="162"/>
        <v>Oct</v>
      </c>
      <c r="G2114" s="24">
        <f t="shared" si="163"/>
        <v>10</v>
      </c>
      <c r="H2114" s="19">
        <v>1301</v>
      </c>
      <c r="I2114" s="19" t="s">
        <v>3</v>
      </c>
      <c r="J2114" s="19" t="s">
        <v>8</v>
      </c>
      <c r="K2114" s="20">
        <v>7</v>
      </c>
      <c r="L2114" s="21">
        <v>397.82</v>
      </c>
      <c r="M2114" s="22">
        <v>0.01</v>
      </c>
      <c r="N2114" s="21">
        <f t="shared" si="164"/>
        <v>393.84179999999998</v>
      </c>
      <c r="O2114" s="21">
        <v>2756.89</v>
      </c>
      <c r="P2114" s="19" t="s">
        <v>2</v>
      </c>
      <c r="Q2114" s="23">
        <v>4</v>
      </c>
      <c r="R2114" s="45">
        <v>1.5</v>
      </c>
    </row>
    <row r="2115" spans="2:18" x14ac:dyDescent="0.2">
      <c r="B2115" s="25">
        <v>2112</v>
      </c>
      <c r="C2115" s="18">
        <v>45942</v>
      </c>
      <c r="D2115" s="24">
        <f t="shared" si="160"/>
        <v>2025</v>
      </c>
      <c r="E2115" s="24" t="str">
        <f t="shared" si="161"/>
        <v>Q4</v>
      </c>
      <c r="F2115" s="24" t="str">
        <f t="shared" si="162"/>
        <v>Oct</v>
      </c>
      <c r="G2115" s="24">
        <f t="shared" si="163"/>
        <v>10</v>
      </c>
      <c r="H2115" s="19">
        <v>1343</v>
      </c>
      <c r="I2115" s="19" t="s">
        <v>7</v>
      </c>
      <c r="J2115" s="19" t="s">
        <v>8</v>
      </c>
      <c r="K2115" s="20">
        <v>4</v>
      </c>
      <c r="L2115" s="21">
        <v>300.19</v>
      </c>
      <c r="M2115" s="22">
        <v>0.08</v>
      </c>
      <c r="N2115" s="21">
        <f t="shared" si="164"/>
        <v>276.1748</v>
      </c>
      <c r="O2115" s="21">
        <v>1104.7</v>
      </c>
      <c r="P2115" s="19" t="s">
        <v>4</v>
      </c>
      <c r="Q2115" s="23">
        <v>7</v>
      </c>
      <c r="R2115" s="45">
        <v>2.8</v>
      </c>
    </row>
    <row r="2116" spans="2:18" x14ac:dyDescent="0.2">
      <c r="B2116" s="25">
        <v>2113</v>
      </c>
      <c r="C2116" s="18">
        <v>45943</v>
      </c>
      <c r="D2116" s="24">
        <f t="shared" ref="D2116:D2179" si="165">YEAR(C2116)</f>
        <v>2025</v>
      </c>
      <c r="E2116" s="24" t="str">
        <f t="shared" ref="E2116:E2179" si="166">"Q"&amp;ROUNDUP(MONTH(C2116)/3,0)</f>
        <v>Q4</v>
      </c>
      <c r="F2116" s="24" t="str">
        <f t="shared" ref="F2116:F2179" si="167">TEXT(C2116,"mmm")</f>
        <v>Oct</v>
      </c>
      <c r="G2116" s="24">
        <f t="shared" ref="G2116:G2179" si="168">MONTH(C2116)</f>
        <v>10</v>
      </c>
      <c r="H2116" s="19">
        <v>1010</v>
      </c>
      <c r="I2116" s="19" t="s">
        <v>7</v>
      </c>
      <c r="J2116" s="19" t="s">
        <v>1</v>
      </c>
      <c r="K2116" s="20">
        <v>3</v>
      </c>
      <c r="L2116" s="21">
        <v>229.29</v>
      </c>
      <c r="M2116" s="22">
        <v>0.04</v>
      </c>
      <c r="N2116" s="21">
        <f t="shared" si="164"/>
        <v>220.11839999999998</v>
      </c>
      <c r="O2116" s="21">
        <v>660.36</v>
      </c>
      <c r="P2116" s="19" t="s">
        <v>4</v>
      </c>
      <c r="Q2116" s="23">
        <v>6</v>
      </c>
      <c r="R2116" s="45">
        <v>3.9</v>
      </c>
    </row>
    <row r="2117" spans="2:18" x14ac:dyDescent="0.2">
      <c r="B2117" s="25">
        <v>2114</v>
      </c>
      <c r="C2117" s="18">
        <v>45944</v>
      </c>
      <c r="D2117" s="24">
        <f t="shared" si="165"/>
        <v>2025</v>
      </c>
      <c r="E2117" s="24" t="str">
        <f t="shared" si="166"/>
        <v>Q4</v>
      </c>
      <c r="F2117" s="24" t="str">
        <f t="shared" si="167"/>
        <v>Oct</v>
      </c>
      <c r="G2117" s="24">
        <f t="shared" si="168"/>
        <v>10</v>
      </c>
      <c r="H2117" s="19">
        <v>1061</v>
      </c>
      <c r="I2117" s="19" t="s">
        <v>0</v>
      </c>
      <c r="J2117" s="19" t="s">
        <v>8</v>
      </c>
      <c r="K2117" s="20">
        <v>7</v>
      </c>
      <c r="L2117" s="21">
        <v>392.58</v>
      </c>
      <c r="M2117" s="22">
        <v>0.27</v>
      </c>
      <c r="N2117" s="21">
        <f t="shared" ref="N2117:N2180" si="169">L2117-(L2117*M2117)</f>
        <v>286.58339999999998</v>
      </c>
      <c r="O2117" s="21">
        <v>2006.08</v>
      </c>
      <c r="P2117" s="19" t="s">
        <v>6</v>
      </c>
      <c r="Q2117" s="23">
        <v>10</v>
      </c>
      <c r="R2117" s="45">
        <v>2.5</v>
      </c>
    </row>
    <row r="2118" spans="2:18" x14ac:dyDescent="0.2">
      <c r="B2118" s="25">
        <v>2115</v>
      </c>
      <c r="C2118" s="18">
        <v>45945</v>
      </c>
      <c r="D2118" s="24">
        <f t="shared" si="165"/>
        <v>2025</v>
      </c>
      <c r="E2118" s="24" t="str">
        <f t="shared" si="166"/>
        <v>Q4</v>
      </c>
      <c r="F2118" s="24" t="str">
        <f t="shared" si="167"/>
        <v>Oct</v>
      </c>
      <c r="G2118" s="24">
        <f t="shared" si="168"/>
        <v>10</v>
      </c>
      <c r="H2118" s="19">
        <v>1844</v>
      </c>
      <c r="I2118" s="19" t="s">
        <v>7</v>
      </c>
      <c r="J2118" s="19" t="s">
        <v>9</v>
      </c>
      <c r="K2118" s="20">
        <v>6</v>
      </c>
      <c r="L2118" s="21">
        <v>569.29999999999995</v>
      </c>
      <c r="M2118" s="22">
        <v>0.04</v>
      </c>
      <c r="N2118" s="21">
        <f t="shared" si="169"/>
        <v>546.52799999999991</v>
      </c>
      <c r="O2118" s="21">
        <v>3279.17</v>
      </c>
      <c r="P2118" s="19" t="s">
        <v>6</v>
      </c>
      <c r="Q2118" s="23">
        <v>6</v>
      </c>
      <c r="R2118" s="45">
        <v>3.2</v>
      </c>
    </row>
    <row r="2119" spans="2:18" x14ac:dyDescent="0.2">
      <c r="B2119" s="25">
        <v>2116</v>
      </c>
      <c r="C2119" s="18">
        <v>45946</v>
      </c>
      <c r="D2119" s="24">
        <f t="shared" si="165"/>
        <v>2025</v>
      </c>
      <c r="E2119" s="24" t="str">
        <f t="shared" si="166"/>
        <v>Q4</v>
      </c>
      <c r="F2119" s="24" t="str">
        <f t="shared" si="167"/>
        <v>Oct</v>
      </c>
      <c r="G2119" s="24">
        <f t="shared" si="168"/>
        <v>10</v>
      </c>
      <c r="H2119" s="19">
        <v>1225</v>
      </c>
      <c r="I2119" s="19" t="s">
        <v>10</v>
      </c>
      <c r="J2119" s="19" t="s">
        <v>9</v>
      </c>
      <c r="K2119" s="20">
        <v>2</v>
      </c>
      <c r="L2119" s="21">
        <v>39.14</v>
      </c>
      <c r="M2119" s="22">
        <v>0.25</v>
      </c>
      <c r="N2119" s="21">
        <f t="shared" si="169"/>
        <v>29.355</v>
      </c>
      <c r="O2119" s="21">
        <v>58.71</v>
      </c>
      <c r="P2119" s="19" t="s">
        <v>6</v>
      </c>
      <c r="Q2119" s="23">
        <v>4</v>
      </c>
      <c r="R2119" s="45">
        <v>1.1000000000000001</v>
      </c>
    </row>
    <row r="2120" spans="2:18" x14ac:dyDescent="0.2">
      <c r="B2120" s="25">
        <v>2117</v>
      </c>
      <c r="C2120" s="18">
        <v>45947</v>
      </c>
      <c r="D2120" s="24">
        <f t="shared" si="165"/>
        <v>2025</v>
      </c>
      <c r="E2120" s="24" t="str">
        <f t="shared" si="166"/>
        <v>Q4</v>
      </c>
      <c r="F2120" s="24" t="str">
        <f t="shared" si="167"/>
        <v>Oct</v>
      </c>
      <c r="G2120" s="24">
        <f t="shared" si="168"/>
        <v>10</v>
      </c>
      <c r="H2120" s="19">
        <v>1152</v>
      </c>
      <c r="I2120" s="19" t="s">
        <v>3</v>
      </c>
      <c r="J2120" s="19" t="s">
        <v>8</v>
      </c>
      <c r="K2120" s="20">
        <v>6</v>
      </c>
      <c r="L2120" s="21">
        <v>552.53</v>
      </c>
      <c r="M2120" s="22">
        <v>0.13</v>
      </c>
      <c r="N2120" s="21">
        <f t="shared" si="169"/>
        <v>480.7011</v>
      </c>
      <c r="O2120" s="21">
        <v>2884.21</v>
      </c>
      <c r="P2120" s="19" t="s">
        <v>2</v>
      </c>
      <c r="Q2120" s="23">
        <v>2</v>
      </c>
      <c r="R2120" s="45">
        <v>2.8</v>
      </c>
    </row>
    <row r="2121" spans="2:18" x14ac:dyDescent="0.2">
      <c r="B2121" s="25">
        <v>2118</v>
      </c>
      <c r="C2121" s="18">
        <v>45948</v>
      </c>
      <c r="D2121" s="24">
        <f t="shared" si="165"/>
        <v>2025</v>
      </c>
      <c r="E2121" s="24" t="str">
        <f t="shared" si="166"/>
        <v>Q4</v>
      </c>
      <c r="F2121" s="24" t="str">
        <f t="shared" si="167"/>
        <v>Oct</v>
      </c>
      <c r="G2121" s="24">
        <f t="shared" si="168"/>
        <v>10</v>
      </c>
      <c r="H2121" s="19">
        <v>1710</v>
      </c>
      <c r="I2121" s="19" t="s">
        <v>7</v>
      </c>
      <c r="J2121" s="19" t="s">
        <v>1</v>
      </c>
      <c r="K2121" s="20">
        <v>2</v>
      </c>
      <c r="L2121" s="21">
        <v>371.31</v>
      </c>
      <c r="M2121" s="22">
        <v>0.03</v>
      </c>
      <c r="N2121" s="21">
        <f t="shared" si="169"/>
        <v>360.17070000000001</v>
      </c>
      <c r="O2121" s="21">
        <v>720.34</v>
      </c>
      <c r="P2121" s="19" t="s">
        <v>6</v>
      </c>
      <c r="Q2121" s="23">
        <v>5</v>
      </c>
      <c r="R2121" s="45">
        <v>2</v>
      </c>
    </row>
    <row r="2122" spans="2:18" x14ac:dyDescent="0.2">
      <c r="B2122" s="25">
        <v>2119</v>
      </c>
      <c r="C2122" s="18">
        <v>45949</v>
      </c>
      <c r="D2122" s="24">
        <f t="shared" si="165"/>
        <v>2025</v>
      </c>
      <c r="E2122" s="24" t="str">
        <f t="shared" si="166"/>
        <v>Q4</v>
      </c>
      <c r="F2122" s="24" t="str">
        <f t="shared" si="167"/>
        <v>Oct</v>
      </c>
      <c r="G2122" s="24">
        <f t="shared" si="168"/>
        <v>10</v>
      </c>
      <c r="H2122" s="19">
        <v>1563</v>
      </c>
      <c r="I2122" s="19" t="s">
        <v>7</v>
      </c>
      <c r="J2122" s="19" t="s">
        <v>5</v>
      </c>
      <c r="K2122" s="20">
        <v>3</v>
      </c>
      <c r="L2122" s="21">
        <v>487.28</v>
      </c>
      <c r="M2122" s="22">
        <v>0.28000000000000003</v>
      </c>
      <c r="N2122" s="21">
        <f t="shared" si="169"/>
        <v>350.84159999999997</v>
      </c>
      <c r="O2122" s="21">
        <v>1052.52</v>
      </c>
      <c r="P2122" s="19" t="s">
        <v>6</v>
      </c>
      <c r="Q2122" s="23">
        <v>11</v>
      </c>
      <c r="R2122" s="45">
        <v>3.1</v>
      </c>
    </row>
    <row r="2123" spans="2:18" x14ac:dyDescent="0.2">
      <c r="B2123" s="25">
        <v>2120</v>
      </c>
      <c r="C2123" s="18">
        <v>45950</v>
      </c>
      <c r="D2123" s="24">
        <f t="shared" si="165"/>
        <v>2025</v>
      </c>
      <c r="E2123" s="24" t="str">
        <f t="shared" si="166"/>
        <v>Q4</v>
      </c>
      <c r="F2123" s="24" t="str">
        <f t="shared" si="167"/>
        <v>Oct</v>
      </c>
      <c r="G2123" s="24">
        <f t="shared" si="168"/>
        <v>10</v>
      </c>
      <c r="H2123" s="19">
        <v>1771</v>
      </c>
      <c r="I2123" s="19" t="s">
        <v>3</v>
      </c>
      <c r="J2123" s="19" t="s">
        <v>8</v>
      </c>
      <c r="K2123" s="20">
        <v>6</v>
      </c>
      <c r="L2123" s="21">
        <v>239.57</v>
      </c>
      <c r="M2123" s="22">
        <v>0.2</v>
      </c>
      <c r="N2123" s="21">
        <f t="shared" si="169"/>
        <v>191.65600000000001</v>
      </c>
      <c r="O2123" s="21">
        <v>1149.94</v>
      </c>
      <c r="P2123" s="19" t="s">
        <v>4</v>
      </c>
      <c r="Q2123" s="23">
        <v>3</v>
      </c>
      <c r="R2123" s="45">
        <v>3.1</v>
      </c>
    </row>
    <row r="2124" spans="2:18" x14ac:dyDescent="0.2">
      <c r="B2124" s="25">
        <v>2121</v>
      </c>
      <c r="C2124" s="18">
        <v>45951</v>
      </c>
      <c r="D2124" s="24">
        <f t="shared" si="165"/>
        <v>2025</v>
      </c>
      <c r="E2124" s="24" t="str">
        <f t="shared" si="166"/>
        <v>Q4</v>
      </c>
      <c r="F2124" s="24" t="str">
        <f t="shared" si="167"/>
        <v>Oct</v>
      </c>
      <c r="G2124" s="24">
        <f t="shared" si="168"/>
        <v>10</v>
      </c>
      <c r="H2124" s="19">
        <v>1570</v>
      </c>
      <c r="I2124" s="19" t="s">
        <v>0</v>
      </c>
      <c r="J2124" s="19" t="s">
        <v>5</v>
      </c>
      <c r="K2124" s="20">
        <v>4</v>
      </c>
      <c r="L2124" s="21">
        <v>291.02999999999997</v>
      </c>
      <c r="M2124" s="22">
        <v>0.08</v>
      </c>
      <c r="N2124" s="21">
        <f t="shared" si="169"/>
        <v>267.74759999999998</v>
      </c>
      <c r="O2124" s="21">
        <v>1070.99</v>
      </c>
      <c r="P2124" s="19" t="s">
        <v>6</v>
      </c>
      <c r="Q2124" s="23">
        <v>3</v>
      </c>
      <c r="R2124" s="45">
        <v>4</v>
      </c>
    </row>
    <row r="2125" spans="2:18" x14ac:dyDescent="0.2">
      <c r="B2125" s="25">
        <v>2122</v>
      </c>
      <c r="C2125" s="18">
        <v>45952</v>
      </c>
      <c r="D2125" s="24">
        <f t="shared" si="165"/>
        <v>2025</v>
      </c>
      <c r="E2125" s="24" t="str">
        <f t="shared" si="166"/>
        <v>Q4</v>
      </c>
      <c r="F2125" s="24" t="str">
        <f t="shared" si="167"/>
        <v>Oct</v>
      </c>
      <c r="G2125" s="24">
        <f t="shared" si="168"/>
        <v>10</v>
      </c>
      <c r="H2125" s="19">
        <v>1583</v>
      </c>
      <c r="I2125" s="19" t="s">
        <v>3</v>
      </c>
      <c r="J2125" s="19" t="s">
        <v>1</v>
      </c>
      <c r="K2125" s="20">
        <v>6</v>
      </c>
      <c r="L2125" s="21">
        <v>523.28</v>
      </c>
      <c r="M2125" s="22">
        <v>0.31</v>
      </c>
      <c r="N2125" s="21">
        <f t="shared" si="169"/>
        <v>361.06319999999999</v>
      </c>
      <c r="O2125" s="21">
        <v>2166.38</v>
      </c>
      <c r="P2125" s="19" t="s">
        <v>6</v>
      </c>
      <c r="Q2125" s="23">
        <v>4</v>
      </c>
      <c r="R2125" s="45">
        <v>3.2</v>
      </c>
    </row>
    <row r="2126" spans="2:18" x14ac:dyDescent="0.2">
      <c r="B2126" s="25">
        <v>2123</v>
      </c>
      <c r="C2126" s="18">
        <v>45953</v>
      </c>
      <c r="D2126" s="24">
        <f t="shared" si="165"/>
        <v>2025</v>
      </c>
      <c r="E2126" s="24" t="str">
        <f t="shared" si="166"/>
        <v>Q4</v>
      </c>
      <c r="F2126" s="24" t="str">
        <f t="shared" si="167"/>
        <v>Oct</v>
      </c>
      <c r="G2126" s="24">
        <f t="shared" si="168"/>
        <v>10</v>
      </c>
      <c r="H2126" s="19">
        <v>1659</v>
      </c>
      <c r="I2126" s="19" t="s">
        <v>3</v>
      </c>
      <c r="J2126" s="19" t="s">
        <v>5</v>
      </c>
      <c r="K2126" s="20">
        <v>5</v>
      </c>
      <c r="L2126" s="21">
        <v>257.69</v>
      </c>
      <c r="M2126" s="22">
        <v>0.02</v>
      </c>
      <c r="N2126" s="21">
        <f t="shared" si="169"/>
        <v>252.53620000000001</v>
      </c>
      <c r="O2126" s="21">
        <v>1262.68</v>
      </c>
      <c r="P2126" s="19" t="s">
        <v>2</v>
      </c>
      <c r="Q2126" s="23">
        <v>11</v>
      </c>
      <c r="R2126" s="45">
        <v>3.5</v>
      </c>
    </row>
    <row r="2127" spans="2:18" x14ac:dyDescent="0.2">
      <c r="B2127" s="25">
        <v>2124</v>
      </c>
      <c r="C2127" s="18">
        <v>45954</v>
      </c>
      <c r="D2127" s="24">
        <f t="shared" si="165"/>
        <v>2025</v>
      </c>
      <c r="E2127" s="24" t="str">
        <f t="shared" si="166"/>
        <v>Q4</v>
      </c>
      <c r="F2127" s="24" t="str">
        <f t="shared" si="167"/>
        <v>Oct</v>
      </c>
      <c r="G2127" s="24">
        <f t="shared" si="168"/>
        <v>10</v>
      </c>
      <c r="H2127" s="19">
        <v>1860</v>
      </c>
      <c r="I2127" s="19" t="s">
        <v>7</v>
      </c>
      <c r="J2127" s="19" t="s">
        <v>1</v>
      </c>
      <c r="K2127" s="20">
        <v>2</v>
      </c>
      <c r="L2127" s="21">
        <v>327.78</v>
      </c>
      <c r="M2127" s="22">
        <v>7.0000000000000007E-2</v>
      </c>
      <c r="N2127" s="21">
        <f t="shared" si="169"/>
        <v>304.83539999999999</v>
      </c>
      <c r="O2127" s="21">
        <v>609.66999999999996</v>
      </c>
      <c r="P2127" s="19" t="s">
        <v>2</v>
      </c>
      <c r="Q2127" s="23">
        <v>11</v>
      </c>
      <c r="R2127" s="45">
        <v>3.1</v>
      </c>
    </row>
    <row r="2128" spans="2:18" x14ac:dyDescent="0.2">
      <c r="B2128" s="25">
        <v>2125</v>
      </c>
      <c r="C2128" s="18">
        <v>45955</v>
      </c>
      <c r="D2128" s="24">
        <f t="shared" si="165"/>
        <v>2025</v>
      </c>
      <c r="E2128" s="24" t="str">
        <f t="shared" si="166"/>
        <v>Q4</v>
      </c>
      <c r="F2128" s="24" t="str">
        <f t="shared" si="167"/>
        <v>Oct</v>
      </c>
      <c r="G2128" s="24">
        <f t="shared" si="168"/>
        <v>10</v>
      </c>
      <c r="H2128" s="19">
        <v>1574</v>
      </c>
      <c r="I2128" s="19" t="s">
        <v>3</v>
      </c>
      <c r="J2128" s="19" t="s">
        <v>1</v>
      </c>
      <c r="K2128" s="20">
        <v>2</v>
      </c>
      <c r="L2128" s="21">
        <v>26.81</v>
      </c>
      <c r="M2128" s="22">
        <v>0.26</v>
      </c>
      <c r="N2128" s="21">
        <f t="shared" si="169"/>
        <v>19.839399999999998</v>
      </c>
      <c r="O2128" s="21">
        <v>39.68</v>
      </c>
      <c r="P2128" s="19" t="s">
        <v>6</v>
      </c>
      <c r="Q2128" s="23">
        <v>5</v>
      </c>
      <c r="R2128" s="45">
        <v>5</v>
      </c>
    </row>
    <row r="2129" spans="2:18" x14ac:dyDescent="0.2">
      <c r="B2129" s="25">
        <v>2126</v>
      </c>
      <c r="C2129" s="18">
        <v>45956</v>
      </c>
      <c r="D2129" s="24">
        <f t="shared" si="165"/>
        <v>2025</v>
      </c>
      <c r="E2129" s="24" t="str">
        <f t="shared" si="166"/>
        <v>Q4</v>
      </c>
      <c r="F2129" s="24" t="str">
        <f t="shared" si="167"/>
        <v>Oct</v>
      </c>
      <c r="G2129" s="24">
        <f t="shared" si="168"/>
        <v>10</v>
      </c>
      <c r="H2129" s="19">
        <v>1309</v>
      </c>
      <c r="I2129" s="19" t="s">
        <v>3</v>
      </c>
      <c r="J2129" s="19" t="s">
        <v>9</v>
      </c>
      <c r="K2129" s="20">
        <v>7</v>
      </c>
      <c r="L2129" s="21">
        <v>107.78</v>
      </c>
      <c r="M2129" s="22">
        <v>0.25</v>
      </c>
      <c r="N2129" s="21">
        <f t="shared" si="169"/>
        <v>80.835000000000008</v>
      </c>
      <c r="O2129" s="21">
        <v>565.84</v>
      </c>
      <c r="P2129" s="19" t="s">
        <v>6</v>
      </c>
      <c r="Q2129" s="23">
        <v>11</v>
      </c>
      <c r="R2129" s="45">
        <v>4.2</v>
      </c>
    </row>
    <row r="2130" spans="2:18" x14ac:dyDescent="0.2">
      <c r="B2130" s="25">
        <v>2127</v>
      </c>
      <c r="C2130" s="18">
        <v>45957</v>
      </c>
      <c r="D2130" s="24">
        <f t="shared" si="165"/>
        <v>2025</v>
      </c>
      <c r="E2130" s="24" t="str">
        <f t="shared" si="166"/>
        <v>Q4</v>
      </c>
      <c r="F2130" s="24" t="str">
        <f t="shared" si="167"/>
        <v>Oct</v>
      </c>
      <c r="G2130" s="24">
        <f t="shared" si="168"/>
        <v>10</v>
      </c>
      <c r="H2130" s="19">
        <v>1884</v>
      </c>
      <c r="I2130" s="19" t="s">
        <v>0</v>
      </c>
      <c r="J2130" s="19" t="s">
        <v>9</v>
      </c>
      <c r="K2130" s="20">
        <v>4</v>
      </c>
      <c r="L2130" s="21">
        <v>390.39</v>
      </c>
      <c r="M2130" s="22">
        <v>0.1</v>
      </c>
      <c r="N2130" s="21">
        <f t="shared" si="169"/>
        <v>351.351</v>
      </c>
      <c r="O2130" s="21">
        <v>1405.4</v>
      </c>
      <c r="P2130" s="19" t="s">
        <v>4</v>
      </c>
      <c r="Q2130" s="23">
        <v>2</v>
      </c>
      <c r="R2130" s="45">
        <v>4</v>
      </c>
    </row>
    <row r="2131" spans="2:18" x14ac:dyDescent="0.2">
      <c r="B2131" s="25">
        <v>2128</v>
      </c>
      <c r="C2131" s="18">
        <v>45958</v>
      </c>
      <c r="D2131" s="24">
        <f t="shared" si="165"/>
        <v>2025</v>
      </c>
      <c r="E2131" s="24" t="str">
        <f t="shared" si="166"/>
        <v>Q4</v>
      </c>
      <c r="F2131" s="24" t="str">
        <f t="shared" si="167"/>
        <v>Oct</v>
      </c>
      <c r="G2131" s="24">
        <f t="shared" si="168"/>
        <v>10</v>
      </c>
      <c r="H2131" s="19">
        <v>1242</v>
      </c>
      <c r="I2131" s="19" t="s">
        <v>3</v>
      </c>
      <c r="J2131" s="19" t="s">
        <v>1</v>
      </c>
      <c r="K2131" s="20">
        <v>2</v>
      </c>
      <c r="L2131" s="21">
        <v>434.43</v>
      </c>
      <c r="M2131" s="22">
        <v>0.02</v>
      </c>
      <c r="N2131" s="21">
        <f t="shared" si="169"/>
        <v>425.7414</v>
      </c>
      <c r="O2131" s="21">
        <v>851.48</v>
      </c>
      <c r="P2131" s="19" t="s">
        <v>4</v>
      </c>
      <c r="Q2131" s="23">
        <v>6</v>
      </c>
      <c r="R2131" s="45">
        <v>3.5</v>
      </c>
    </row>
    <row r="2132" spans="2:18" x14ac:dyDescent="0.2">
      <c r="B2132" s="25">
        <v>2129</v>
      </c>
      <c r="C2132" s="18">
        <v>45959</v>
      </c>
      <c r="D2132" s="24">
        <f t="shared" si="165"/>
        <v>2025</v>
      </c>
      <c r="E2132" s="24" t="str">
        <f t="shared" si="166"/>
        <v>Q4</v>
      </c>
      <c r="F2132" s="24" t="str">
        <f t="shared" si="167"/>
        <v>Oct</v>
      </c>
      <c r="G2132" s="24">
        <f t="shared" si="168"/>
        <v>10</v>
      </c>
      <c r="H2132" s="19">
        <v>1492</v>
      </c>
      <c r="I2132" s="19" t="s">
        <v>3</v>
      </c>
      <c r="J2132" s="19" t="s">
        <v>8</v>
      </c>
      <c r="K2132" s="20">
        <v>2</v>
      </c>
      <c r="L2132" s="21">
        <v>355.82</v>
      </c>
      <c r="M2132" s="22">
        <v>0.3</v>
      </c>
      <c r="N2132" s="21">
        <f t="shared" si="169"/>
        <v>249.07400000000001</v>
      </c>
      <c r="O2132" s="21">
        <v>498.15</v>
      </c>
      <c r="P2132" s="19" t="s">
        <v>4</v>
      </c>
      <c r="Q2132" s="23">
        <v>6</v>
      </c>
      <c r="R2132" s="45">
        <v>3.1</v>
      </c>
    </row>
    <row r="2133" spans="2:18" x14ac:dyDescent="0.2">
      <c r="B2133" s="25">
        <v>2130</v>
      </c>
      <c r="C2133" s="18">
        <v>45960</v>
      </c>
      <c r="D2133" s="24">
        <f t="shared" si="165"/>
        <v>2025</v>
      </c>
      <c r="E2133" s="24" t="str">
        <f t="shared" si="166"/>
        <v>Q4</v>
      </c>
      <c r="F2133" s="24" t="str">
        <f t="shared" si="167"/>
        <v>Oct</v>
      </c>
      <c r="G2133" s="24">
        <f t="shared" si="168"/>
        <v>10</v>
      </c>
      <c r="H2133" s="19">
        <v>1365</v>
      </c>
      <c r="I2133" s="19" t="s">
        <v>7</v>
      </c>
      <c r="J2133" s="19" t="s">
        <v>9</v>
      </c>
      <c r="K2133" s="20">
        <v>7</v>
      </c>
      <c r="L2133" s="21">
        <v>98.84</v>
      </c>
      <c r="M2133" s="22">
        <v>0.11</v>
      </c>
      <c r="N2133" s="21">
        <f t="shared" si="169"/>
        <v>87.967600000000004</v>
      </c>
      <c r="O2133" s="21">
        <v>615.77</v>
      </c>
      <c r="P2133" s="19" t="s">
        <v>4</v>
      </c>
      <c r="Q2133" s="23">
        <v>8</v>
      </c>
      <c r="R2133" s="45">
        <v>2.4</v>
      </c>
    </row>
    <row r="2134" spans="2:18" x14ac:dyDescent="0.2">
      <c r="B2134" s="25">
        <v>2131</v>
      </c>
      <c r="C2134" s="18">
        <v>45961</v>
      </c>
      <c r="D2134" s="24">
        <f t="shared" si="165"/>
        <v>2025</v>
      </c>
      <c r="E2134" s="24" t="str">
        <f t="shared" si="166"/>
        <v>Q4</v>
      </c>
      <c r="F2134" s="24" t="str">
        <f t="shared" si="167"/>
        <v>Oct</v>
      </c>
      <c r="G2134" s="24">
        <f t="shared" si="168"/>
        <v>10</v>
      </c>
      <c r="H2134" s="19">
        <v>1329</v>
      </c>
      <c r="I2134" s="19" t="s">
        <v>0</v>
      </c>
      <c r="J2134" s="19" t="s">
        <v>1</v>
      </c>
      <c r="K2134" s="20">
        <v>4</v>
      </c>
      <c r="L2134" s="21">
        <v>275.56</v>
      </c>
      <c r="M2134" s="22">
        <v>7.0000000000000007E-2</v>
      </c>
      <c r="N2134" s="21">
        <f t="shared" si="169"/>
        <v>256.27080000000001</v>
      </c>
      <c r="O2134" s="21">
        <v>1025.08</v>
      </c>
      <c r="P2134" s="19" t="s">
        <v>4</v>
      </c>
      <c r="Q2134" s="23">
        <v>2</v>
      </c>
      <c r="R2134" s="45">
        <v>4.0999999999999996</v>
      </c>
    </row>
    <row r="2135" spans="2:18" x14ac:dyDescent="0.2">
      <c r="B2135" s="25">
        <v>2132</v>
      </c>
      <c r="C2135" s="18">
        <v>45962</v>
      </c>
      <c r="D2135" s="24">
        <f t="shared" si="165"/>
        <v>2025</v>
      </c>
      <c r="E2135" s="24" t="str">
        <f t="shared" si="166"/>
        <v>Q4</v>
      </c>
      <c r="F2135" s="24" t="str">
        <f t="shared" si="167"/>
        <v>Nov</v>
      </c>
      <c r="G2135" s="24">
        <f t="shared" si="168"/>
        <v>11</v>
      </c>
      <c r="H2135" s="19">
        <v>1106</v>
      </c>
      <c r="I2135" s="19" t="s">
        <v>7</v>
      </c>
      <c r="J2135" s="19" t="s">
        <v>5</v>
      </c>
      <c r="K2135" s="20">
        <v>6</v>
      </c>
      <c r="L2135" s="21">
        <v>222.73</v>
      </c>
      <c r="M2135" s="22">
        <v>0.18</v>
      </c>
      <c r="N2135" s="21">
        <f t="shared" si="169"/>
        <v>182.6386</v>
      </c>
      <c r="O2135" s="21">
        <v>1095.83</v>
      </c>
      <c r="P2135" s="19" t="s">
        <v>4</v>
      </c>
      <c r="Q2135" s="23">
        <v>8</v>
      </c>
      <c r="R2135" s="45">
        <v>1.8</v>
      </c>
    </row>
    <row r="2136" spans="2:18" x14ac:dyDescent="0.2">
      <c r="B2136" s="25">
        <v>2133</v>
      </c>
      <c r="C2136" s="18">
        <v>45963</v>
      </c>
      <c r="D2136" s="24">
        <f t="shared" si="165"/>
        <v>2025</v>
      </c>
      <c r="E2136" s="24" t="str">
        <f t="shared" si="166"/>
        <v>Q4</v>
      </c>
      <c r="F2136" s="24" t="str">
        <f t="shared" si="167"/>
        <v>Nov</v>
      </c>
      <c r="G2136" s="24">
        <f t="shared" si="168"/>
        <v>11</v>
      </c>
      <c r="H2136" s="19">
        <v>1225</v>
      </c>
      <c r="I2136" s="19" t="s">
        <v>7</v>
      </c>
      <c r="J2136" s="19" t="s">
        <v>5</v>
      </c>
      <c r="K2136" s="20">
        <v>3</v>
      </c>
      <c r="L2136" s="21">
        <v>304.95999999999998</v>
      </c>
      <c r="M2136" s="22">
        <v>0.32</v>
      </c>
      <c r="N2136" s="21">
        <f t="shared" si="169"/>
        <v>207.37279999999998</v>
      </c>
      <c r="O2136" s="21">
        <v>622.12</v>
      </c>
      <c r="P2136" s="19" t="s">
        <v>6</v>
      </c>
      <c r="Q2136" s="23">
        <v>8</v>
      </c>
      <c r="R2136" s="45">
        <v>1.1000000000000001</v>
      </c>
    </row>
    <row r="2137" spans="2:18" x14ac:dyDescent="0.2">
      <c r="B2137" s="25">
        <v>2134</v>
      </c>
      <c r="C2137" s="18">
        <v>45964</v>
      </c>
      <c r="D2137" s="24">
        <f t="shared" si="165"/>
        <v>2025</v>
      </c>
      <c r="E2137" s="24" t="str">
        <f t="shared" si="166"/>
        <v>Q4</v>
      </c>
      <c r="F2137" s="24" t="str">
        <f t="shared" si="167"/>
        <v>Nov</v>
      </c>
      <c r="G2137" s="24">
        <f t="shared" si="168"/>
        <v>11</v>
      </c>
      <c r="H2137" s="19">
        <v>1824</v>
      </c>
      <c r="I2137" s="19" t="s">
        <v>10</v>
      </c>
      <c r="J2137" s="19" t="s">
        <v>8</v>
      </c>
      <c r="K2137" s="20">
        <v>6</v>
      </c>
      <c r="L2137" s="21">
        <v>524.14</v>
      </c>
      <c r="M2137" s="22">
        <v>0.02</v>
      </c>
      <c r="N2137" s="21">
        <f t="shared" si="169"/>
        <v>513.65719999999999</v>
      </c>
      <c r="O2137" s="21">
        <v>3081.94</v>
      </c>
      <c r="P2137" s="19" t="s">
        <v>6</v>
      </c>
      <c r="Q2137" s="23">
        <v>4</v>
      </c>
      <c r="R2137" s="45">
        <v>3.8</v>
      </c>
    </row>
    <row r="2138" spans="2:18" x14ac:dyDescent="0.2">
      <c r="B2138" s="25">
        <v>2135</v>
      </c>
      <c r="C2138" s="18">
        <v>45965</v>
      </c>
      <c r="D2138" s="24">
        <f t="shared" si="165"/>
        <v>2025</v>
      </c>
      <c r="E2138" s="24" t="str">
        <f t="shared" si="166"/>
        <v>Q4</v>
      </c>
      <c r="F2138" s="24" t="str">
        <f t="shared" si="167"/>
        <v>Nov</v>
      </c>
      <c r="G2138" s="24">
        <f t="shared" si="168"/>
        <v>11</v>
      </c>
      <c r="H2138" s="19">
        <v>1217</v>
      </c>
      <c r="I2138" s="19" t="s">
        <v>3</v>
      </c>
      <c r="J2138" s="19" t="s">
        <v>5</v>
      </c>
      <c r="K2138" s="20">
        <v>5</v>
      </c>
      <c r="L2138" s="21">
        <v>468.88</v>
      </c>
      <c r="M2138" s="22">
        <v>0.27</v>
      </c>
      <c r="N2138" s="21">
        <f t="shared" si="169"/>
        <v>342.2824</v>
      </c>
      <c r="O2138" s="21">
        <v>1711.41</v>
      </c>
      <c r="P2138" s="19" t="s">
        <v>6</v>
      </c>
      <c r="Q2138" s="23">
        <v>7</v>
      </c>
      <c r="R2138" s="45">
        <v>1.6</v>
      </c>
    </row>
    <row r="2139" spans="2:18" x14ac:dyDescent="0.2">
      <c r="B2139" s="25">
        <v>2136</v>
      </c>
      <c r="C2139" s="18">
        <v>45966</v>
      </c>
      <c r="D2139" s="24">
        <f t="shared" si="165"/>
        <v>2025</v>
      </c>
      <c r="E2139" s="24" t="str">
        <f t="shared" si="166"/>
        <v>Q4</v>
      </c>
      <c r="F2139" s="24" t="str">
        <f t="shared" si="167"/>
        <v>Nov</v>
      </c>
      <c r="G2139" s="24">
        <f t="shared" si="168"/>
        <v>11</v>
      </c>
      <c r="H2139" s="19">
        <v>1936</v>
      </c>
      <c r="I2139" s="19" t="s">
        <v>3</v>
      </c>
      <c r="J2139" s="19" t="s">
        <v>5</v>
      </c>
      <c r="K2139" s="20">
        <v>5</v>
      </c>
      <c r="L2139" s="21">
        <v>64.13</v>
      </c>
      <c r="M2139" s="22">
        <v>0.2</v>
      </c>
      <c r="N2139" s="21">
        <f t="shared" si="169"/>
        <v>51.303999999999995</v>
      </c>
      <c r="O2139" s="21">
        <v>256.52</v>
      </c>
      <c r="P2139" s="19" t="s">
        <v>6</v>
      </c>
      <c r="Q2139" s="23">
        <v>7</v>
      </c>
      <c r="R2139" s="45">
        <v>4.5999999999999996</v>
      </c>
    </row>
    <row r="2140" spans="2:18" x14ac:dyDescent="0.2">
      <c r="B2140" s="25">
        <v>2137</v>
      </c>
      <c r="C2140" s="18">
        <v>45967</v>
      </c>
      <c r="D2140" s="24">
        <f t="shared" si="165"/>
        <v>2025</v>
      </c>
      <c r="E2140" s="24" t="str">
        <f t="shared" si="166"/>
        <v>Q4</v>
      </c>
      <c r="F2140" s="24" t="str">
        <f t="shared" si="167"/>
        <v>Nov</v>
      </c>
      <c r="G2140" s="24">
        <f t="shared" si="168"/>
        <v>11</v>
      </c>
      <c r="H2140" s="19">
        <v>1752</v>
      </c>
      <c r="I2140" s="19" t="s">
        <v>3</v>
      </c>
      <c r="J2140" s="19" t="s">
        <v>1</v>
      </c>
      <c r="K2140" s="20">
        <v>2</v>
      </c>
      <c r="L2140" s="21">
        <v>535.83000000000004</v>
      </c>
      <c r="M2140" s="22">
        <v>0.15</v>
      </c>
      <c r="N2140" s="21">
        <f t="shared" si="169"/>
        <v>455.45550000000003</v>
      </c>
      <c r="O2140" s="21">
        <v>910.91</v>
      </c>
      <c r="P2140" s="19" t="s">
        <v>4</v>
      </c>
      <c r="Q2140" s="23">
        <v>1</v>
      </c>
      <c r="R2140" s="45">
        <v>4.0999999999999996</v>
      </c>
    </row>
    <row r="2141" spans="2:18" x14ac:dyDescent="0.2">
      <c r="B2141" s="25">
        <v>2138</v>
      </c>
      <c r="C2141" s="18">
        <v>45968</v>
      </c>
      <c r="D2141" s="24">
        <f t="shared" si="165"/>
        <v>2025</v>
      </c>
      <c r="E2141" s="24" t="str">
        <f t="shared" si="166"/>
        <v>Q4</v>
      </c>
      <c r="F2141" s="24" t="str">
        <f t="shared" si="167"/>
        <v>Nov</v>
      </c>
      <c r="G2141" s="24">
        <f t="shared" si="168"/>
        <v>11</v>
      </c>
      <c r="H2141" s="19">
        <v>1505</v>
      </c>
      <c r="I2141" s="19" t="s">
        <v>10</v>
      </c>
      <c r="J2141" s="19" t="s">
        <v>5</v>
      </c>
      <c r="K2141" s="20">
        <v>5</v>
      </c>
      <c r="L2141" s="21">
        <v>290.98</v>
      </c>
      <c r="M2141" s="22">
        <v>0.26</v>
      </c>
      <c r="N2141" s="21">
        <f t="shared" si="169"/>
        <v>215.3252</v>
      </c>
      <c r="O2141" s="21">
        <v>1076.6300000000001</v>
      </c>
      <c r="P2141" s="19" t="s">
        <v>2</v>
      </c>
      <c r="Q2141" s="23">
        <v>1</v>
      </c>
      <c r="R2141" s="45">
        <v>3.4</v>
      </c>
    </row>
    <row r="2142" spans="2:18" x14ac:dyDescent="0.2">
      <c r="B2142" s="25">
        <v>2139</v>
      </c>
      <c r="C2142" s="18">
        <v>45969</v>
      </c>
      <c r="D2142" s="24">
        <f t="shared" si="165"/>
        <v>2025</v>
      </c>
      <c r="E2142" s="24" t="str">
        <f t="shared" si="166"/>
        <v>Q4</v>
      </c>
      <c r="F2142" s="24" t="str">
        <f t="shared" si="167"/>
        <v>Nov</v>
      </c>
      <c r="G2142" s="24">
        <f t="shared" si="168"/>
        <v>11</v>
      </c>
      <c r="H2142" s="19">
        <v>1258</v>
      </c>
      <c r="I2142" s="19" t="s">
        <v>7</v>
      </c>
      <c r="J2142" s="19" t="s">
        <v>5</v>
      </c>
      <c r="K2142" s="20">
        <v>3</v>
      </c>
      <c r="L2142" s="21">
        <v>450.16</v>
      </c>
      <c r="M2142" s="22">
        <v>0.34</v>
      </c>
      <c r="N2142" s="21">
        <f t="shared" si="169"/>
        <v>297.10559999999998</v>
      </c>
      <c r="O2142" s="21">
        <v>891.32</v>
      </c>
      <c r="P2142" s="19" t="s">
        <v>4</v>
      </c>
      <c r="Q2142" s="23">
        <v>8</v>
      </c>
      <c r="R2142" s="45">
        <v>2.2999999999999998</v>
      </c>
    </row>
    <row r="2143" spans="2:18" x14ac:dyDescent="0.2">
      <c r="B2143" s="25">
        <v>2140</v>
      </c>
      <c r="C2143" s="18">
        <v>45970</v>
      </c>
      <c r="D2143" s="24">
        <f t="shared" si="165"/>
        <v>2025</v>
      </c>
      <c r="E2143" s="24" t="str">
        <f t="shared" si="166"/>
        <v>Q4</v>
      </c>
      <c r="F2143" s="24" t="str">
        <f t="shared" si="167"/>
        <v>Nov</v>
      </c>
      <c r="G2143" s="24">
        <f t="shared" si="168"/>
        <v>11</v>
      </c>
      <c r="H2143" s="19">
        <v>1887</v>
      </c>
      <c r="I2143" s="19" t="s">
        <v>10</v>
      </c>
      <c r="J2143" s="19" t="s">
        <v>5</v>
      </c>
      <c r="K2143" s="20">
        <v>2</v>
      </c>
      <c r="L2143" s="21">
        <v>96.92</v>
      </c>
      <c r="M2143" s="22">
        <v>0.08</v>
      </c>
      <c r="N2143" s="21">
        <f t="shared" si="169"/>
        <v>89.166399999999996</v>
      </c>
      <c r="O2143" s="21">
        <v>178.33</v>
      </c>
      <c r="P2143" s="19" t="s">
        <v>2</v>
      </c>
      <c r="Q2143" s="23">
        <v>11</v>
      </c>
      <c r="R2143" s="45">
        <v>3.6</v>
      </c>
    </row>
    <row r="2144" spans="2:18" x14ac:dyDescent="0.2">
      <c r="B2144" s="25">
        <v>2141</v>
      </c>
      <c r="C2144" s="18">
        <v>45971</v>
      </c>
      <c r="D2144" s="24">
        <f t="shared" si="165"/>
        <v>2025</v>
      </c>
      <c r="E2144" s="24" t="str">
        <f t="shared" si="166"/>
        <v>Q4</v>
      </c>
      <c r="F2144" s="24" t="str">
        <f t="shared" si="167"/>
        <v>Nov</v>
      </c>
      <c r="G2144" s="24">
        <f t="shared" si="168"/>
        <v>11</v>
      </c>
      <c r="H2144" s="19">
        <v>1773</v>
      </c>
      <c r="I2144" s="19" t="s">
        <v>3</v>
      </c>
      <c r="J2144" s="19" t="s">
        <v>5</v>
      </c>
      <c r="K2144" s="20">
        <v>7</v>
      </c>
      <c r="L2144" s="21">
        <v>407.37</v>
      </c>
      <c r="M2144" s="22">
        <v>0.05</v>
      </c>
      <c r="N2144" s="21">
        <f t="shared" si="169"/>
        <v>387.00150000000002</v>
      </c>
      <c r="O2144" s="21">
        <v>2709.01</v>
      </c>
      <c r="P2144" s="19" t="s">
        <v>4</v>
      </c>
      <c r="Q2144" s="23">
        <v>1</v>
      </c>
      <c r="R2144" s="45">
        <v>2.9</v>
      </c>
    </row>
    <row r="2145" spans="2:18" x14ac:dyDescent="0.2">
      <c r="B2145" s="25">
        <v>2142</v>
      </c>
      <c r="C2145" s="18">
        <v>45972</v>
      </c>
      <c r="D2145" s="24">
        <f t="shared" si="165"/>
        <v>2025</v>
      </c>
      <c r="E2145" s="24" t="str">
        <f t="shared" si="166"/>
        <v>Q4</v>
      </c>
      <c r="F2145" s="24" t="str">
        <f t="shared" si="167"/>
        <v>Nov</v>
      </c>
      <c r="G2145" s="24">
        <f t="shared" si="168"/>
        <v>11</v>
      </c>
      <c r="H2145" s="19">
        <v>1516</v>
      </c>
      <c r="I2145" s="19" t="s">
        <v>3</v>
      </c>
      <c r="J2145" s="19" t="s">
        <v>1</v>
      </c>
      <c r="K2145" s="20">
        <v>5</v>
      </c>
      <c r="L2145" s="21">
        <v>153.25</v>
      </c>
      <c r="M2145" s="22">
        <v>0.32</v>
      </c>
      <c r="N2145" s="21">
        <f t="shared" si="169"/>
        <v>104.21000000000001</v>
      </c>
      <c r="O2145" s="21">
        <v>521.04999999999995</v>
      </c>
      <c r="P2145" s="19" t="s">
        <v>6</v>
      </c>
      <c r="Q2145" s="23">
        <v>3</v>
      </c>
      <c r="R2145" s="45">
        <v>2.2000000000000002</v>
      </c>
    </row>
    <row r="2146" spans="2:18" x14ac:dyDescent="0.2">
      <c r="B2146" s="25">
        <v>2143</v>
      </c>
      <c r="C2146" s="18">
        <v>45973</v>
      </c>
      <c r="D2146" s="24">
        <f t="shared" si="165"/>
        <v>2025</v>
      </c>
      <c r="E2146" s="24" t="str">
        <f t="shared" si="166"/>
        <v>Q4</v>
      </c>
      <c r="F2146" s="24" t="str">
        <f t="shared" si="167"/>
        <v>Nov</v>
      </c>
      <c r="G2146" s="24">
        <f t="shared" si="168"/>
        <v>11</v>
      </c>
      <c r="H2146" s="19">
        <v>1772</v>
      </c>
      <c r="I2146" s="19" t="s">
        <v>3</v>
      </c>
      <c r="J2146" s="19" t="s">
        <v>5</v>
      </c>
      <c r="K2146" s="20">
        <v>7</v>
      </c>
      <c r="L2146" s="21">
        <v>271.45</v>
      </c>
      <c r="M2146" s="22">
        <v>0.23</v>
      </c>
      <c r="N2146" s="21">
        <f t="shared" si="169"/>
        <v>209.01649999999998</v>
      </c>
      <c r="O2146" s="21">
        <v>1463.12</v>
      </c>
      <c r="P2146" s="19" t="s">
        <v>4</v>
      </c>
      <c r="Q2146" s="23">
        <v>6</v>
      </c>
      <c r="R2146" s="45">
        <v>4.8</v>
      </c>
    </row>
    <row r="2147" spans="2:18" x14ac:dyDescent="0.2">
      <c r="B2147" s="25">
        <v>2144</v>
      </c>
      <c r="C2147" s="18">
        <v>45974</v>
      </c>
      <c r="D2147" s="24">
        <f t="shared" si="165"/>
        <v>2025</v>
      </c>
      <c r="E2147" s="24" t="str">
        <f t="shared" si="166"/>
        <v>Q4</v>
      </c>
      <c r="F2147" s="24" t="str">
        <f t="shared" si="167"/>
        <v>Nov</v>
      </c>
      <c r="G2147" s="24">
        <f t="shared" si="168"/>
        <v>11</v>
      </c>
      <c r="H2147" s="19">
        <v>1053</v>
      </c>
      <c r="I2147" s="19" t="s">
        <v>7</v>
      </c>
      <c r="J2147" s="19" t="s">
        <v>8</v>
      </c>
      <c r="K2147" s="20">
        <v>1</v>
      </c>
      <c r="L2147" s="21">
        <v>24.86</v>
      </c>
      <c r="M2147" s="22">
        <v>0.15</v>
      </c>
      <c r="N2147" s="21">
        <f t="shared" si="169"/>
        <v>21.131</v>
      </c>
      <c r="O2147" s="21">
        <v>21.13</v>
      </c>
      <c r="P2147" s="19" t="s">
        <v>4</v>
      </c>
      <c r="Q2147" s="23">
        <v>8</v>
      </c>
      <c r="R2147" s="45">
        <v>1.6</v>
      </c>
    </row>
    <row r="2148" spans="2:18" x14ac:dyDescent="0.2">
      <c r="B2148" s="25">
        <v>2145</v>
      </c>
      <c r="C2148" s="18">
        <v>45975</v>
      </c>
      <c r="D2148" s="24">
        <f t="shared" si="165"/>
        <v>2025</v>
      </c>
      <c r="E2148" s="24" t="str">
        <f t="shared" si="166"/>
        <v>Q4</v>
      </c>
      <c r="F2148" s="24" t="str">
        <f t="shared" si="167"/>
        <v>Nov</v>
      </c>
      <c r="G2148" s="24">
        <f t="shared" si="168"/>
        <v>11</v>
      </c>
      <c r="H2148" s="19">
        <v>1046</v>
      </c>
      <c r="I2148" s="19" t="s">
        <v>10</v>
      </c>
      <c r="J2148" s="19" t="s">
        <v>9</v>
      </c>
      <c r="K2148" s="20">
        <v>1</v>
      </c>
      <c r="L2148" s="21">
        <v>103.69</v>
      </c>
      <c r="M2148" s="22">
        <v>0.2</v>
      </c>
      <c r="N2148" s="21">
        <f t="shared" si="169"/>
        <v>82.951999999999998</v>
      </c>
      <c r="O2148" s="21">
        <v>82.95</v>
      </c>
      <c r="P2148" s="19" t="s">
        <v>4</v>
      </c>
      <c r="Q2148" s="23">
        <v>5</v>
      </c>
      <c r="R2148" s="45">
        <v>4</v>
      </c>
    </row>
    <row r="2149" spans="2:18" x14ac:dyDescent="0.2">
      <c r="B2149" s="25">
        <v>2146</v>
      </c>
      <c r="C2149" s="18">
        <v>45976</v>
      </c>
      <c r="D2149" s="24">
        <f t="shared" si="165"/>
        <v>2025</v>
      </c>
      <c r="E2149" s="24" t="str">
        <f t="shared" si="166"/>
        <v>Q4</v>
      </c>
      <c r="F2149" s="24" t="str">
        <f t="shared" si="167"/>
        <v>Nov</v>
      </c>
      <c r="G2149" s="24">
        <f t="shared" si="168"/>
        <v>11</v>
      </c>
      <c r="H2149" s="19">
        <v>1726</v>
      </c>
      <c r="I2149" s="19" t="s">
        <v>3</v>
      </c>
      <c r="J2149" s="19" t="s">
        <v>8</v>
      </c>
      <c r="K2149" s="20">
        <v>1</v>
      </c>
      <c r="L2149" s="21">
        <v>68.87</v>
      </c>
      <c r="M2149" s="22">
        <v>0.26</v>
      </c>
      <c r="N2149" s="21">
        <f t="shared" si="169"/>
        <v>50.963800000000006</v>
      </c>
      <c r="O2149" s="21">
        <v>50.96</v>
      </c>
      <c r="P2149" s="19" t="s">
        <v>6</v>
      </c>
      <c r="Q2149" s="23">
        <v>5</v>
      </c>
      <c r="R2149" s="45">
        <v>4.2</v>
      </c>
    </row>
    <row r="2150" spans="2:18" x14ac:dyDescent="0.2">
      <c r="B2150" s="25">
        <v>2147</v>
      </c>
      <c r="C2150" s="18">
        <v>45977</v>
      </c>
      <c r="D2150" s="24">
        <f t="shared" si="165"/>
        <v>2025</v>
      </c>
      <c r="E2150" s="24" t="str">
        <f t="shared" si="166"/>
        <v>Q4</v>
      </c>
      <c r="F2150" s="24" t="str">
        <f t="shared" si="167"/>
        <v>Nov</v>
      </c>
      <c r="G2150" s="24">
        <f t="shared" si="168"/>
        <v>11</v>
      </c>
      <c r="H2150" s="19">
        <v>1688</v>
      </c>
      <c r="I2150" s="19" t="s">
        <v>7</v>
      </c>
      <c r="J2150" s="19" t="s">
        <v>9</v>
      </c>
      <c r="K2150" s="20">
        <v>7</v>
      </c>
      <c r="L2150" s="21">
        <v>155.25</v>
      </c>
      <c r="M2150" s="22">
        <v>0.27</v>
      </c>
      <c r="N2150" s="21">
        <f t="shared" si="169"/>
        <v>113.3325</v>
      </c>
      <c r="O2150" s="21">
        <v>793.33</v>
      </c>
      <c r="P2150" s="19" t="s">
        <v>4</v>
      </c>
      <c r="Q2150" s="23">
        <v>4</v>
      </c>
      <c r="R2150" s="45">
        <v>4.8</v>
      </c>
    </row>
    <row r="2151" spans="2:18" x14ac:dyDescent="0.2">
      <c r="B2151" s="25">
        <v>2148</v>
      </c>
      <c r="C2151" s="18">
        <v>45978</v>
      </c>
      <c r="D2151" s="24">
        <f t="shared" si="165"/>
        <v>2025</v>
      </c>
      <c r="E2151" s="24" t="str">
        <f t="shared" si="166"/>
        <v>Q4</v>
      </c>
      <c r="F2151" s="24" t="str">
        <f t="shared" si="167"/>
        <v>Nov</v>
      </c>
      <c r="G2151" s="24">
        <f t="shared" si="168"/>
        <v>11</v>
      </c>
      <c r="H2151" s="19">
        <v>1520</v>
      </c>
      <c r="I2151" s="19" t="s">
        <v>3</v>
      </c>
      <c r="J2151" s="19" t="s">
        <v>8</v>
      </c>
      <c r="K2151" s="20">
        <v>1</v>
      </c>
      <c r="L2151" s="21">
        <v>73.510000000000005</v>
      </c>
      <c r="M2151" s="22">
        <v>0.32</v>
      </c>
      <c r="N2151" s="21">
        <f t="shared" si="169"/>
        <v>49.986800000000002</v>
      </c>
      <c r="O2151" s="21">
        <v>49.99</v>
      </c>
      <c r="P2151" s="19" t="s">
        <v>6</v>
      </c>
      <c r="Q2151" s="23">
        <v>4</v>
      </c>
      <c r="R2151" s="45">
        <v>3.2</v>
      </c>
    </row>
    <row r="2152" spans="2:18" x14ac:dyDescent="0.2">
      <c r="B2152" s="25">
        <v>2149</v>
      </c>
      <c r="C2152" s="18">
        <v>45979</v>
      </c>
      <c r="D2152" s="24">
        <f t="shared" si="165"/>
        <v>2025</v>
      </c>
      <c r="E2152" s="24" t="str">
        <f t="shared" si="166"/>
        <v>Q4</v>
      </c>
      <c r="F2152" s="24" t="str">
        <f t="shared" si="167"/>
        <v>Nov</v>
      </c>
      <c r="G2152" s="24">
        <f t="shared" si="168"/>
        <v>11</v>
      </c>
      <c r="H2152" s="19">
        <v>1098</v>
      </c>
      <c r="I2152" s="19" t="s">
        <v>0</v>
      </c>
      <c r="J2152" s="19" t="s">
        <v>9</v>
      </c>
      <c r="K2152" s="20">
        <v>6</v>
      </c>
      <c r="L2152" s="21">
        <v>419.77</v>
      </c>
      <c r="M2152" s="22">
        <v>0.15</v>
      </c>
      <c r="N2152" s="21">
        <f t="shared" si="169"/>
        <v>356.80449999999996</v>
      </c>
      <c r="O2152" s="21">
        <v>2140.83</v>
      </c>
      <c r="P2152" s="19" t="s">
        <v>4</v>
      </c>
      <c r="Q2152" s="23">
        <v>7</v>
      </c>
      <c r="R2152" s="45">
        <v>3.1</v>
      </c>
    </row>
    <row r="2153" spans="2:18" x14ac:dyDescent="0.2">
      <c r="B2153" s="25">
        <v>2150</v>
      </c>
      <c r="C2153" s="18">
        <v>45980</v>
      </c>
      <c r="D2153" s="24">
        <f t="shared" si="165"/>
        <v>2025</v>
      </c>
      <c r="E2153" s="24" t="str">
        <f t="shared" si="166"/>
        <v>Q4</v>
      </c>
      <c r="F2153" s="24" t="str">
        <f t="shared" si="167"/>
        <v>Nov</v>
      </c>
      <c r="G2153" s="24">
        <f t="shared" si="168"/>
        <v>11</v>
      </c>
      <c r="H2153" s="19">
        <v>1019</v>
      </c>
      <c r="I2153" s="19" t="s">
        <v>3</v>
      </c>
      <c r="J2153" s="19" t="s">
        <v>9</v>
      </c>
      <c r="K2153" s="20">
        <v>1</v>
      </c>
      <c r="L2153" s="21">
        <v>31.99</v>
      </c>
      <c r="M2153" s="22">
        <v>0.1</v>
      </c>
      <c r="N2153" s="21">
        <f t="shared" si="169"/>
        <v>28.790999999999997</v>
      </c>
      <c r="O2153" s="21">
        <v>28.79</v>
      </c>
      <c r="P2153" s="19" t="s">
        <v>4</v>
      </c>
      <c r="Q2153" s="23">
        <v>6</v>
      </c>
      <c r="R2153" s="45">
        <v>4.7</v>
      </c>
    </row>
    <row r="2154" spans="2:18" x14ac:dyDescent="0.2">
      <c r="B2154" s="25">
        <v>2151</v>
      </c>
      <c r="C2154" s="18">
        <v>45981</v>
      </c>
      <c r="D2154" s="24">
        <f t="shared" si="165"/>
        <v>2025</v>
      </c>
      <c r="E2154" s="24" t="str">
        <f t="shared" si="166"/>
        <v>Q4</v>
      </c>
      <c r="F2154" s="24" t="str">
        <f t="shared" si="167"/>
        <v>Nov</v>
      </c>
      <c r="G2154" s="24">
        <f t="shared" si="168"/>
        <v>11</v>
      </c>
      <c r="H2154" s="19">
        <v>1889</v>
      </c>
      <c r="I2154" s="19" t="s">
        <v>0</v>
      </c>
      <c r="J2154" s="19" t="s">
        <v>9</v>
      </c>
      <c r="K2154" s="20">
        <v>2</v>
      </c>
      <c r="L2154" s="21">
        <v>376.38</v>
      </c>
      <c r="M2154" s="22">
        <v>0.22</v>
      </c>
      <c r="N2154" s="21">
        <f t="shared" si="169"/>
        <v>293.57639999999998</v>
      </c>
      <c r="O2154" s="21">
        <v>587.15</v>
      </c>
      <c r="P2154" s="19" t="s">
        <v>2</v>
      </c>
      <c r="Q2154" s="23">
        <v>8</v>
      </c>
      <c r="R2154" s="45">
        <v>4.2</v>
      </c>
    </row>
    <row r="2155" spans="2:18" x14ac:dyDescent="0.2">
      <c r="B2155" s="25">
        <v>2152</v>
      </c>
      <c r="C2155" s="18">
        <v>45982</v>
      </c>
      <c r="D2155" s="24">
        <f t="shared" si="165"/>
        <v>2025</v>
      </c>
      <c r="E2155" s="24" t="str">
        <f t="shared" si="166"/>
        <v>Q4</v>
      </c>
      <c r="F2155" s="24" t="str">
        <f t="shared" si="167"/>
        <v>Nov</v>
      </c>
      <c r="G2155" s="24">
        <f t="shared" si="168"/>
        <v>11</v>
      </c>
      <c r="H2155" s="19">
        <v>1752</v>
      </c>
      <c r="I2155" s="19" t="s">
        <v>7</v>
      </c>
      <c r="J2155" s="19" t="s">
        <v>9</v>
      </c>
      <c r="K2155" s="20">
        <v>4</v>
      </c>
      <c r="L2155" s="21">
        <v>97.31</v>
      </c>
      <c r="M2155" s="22">
        <v>0.15</v>
      </c>
      <c r="N2155" s="21">
        <f t="shared" si="169"/>
        <v>82.71350000000001</v>
      </c>
      <c r="O2155" s="21">
        <v>330.85</v>
      </c>
      <c r="P2155" s="19" t="s">
        <v>2</v>
      </c>
      <c r="Q2155" s="23">
        <v>11</v>
      </c>
      <c r="R2155" s="45">
        <v>4.0999999999999996</v>
      </c>
    </row>
    <row r="2156" spans="2:18" x14ac:dyDescent="0.2">
      <c r="B2156" s="25">
        <v>2153</v>
      </c>
      <c r="C2156" s="18">
        <v>45983</v>
      </c>
      <c r="D2156" s="24">
        <f t="shared" si="165"/>
        <v>2025</v>
      </c>
      <c r="E2156" s="24" t="str">
        <f t="shared" si="166"/>
        <v>Q4</v>
      </c>
      <c r="F2156" s="24" t="str">
        <f t="shared" si="167"/>
        <v>Nov</v>
      </c>
      <c r="G2156" s="24">
        <f t="shared" si="168"/>
        <v>11</v>
      </c>
      <c r="H2156" s="19">
        <v>1572</v>
      </c>
      <c r="I2156" s="19" t="s">
        <v>7</v>
      </c>
      <c r="J2156" s="19" t="s">
        <v>1</v>
      </c>
      <c r="K2156" s="20">
        <v>6</v>
      </c>
      <c r="L2156" s="21">
        <v>567.91999999999996</v>
      </c>
      <c r="M2156" s="22">
        <v>0.21</v>
      </c>
      <c r="N2156" s="21">
        <f t="shared" si="169"/>
        <v>448.65679999999998</v>
      </c>
      <c r="O2156" s="21">
        <v>2691.94</v>
      </c>
      <c r="P2156" s="19" t="s">
        <v>6</v>
      </c>
      <c r="Q2156" s="23">
        <v>6</v>
      </c>
      <c r="R2156" s="45">
        <v>4.2</v>
      </c>
    </row>
    <row r="2157" spans="2:18" x14ac:dyDescent="0.2">
      <c r="B2157" s="25">
        <v>2154</v>
      </c>
      <c r="C2157" s="18">
        <v>45984</v>
      </c>
      <c r="D2157" s="24">
        <f t="shared" si="165"/>
        <v>2025</v>
      </c>
      <c r="E2157" s="24" t="str">
        <f t="shared" si="166"/>
        <v>Q4</v>
      </c>
      <c r="F2157" s="24" t="str">
        <f t="shared" si="167"/>
        <v>Nov</v>
      </c>
      <c r="G2157" s="24">
        <f t="shared" si="168"/>
        <v>11</v>
      </c>
      <c r="H2157" s="19">
        <v>1890</v>
      </c>
      <c r="I2157" s="19" t="s">
        <v>7</v>
      </c>
      <c r="J2157" s="19" t="s">
        <v>8</v>
      </c>
      <c r="K2157" s="20">
        <v>4</v>
      </c>
      <c r="L2157" s="21">
        <v>560.86</v>
      </c>
      <c r="M2157" s="22">
        <v>0.15</v>
      </c>
      <c r="N2157" s="21">
        <f t="shared" si="169"/>
        <v>476.73099999999999</v>
      </c>
      <c r="O2157" s="21">
        <v>1906.92</v>
      </c>
      <c r="P2157" s="19" t="s">
        <v>4</v>
      </c>
      <c r="Q2157" s="23">
        <v>11</v>
      </c>
      <c r="R2157" s="45">
        <v>3</v>
      </c>
    </row>
    <row r="2158" spans="2:18" x14ac:dyDescent="0.2">
      <c r="B2158" s="25">
        <v>2155</v>
      </c>
      <c r="C2158" s="18">
        <v>45985</v>
      </c>
      <c r="D2158" s="24">
        <f t="shared" si="165"/>
        <v>2025</v>
      </c>
      <c r="E2158" s="24" t="str">
        <f t="shared" si="166"/>
        <v>Q4</v>
      </c>
      <c r="F2158" s="24" t="str">
        <f t="shared" si="167"/>
        <v>Nov</v>
      </c>
      <c r="G2158" s="24">
        <f t="shared" si="168"/>
        <v>11</v>
      </c>
      <c r="H2158" s="19">
        <v>1489</v>
      </c>
      <c r="I2158" s="19" t="s">
        <v>3</v>
      </c>
      <c r="J2158" s="19" t="s">
        <v>9</v>
      </c>
      <c r="K2158" s="20">
        <v>2</v>
      </c>
      <c r="L2158" s="21">
        <v>146.91999999999999</v>
      </c>
      <c r="M2158" s="22">
        <v>0.05</v>
      </c>
      <c r="N2158" s="21">
        <f t="shared" si="169"/>
        <v>139.57399999999998</v>
      </c>
      <c r="O2158" s="21">
        <v>279.14999999999998</v>
      </c>
      <c r="P2158" s="19" t="s">
        <v>4</v>
      </c>
      <c r="Q2158" s="23">
        <v>10</v>
      </c>
      <c r="R2158" s="45">
        <v>1.2</v>
      </c>
    </row>
    <row r="2159" spans="2:18" x14ac:dyDescent="0.2">
      <c r="B2159" s="25">
        <v>2156</v>
      </c>
      <c r="C2159" s="18">
        <v>45986</v>
      </c>
      <c r="D2159" s="24">
        <f t="shared" si="165"/>
        <v>2025</v>
      </c>
      <c r="E2159" s="24" t="str">
        <f t="shared" si="166"/>
        <v>Q4</v>
      </c>
      <c r="F2159" s="24" t="str">
        <f t="shared" si="167"/>
        <v>Nov</v>
      </c>
      <c r="G2159" s="24">
        <f t="shared" si="168"/>
        <v>11</v>
      </c>
      <c r="H2159" s="19">
        <v>1418</v>
      </c>
      <c r="I2159" s="19" t="s">
        <v>7</v>
      </c>
      <c r="J2159" s="19" t="s">
        <v>8</v>
      </c>
      <c r="K2159" s="20">
        <v>2</v>
      </c>
      <c r="L2159" s="21">
        <v>374.44</v>
      </c>
      <c r="M2159" s="22">
        <v>0.16</v>
      </c>
      <c r="N2159" s="21">
        <f t="shared" si="169"/>
        <v>314.52960000000002</v>
      </c>
      <c r="O2159" s="21">
        <v>629.05999999999995</v>
      </c>
      <c r="P2159" s="19" t="s">
        <v>2</v>
      </c>
      <c r="Q2159" s="23">
        <v>7</v>
      </c>
      <c r="R2159" s="45">
        <v>1.8</v>
      </c>
    </row>
    <row r="2160" spans="2:18" x14ac:dyDescent="0.2">
      <c r="B2160" s="25">
        <v>2157</v>
      </c>
      <c r="C2160" s="18">
        <v>45987</v>
      </c>
      <c r="D2160" s="24">
        <f t="shared" si="165"/>
        <v>2025</v>
      </c>
      <c r="E2160" s="24" t="str">
        <f t="shared" si="166"/>
        <v>Q4</v>
      </c>
      <c r="F2160" s="24" t="str">
        <f t="shared" si="167"/>
        <v>Nov</v>
      </c>
      <c r="G2160" s="24">
        <f t="shared" si="168"/>
        <v>11</v>
      </c>
      <c r="H2160" s="19">
        <v>1689</v>
      </c>
      <c r="I2160" s="19" t="s">
        <v>7</v>
      </c>
      <c r="J2160" s="19" t="s">
        <v>5</v>
      </c>
      <c r="K2160" s="20">
        <v>3</v>
      </c>
      <c r="L2160" s="21">
        <v>31.38</v>
      </c>
      <c r="M2160" s="22">
        <v>0.24</v>
      </c>
      <c r="N2160" s="21">
        <f t="shared" si="169"/>
        <v>23.848800000000001</v>
      </c>
      <c r="O2160" s="21">
        <v>71.55</v>
      </c>
      <c r="P2160" s="19" t="s">
        <v>4</v>
      </c>
      <c r="Q2160" s="23">
        <v>10</v>
      </c>
      <c r="R2160" s="45">
        <v>3.6</v>
      </c>
    </row>
    <row r="2161" spans="2:18" x14ac:dyDescent="0.2">
      <c r="B2161" s="25">
        <v>2158</v>
      </c>
      <c r="C2161" s="18">
        <v>45988</v>
      </c>
      <c r="D2161" s="24">
        <f t="shared" si="165"/>
        <v>2025</v>
      </c>
      <c r="E2161" s="24" t="str">
        <f t="shared" si="166"/>
        <v>Q4</v>
      </c>
      <c r="F2161" s="24" t="str">
        <f t="shared" si="167"/>
        <v>Nov</v>
      </c>
      <c r="G2161" s="24">
        <f t="shared" si="168"/>
        <v>11</v>
      </c>
      <c r="H2161" s="19">
        <v>1849</v>
      </c>
      <c r="I2161" s="19" t="s">
        <v>0</v>
      </c>
      <c r="J2161" s="19" t="s">
        <v>9</v>
      </c>
      <c r="K2161" s="20">
        <v>6</v>
      </c>
      <c r="L2161" s="21">
        <v>560.1</v>
      </c>
      <c r="M2161" s="22">
        <v>0.28000000000000003</v>
      </c>
      <c r="N2161" s="21">
        <f t="shared" si="169"/>
        <v>403.27199999999999</v>
      </c>
      <c r="O2161" s="21">
        <v>2419.63</v>
      </c>
      <c r="P2161" s="19" t="s">
        <v>2</v>
      </c>
      <c r="Q2161" s="23">
        <v>10</v>
      </c>
      <c r="R2161" s="45">
        <v>2.6</v>
      </c>
    </row>
    <row r="2162" spans="2:18" x14ac:dyDescent="0.2">
      <c r="B2162" s="25">
        <v>2159</v>
      </c>
      <c r="C2162" s="18">
        <v>45989</v>
      </c>
      <c r="D2162" s="24">
        <f t="shared" si="165"/>
        <v>2025</v>
      </c>
      <c r="E2162" s="24" t="str">
        <f t="shared" si="166"/>
        <v>Q4</v>
      </c>
      <c r="F2162" s="24" t="str">
        <f t="shared" si="167"/>
        <v>Nov</v>
      </c>
      <c r="G2162" s="24">
        <f t="shared" si="168"/>
        <v>11</v>
      </c>
      <c r="H2162" s="19">
        <v>1061</v>
      </c>
      <c r="I2162" s="19" t="s">
        <v>10</v>
      </c>
      <c r="J2162" s="19" t="s">
        <v>8</v>
      </c>
      <c r="K2162" s="20">
        <v>4</v>
      </c>
      <c r="L2162" s="21">
        <v>320.95</v>
      </c>
      <c r="M2162" s="22">
        <v>0.17</v>
      </c>
      <c r="N2162" s="21">
        <f t="shared" si="169"/>
        <v>266.38849999999996</v>
      </c>
      <c r="O2162" s="21">
        <v>1065.55</v>
      </c>
      <c r="P2162" s="19" t="s">
        <v>4</v>
      </c>
      <c r="Q2162" s="23">
        <v>5</v>
      </c>
      <c r="R2162" s="45">
        <v>3.4</v>
      </c>
    </row>
    <row r="2163" spans="2:18" x14ac:dyDescent="0.2">
      <c r="B2163" s="25">
        <v>2160</v>
      </c>
      <c r="C2163" s="18">
        <v>45990</v>
      </c>
      <c r="D2163" s="24">
        <f t="shared" si="165"/>
        <v>2025</v>
      </c>
      <c r="E2163" s="24" t="str">
        <f t="shared" si="166"/>
        <v>Q4</v>
      </c>
      <c r="F2163" s="24" t="str">
        <f t="shared" si="167"/>
        <v>Nov</v>
      </c>
      <c r="G2163" s="24">
        <f t="shared" si="168"/>
        <v>11</v>
      </c>
      <c r="H2163" s="19">
        <v>1144</v>
      </c>
      <c r="I2163" s="19" t="s">
        <v>10</v>
      </c>
      <c r="J2163" s="19" t="s">
        <v>1</v>
      </c>
      <c r="K2163" s="20">
        <v>1</v>
      </c>
      <c r="L2163" s="21">
        <v>40.29</v>
      </c>
      <c r="M2163" s="22">
        <v>0.06</v>
      </c>
      <c r="N2163" s="21">
        <f t="shared" si="169"/>
        <v>37.872599999999998</v>
      </c>
      <c r="O2163" s="21">
        <v>37.869999999999997</v>
      </c>
      <c r="P2163" s="19" t="s">
        <v>2</v>
      </c>
      <c r="Q2163" s="23">
        <v>6</v>
      </c>
      <c r="R2163" s="45">
        <v>3.2</v>
      </c>
    </row>
    <row r="2164" spans="2:18" x14ac:dyDescent="0.2">
      <c r="B2164" s="25">
        <v>2161</v>
      </c>
      <c r="C2164" s="18">
        <v>45991</v>
      </c>
      <c r="D2164" s="24">
        <f t="shared" si="165"/>
        <v>2025</v>
      </c>
      <c r="E2164" s="24" t="str">
        <f t="shared" si="166"/>
        <v>Q4</v>
      </c>
      <c r="F2164" s="24" t="str">
        <f t="shared" si="167"/>
        <v>Nov</v>
      </c>
      <c r="G2164" s="24">
        <f t="shared" si="168"/>
        <v>11</v>
      </c>
      <c r="H2164" s="19">
        <v>1215</v>
      </c>
      <c r="I2164" s="19" t="s">
        <v>7</v>
      </c>
      <c r="J2164" s="19" t="s">
        <v>8</v>
      </c>
      <c r="K2164" s="20">
        <v>2</v>
      </c>
      <c r="L2164" s="21">
        <v>215.36</v>
      </c>
      <c r="M2164" s="22">
        <v>0.15</v>
      </c>
      <c r="N2164" s="21">
        <f t="shared" si="169"/>
        <v>183.05600000000001</v>
      </c>
      <c r="O2164" s="21">
        <v>366.11</v>
      </c>
      <c r="P2164" s="19" t="s">
        <v>4</v>
      </c>
      <c r="Q2164" s="23">
        <v>1</v>
      </c>
      <c r="R2164" s="45">
        <v>2.8</v>
      </c>
    </row>
    <row r="2165" spans="2:18" x14ac:dyDescent="0.2">
      <c r="B2165" s="25">
        <v>2162</v>
      </c>
      <c r="C2165" s="18">
        <v>45992</v>
      </c>
      <c r="D2165" s="24">
        <f t="shared" si="165"/>
        <v>2025</v>
      </c>
      <c r="E2165" s="24" t="str">
        <f t="shared" si="166"/>
        <v>Q4</v>
      </c>
      <c r="F2165" s="24" t="str">
        <f t="shared" si="167"/>
        <v>Dec</v>
      </c>
      <c r="G2165" s="24">
        <f t="shared" si="168"/>
        <v>12</v>
      </c>
      <c r="H2165" s="19">
        <v>1002</v>
      </c>
      <c r="I2165" s="19" t="s">
        <v>7</v>
      </c>
      <c r="J2165" s="19" t="s">
        <v>9</v>
      </c>
      <c r="K2165" s="20">
        <v>1</v>
      </c>
      <c r="L2165" s="21">
        <v>59.96</v>
      </c>
      <c r="M2165" s="22">
        <v>0.28000000000000003</v>
      </c>
      <c r="N2165" s="21">
        <f t="shared" si="169"/>
        <v>43.171199999999999</v>
      </c>
      <c r="O2165" s="21">
        <v>43.17</v>
      </c>
      <c r="P2165" s="19" t="s">
        <v>4</v>
      </c>
      <c r="Q2165" s="23">
        <v>3</v>
      </c>
      <c r="R2165" s="45">
        <v>1.9</v>
      </c>
    </row>
    <row r="2166" spans="2:18" x14ac:dyDescent="0.2">
      <c r="B2166" s="25">
        <v>2163</v>
      </c>
      <c r="C2166" s="18">
        <v>45993</v>
      </c>
      <c r="D2166" s="24">
        <f t="shared" si="165"/>
        <v>2025</v>
      </c>
      <c r="E2166" s="24" t="str">
        <f t="shared" si="166"/>
        <v>Q4</v>
      </c>
      <c r="F2166" s="24" t="str">
        <f t="shared" si="167"/>
        <v>Dec</v>
      </c>
      <c r="G2166" s="24">
        <f t="shared" si="168"/>
        <v>12</v>
      </c>
      <c r="H2166" s="19">
        <v>1159</v>
      </c>
      <c r="I2166" s="19" t="s">
        <v>7</v>
      </c>
      <c r="J2166" s="19" t="s">
        <v>5</v>
      </c>
      <c r="K2166" s="20">
        <v>4</v>
      </c>
      <c r="L2166" s="21">
        <v>244.87</v>
      </c>
      <c r="M2166" s="22">
        <v>0.14000000000000001</v>
      </c>
      <c r="N2166" s="21">
        <f t="shared" si="169"/>
        <v>210.5882</v>
      </c>
      <c r="O2166" s="21">
        <v>842.35</v>
      </c>
      <c r="P2166" s="19" t="s">
        <v>6</v>
      </c>
      <c r="Q2166" s="23">
        <v>8</v>
      </c>
      <c r="R2166" s="45">
        <v>3.9</v>
      </c>
    </row>
    <row r="2167" spans="2:18" x14ac:dyDescent="0.2">
      <c r="B2167" s="25">
        <v>2164</v>
      </c>
      <c r="C2167" s="18">
        <v>45994</v>
      </c>
      <c r="D2167" s="24">
        <f t="shared" si="165"/>
        <v>2025</v>
      </c>
      <c r="E2167" s="24" t="str">
        <f t="shared" si="166"/>
        <v>Q4</v>
      </c>
      <c r="F2167" s="24" t="str">
        <f t="shared" si="167"/>
        <v>Dec</v>
      </c>
      <c r="G2167" s="24">
        <f t="shared" si="168"/>
        <v>12</v>
      </c>
      <c r="H2167" s="19">
        <v>1738</v>
      </c>
      <c r="I2167" s="19" t="s">
        <v>10</v>
      </c>
      <c r="J2167" s="19" t="s">
        <v>8</v>
      </c>
      <c r="K2167" s="20">
        <v>7</v>
      </c>
      <c r="L2167" s="21">
        <v>406.91</v>
      </c>
      <c r="M2167" s="22">
        <v>0.24</v>
      </c>
      <c r="N2167" s="21">
        <f t="shared" si="169"/>
        <v>309.25160000000005</v>
      </c>
      <c r="O2167" s="21">
        <v>2164.7600000000002</v>
      </c>
      <c r="P2167" s="19" t="s">
        <v>2</v>
      </c>
      <c r="Q2167" s="23">
        <v>3</v>
      </c>
      <c r="R2167" s="45">
        <v>4.5999999999999996</v>
      </c>
    </row>
    <row r="2168" spans="2:18" x14ac:dyDescent="0.2">
      <c r="B2168" s="25">
        <v>2165</v>
      </c>
      <c r="C2168" s="18">
        <v>45995</v>
      </c>
      <c r="D2168" s="24">
        <f t="shared" si="165"/>
        <v>2025</v>
      </c>
      <c r="E2168" s="24" t="str">
        <f t="shared" si="166"/>
        <v>Q4</v>
      </c>
      <c r="F2168" s="24" t="str">
        <f t="shared" si="167"/>
        <v>Dec</v>
      </c>
      <c r="G2168" s="24">
        <f t="shared" si="168"/>
        <v>12</v>
      </c>
      <c r="H2168" s="19">
        <v>1997</v>
      </c>
      <c r="I2168" s="19" t="s">
        <v>0</v>
      </c>
      <c r="J2168" s="19" t="s">
        <v>5</v>
      </c>
      <c r="K2168" s="20">
        <v>6</v>
      </c>
      <c r="L2168" s="21">
        <v>289.89</v>
      </c>
      <c r="M2168" s="22">
        <v>0.18</v>
      </c>
      <c r="N2168" s="21">
        <f t="shared" si="169"/>
        <v>237.7098</v>
      </c>
      <c r="O2168" s="21">
        <v>1426.26</v>
      </c>
      <c r="P2168" s="19" t="s">
        <v>2</v>
      </c>
      <c r="Q2168" s="23">
        <v>1</v>
      </c>
      <c r="R2168" s="45">
        <v>4.0999999999999996</v>
      </c>
    </row>
    <row r="2169" spans="2:18" x14ac:dyDescent="0.2">
      <c r="B2169" s="25">
        <v>2166</v>
      </c>
      <c r="C2169" s="18">
        <v>45996</v>
      </c>
      <c r="D2169" s="24">
        <f t="shared" si="165"/>
        <v>2025</v>
      </c>
      <c r="E2169" s="24" t="str">
        <f t="shared" si="166"/>
        <v>Q4</v>
      </c>
      <c r="F2169" s="24" t="str">
        <f t="shared" si="167"/>
        <v>Dec</v>
      </c>
      <c r="G2169" s="24">
        <f t="shared" si="168"/>
        <v>12</v>
      </c>
      <c r="H2169" s="19">
        <v>1780</v>
      </c>
      <c r="I2169" s="19" t="s">
        <v>3</v>
      </c>
      <c r="J2169" s="19" t="s">
        <v>1</v>
      </c>
      <c r="K2169" s="20">
        <v>5</v>
      </c>
      <c r="L2169" s="21">
        <v>239.48</v>
      </c>
      <c r="M2169" s="22">
        <v>0.08</v>
      </c>
      <c r="N2169" s="21">
        <f t="shared" si="169"/>
        <v>220.32159999999999</v>
      </c>
      <c r="O2169" s="21">
        <v>1101.6099999999999</v>
      </c>
      <c r="P2169" s="19" t="s">
        <v>6</v>
      </c>
      <c r="Q2169" s="23">
        <v>3</v>
      </c>
      <c r="R2169" s="45">
        <v>1.5</v>
      </c>
    </row>
    <row r="2170" spans="2:18" x14ac:dyDescent="0.2">
      <c r="B2170" s="25">
        <v>2167</v>
      </c>
      <c r="C2170" s="18">
        <v>45997</v>
      </c>
      <c r="D2170" s="24">
        <f t="shared" si="165"/>
        <v>2025</v>
      </c>
      <c r="E2170" s="24" t="str">
        <f t="shared" si="166"/>
        <v>Q4</v>
      </c>
      <c r="F2170" s="24" t="str">
        <f t="shared" si="167"/>
        <v>Dec</v>
      </c>
      <c r="G2170" s="24">
        <f t="shared" si="168"/>
        <v>12</v>
      </c>
      <c r="H2170" s="19">
        <v>1119</v>
      </c>
      <c r="I2170" s="19" t="s">
        <v>7</v>
      </c>
      <c r="J2170" s="19" t="s">
        <v>8</v>
      </c>
      <c r="K2170" s="20">
        <v>7</v>
      </c>
      <c r="L2170" s="21">
        <v>84.71</v>
      </c>
      <c r="M2170" s="22">
        <v>0.28000000000000003</v>
      </c>
      <c r="N2170" s="21">
        <f t="shared" si="169"/>
        <v>60.991199999999992</v>
      </c>
      <c r="O2170" s="21">
        <v>426.94</v>
      </c>
      <c r="P2170" s="19" t="s">
        <v>6</v>
      </c>
      <c r="Q2170" s="23">
        <v>4</v>
      </c>
      <c r="R2170" s="45">
        <v>3.2</v>
      </c>
    </row>
    <row r="2171" spans="2:18" x14ac:dyDescent="0.2">
      <c r="B2171" s="25">
        <v>2168</v>
      </c>
      <c r="C2171" s="18">
        <v>45998</v>
      </c>
      <c r="D2171" s="24">
        <f t="shared" si="165"/>
        <v>2025</v>
      </c>
      <c r="E2171" s="24" t="str">
        <f t="shared" si="166"/>
        <v>Q4</v>
      </c>
      <c r="F2171" s="24" t="str">
        <f t="shared" si="167"/>
        <v>Dec</v>
      </c>
      <c r="G2171" s="24">
        <f t="shared" si="168"/>
        <v>12</v>
      </c>
      <c r="H2171" s="19">
        <v>1892</v>
      </c>
      <c r="I2171" s="19" t="s">
        <v>3</v>
      </c>
      <c r="J2171" s="19" t="s">
        <v>8</v>
      </c>
      <c r="K2171" s="20">
        <v>7</v>
      </c>
      <c r="L2171" s="21">
        <v>158.29</v>
      </c>
      <c r="M2171" s="22">
        <v>0.03</v>
      </c>
      <c r="N2171" s="21">
        <f t="shared" si="169"/>
        <v>153.54129999999998</v>
      </c>
      <c r="O2171" s="21">
        <v>1074.79</v>
      </c>
      <c r="P2171" s="19" t="s">
        <v>6</v>
      </c>
      <c r="Q2171" s="23">
        <v>8</v>
      </c>
      <c r="R2171" s="45">
        <v>4.3</v>
      </c>
    </row>
    <row r="2172" spans="2:18" x14ac:dyDescent="0.2">
      <c r="B2172" s="25">
        <v>2169</v>
      </c>
      <c r="C2172" s="18">
        <v>45999</v>
      </c>
      <c r="D2172" s="24">
        <f t="shared" si="165"/>
        <v>2025</v>
      </c>
      <c r="E2172" s="24" t="str">
        <f t="shared" si="166"/>
        <v>Q4</v>
      </c>
      <c r="F2172" s="24" t="str">
        <f t="shared" si="167"/>
        <v>Dec</v>
      </c>
      <c r="G2172" s="24">
        <f t="shared" si="168"/>
        <v>12</v>
      </c>
      <c r="H2172" s="19">
        <v>1088</v>
      </c>
      <c r="I2172" s="19" t="s">
        <v>7</v>
      </c>
      <c r="J2172" s="19" t="s">
        <v>1</v>
      </c>
      <c r="K2172" s="20">
        <v>5</v>
      </c>
      <c r="L2172" s="21">
        <v>73.58</v>
      </c>
      <c r="M2172" s="22">
        <v>0.18</v>
      </c>
      <c r="N2172" s="21">
        <f t="shared" si="169"/>
        <v>60.335599999999999</v>
      </c>
      <c r="O2172" s="21">
        <v>301.68</v>
      </c>
      <c r="P2172" s="19" t="s">
        <v>6</v>
      </c>
      <c r="Q2172" s="23">
        <v>9</v>
      </c>
      <c r="R2172" s="45">
        <v>3.4</v>
      </c>
    </row>
    <row r="2173" spans="2:18" x14ac:dyDescent="0.2">
      <c r="B2173" s="25">
        <v>2170</v>
      </c>
      <c r="C2173" s="18">
        <v>46000</v>
      </c>
      <c r="D2173" s="24">
        <f t="shared" si="165"/>
        <v>2025</v>
      </c>
      <c r="E2173" s="24" t="str">
        <f t="shared" si="166"/>
        <v>Q4</v>
      </c>
      <c r="F2173" s="24" t="str">
        <f t="shared" si="167"/>
        <v>Dec</v>
      </c>
      <c r="G2173" s="24">
        <f t="shared" si="168"/>
        <v>12</v>
      </c>
      <c r="H2173" s="19">
        <v>1328</v>
      </c>
      <c r="I2173" s="19" t="s">
        <v>3</v>
      </c>
      <c r="J2173" s="19" t="s">
        <v>1</v>
      </c>
      <c r="K2173" s="20">
        <v>2</v>
      </c>
      <c r="L2173" s="21">
        <v>487.39</v>
      </c>
      <c r="M2173" s="22">
        <v>7.0000000000000007E-2</v>
      </c>
      <c r="N2173" s="21">
        <f t="shared" si="169"/>
        <v>453.27269999999999</v>
      </c>
      <c r="O2173" s="21">
        <v>906.55</v>
      </c>
      <c r="P2173" s="19" t="s">
        <v>2</v>
      </c>
      <c r="Q2173" s="23">
        <v>4</v>
      </c>
      <c r="R2173" s="45">
        <v>2.8</v>
      </c>
    </row>
    <row r="2174" spans="2:18" x14ac:dyDescent="0.2">
      <c r="B2174" s="25">
        <v>2171</v>
      </c>
      <c r="C2174" s="18">
        <v>46001</v>
      </c>
      <c r="D2174" s="24">
        <f t="shared" si="165"/>
        <v>2025</v>
      </c>
      <c r="E2174" s="24" t="str">
        <f t="shared" si="166"/>
        <v>Q4</v>
      </c>
      <c r="F2174" s="24" t="str">
        <f t="shared" si="167"/>
        <v>Dec</v>
      </c>
      <c r="G2174" s="24">
        <f t="shared" si="168"/>
        <v>12</v>
      </c>
      <c r="H2174" s="19">
        <v>1579</v>
      </c>
      <c r="I2174" s="19" t="s">
        <v>3</v>
      </c>
      <c r="J2174" s="19" t="s">
        <v>1</v>
      </c>
      <c r="K2174" s="20">
        <v>3</v>
      </c>
      <c r="L2174" s="21">
        <v>94.12</v>
      </c>
      <c r="M2174" s="22">
        <v>0.02</v>
      </c>
      <c r="N2174" s="21">
        <f t="shared" si="169"/>
        <v>92.2376</v>
      </c>
      <c r="O2174" s="21">
        <v>276.70999999999998</v>
      </c>
      <c r="P2174" s="19" t="s">
        <v>6</v>
      </c>
      <c r="Q2174" s="23">
        <v>7</v>
      </c>
      <c r="R2174" s="45">
        <v>2.1</v>
      </c>
    </row>
    <row r="2175" spans="2:18" x14ac:dyDescent="0.2">
      <c r="B2175" s="25">
        <v>2172</v>
      </c>
      <c r="C2175" s="18">
        <v>46002</v>
      </c>
      <c r="D2175" s="24">
        <f t="shared" si="165"/>
        <v>2025</v>
      </c>
      <c r="E2175" s="24" t="str">
        <f t="shared" si="166"/>
        <v>Q4</v>
      </c>
      <c r="F2175" s="24" t="str">
        <f t="shared" si="167"/>
        <v>Dec</v>
      </c>
      <c r="G2175" s="24">
        <f t="shared" si="168"/>
        <v>12</v>
      </c>
      <c r="H2175" s="19">
        <v>1909</v>
      </c>
      <c r="I2175" s="19" t="s">
        <v>10</v>
      </c>
      <c r="J2175" s="19" t="s">
        <v>9</v>
      </c>
      <c r="K2175" s="20">
        <v>1</v>
      </c>
      <c r="L2175" s="21">
        <v>363.29</v>
      </c>
      <c r="M2175" s="22">
        <v>0.18</v>
      </c>
      <c r="N2175" s="21">
        <f t="shared" si="169"/>
        <v>297.89780000000002</v>
      </c>
      <c r="O2175" s="21">
        <v>297.89999999999998</v>
      </c>
      <c r="P2175" s="19" t="s">
        <v>6</v>
      </c>
      <c r="Q2175" s="23">
        <v>1</v>
      </c>
      <c r="R2175" s="45">
        <v>2.2999999999999998</v>
      </c>
    </row>
    <row r="2176" spans="2:18" x14ac:dyDescent="0.2">
      <c r="B2176" s="25">
        <v>2173</v>
      </c>
      <c r="C2176" s="18">
        <v>46003</v>
      </c>
      <c r="D2176" s="24">
        <f t="shared" si="165"/>
        <v>2025</v>
      </c>
      <c r="E2176" s="24" t="str">
        <f t="shared" si="166"/>
        <v>Q4</v>
      </c>
      <c r="F2176" s="24" t="str">
        <f t="shared" si="167"/>
        <v>Dec</v>
      </c>
      <c r="G2176" s="24">
        <f t="shared" si="168"/>
        <v>12</v>
      </c>
      <c r="H2176" s="19">
        <v>1356</v>
      </c>
      <c r="I2176" s="19" t="s">
        <v>7</v>
      </c>
      <c r="J2176" s="19" t="s">
        <v>9</v>
      </c>
      <c r="K2176" s="20">
        <v>2</v>
      </c>
      <c r="L2176" s="21">
        <v>215.5</v>
      </c>
      <c r="M2176" s="22">
        <v>0.17</v>
      </c>
      <c r="N2176" s="21">
        <f t="shared" si="169"/>
        <v>178.86500000000001</v>
      </c>
      <c r="O2176" s="21">
        <v>357.73</v>
      </c>
      <c r="P2176" s="19" t="s">
        <v>6</v>
      </c>
      <c r="Q2176" s="23">
        <v>9</v>
      </c>
      <c r="R2176" s="45">
        <v>2</v>
      </c>
    </row>
    <row r="2177" spans="2:18" x14ac:dyDescent="0.2">
      <c r="B2177" s="25">
        <v>2174</v>
      </c>
      <c r="C2177" s="18">
        <v>46004</v>
      </c>
      <c r="D2177" s="24">
        <f t="shared" si="165"/>
        <v>2025</v>
      </c>
      <c r="E2177" s="24" t="str">
        <f t="shared" si="166"/>
        <v>Q4</v>
      </c>
      <c r="F2177" s="24" t="str">
        <f t="shared" si="167"/>
        <v>Dec</v>
      </c>
      <c r="G2177" s="24">
        <f t="shared" si="168"/>
        <v>12</v>
      </c>
      <c r="H2177" s="19">
        <v>1609</v>
      </c>
      <c r="I2177" s="19" t="s">
        <v>7</v>
      </c>
      <c r="J2177" s="19" t="s">
        <v>8</v>
      </c>
      <c r="K2177" s="20">
        <v>3</v>
      </c>
      <c r="L2177" s="21">
        <v>147.19999999999999</v>
      </c>
      <c r="M2177" s="22">
        <v>0.25</v>
      </c>
      <c r="N2177" s="21">
        <f t="shared" si="169"/>
        <v>110.39999999999999</v>
      </c>
      <c r="O2177" s="21">
        <v>331.2</v>
      </c>
      <c r="P2177" s="19" t="s">
        <v>6</v>
      </c>
      <c r="Q2177" s="23">
        <v>11</v>
      </c>
      <c r="R2177" s="45">
        <v>1.8</v>
      </c>
    </row>
    <row r="2178" spans="2:18" x14ac:dyDescent="0.2">
      <c r="B2178" s="25">
        <v>2175</v>
      </c>
      <c r="C2178" s="18">
        <v>46005</v>
      </c>
      <c r="D2178" s="24">
        <f t="shared" si="165"/>
        <v>2025</v>
      </c>
      <c r="E2178" s="24" t="str">
        <f t="shared" si="166"/>
        <v>Q4</v>
      </c>
      <c r="F2178" s="24" t="str">
        <f t="shared" si="167"/>
        <v>Dec</v>
      </c>
      <c r="G2178" s="24">
        <f t="shared" si="168"/>
        <v>12</v>
      </c>
      <c r="H2178" s="19">
        <v>1266</v>
      </c>
      <c r="I2178" s="19" t="s">
        <v>0</v>
      </c>
      <c r="J2178" s="19" t="s">
        <v>8</v>
      </c>
      <c r="K2178" s="20">
        <v>1</v>
      </c>
      <c r="L2178" s="21">
        <v>389.09</v>
      </c>
      <c r="M2178" s="22">
        <v>0.26</v>
      </c>
      <c r="N2178" s="21">
        <f t="shared" si="169"/>
        <v>287.92660000000001</v>
      </c>
      <c r="O2178" s="21">
        <v>287.93</v>
      </c>
      <c r="P2178" s="19" t="s">
        <v>2</v>
      </c>
      <c r="Q2178" s="23">
        <v>4</v>
      </c>
      <c r="R2178" s="45">
        <v>3.4</v>
      </c>
    </row>
    <row r="2179" spans="2:18" x14ac:dyDescent="0.2">
      <c r="B2179" s="25">
        <v>2176</v>
      </c>
      <c r="C2179" s="18">
        <v>46006</v>
      </c>
      <c r="D2179" s="24">
        <f t="shared" si="165"/>
        <v>2025</v>
      </c>
      <c r="E2179" s="24" t="str">
        <f t="shared" si="166"/>
        <v>Q4</v>
      </c>
      <c r="F2179" s="24" t="str">
        <f t="shared" si="167"/>
        <v>Dec</v>
      </c>
      <c r="G2179" s="24">
        <f t="shared" si="168"/>
        <v>12</v>
      </c>
      <c r="H2179" s="19">
        <v>1616</v>
      </c>
      <c r="I2179" s="19" t="s">
        <v>7</v>
      </c>
      <c r="J2179" s="19" t="s">
        <v>8</v>
      </c>
      <c r="K2179" s="20">
        <v>4</v>
      </c>
      <c r="L2179" s="21">
        <v>282.35000000000002</v>
      </c>
      <c r="M2179" s="22">
        <v>0.25</v>
      </c>
      <c r="N2179" s="21">
        <f t="shared" si="169"/>
        <v>211.76250000000002</v>
      </c>
      <c r="O2179" s="21">
        <v>847.05</v>
      </c>
      <c r="P2179" s="19" t="s">
        <v>4</v>
      </c>
      <c r="Q2179" s="23">
        <v>9</v>
      </c>
      <c r="R2179" s="45">
        <v>3</v>
      </c>
    </row>
    <row r="2180" spans="2:18" x14ac:dyDescent="0.2">
      <c r="B2180" s="25">
        <v>2177</v>
      </c>
      <c r="C2180" s="18">
        <v>46007</v>
      </c>
      <c r="D2180" s="24">
        <f t="shared" ref="D2180:D2195" si="170">YEAR(C2180)</f>
        <v>2025</v>
      </c>
      <c r="E2180" s="24" t="str">
        <f t="shared" ref="E2180:E2195" si="171">"Q"&amp;ROUNDUP(MONTH(C2180)/3,0)</f>
        <v>Q4</v>
      </c>
      <c r="F2180" s="24" t="str">
        <f t="shared" ref="F2180:F2195" si="172">TEXT(C2180,"mmm")</f>
        <v>Dec</v>
      </c>
      <c r="G2180" s="24">
        <f t="shared" ref="G2180:G2195" si="173">MONTH(C2180)</f>
        <v>12</v>
      </c>
      <c r="H2180" s="19">
        <v>1951</v>
      </c>
      <c r="I2180" s="19" t="s">
        <v>7</v>
      </c>
      <c r="J2180" s="19" t="s">
        <v>5</v>
      </c>
      <c r="K2180" s="20">
        <v>7</v>
      </c>
      <c r="L2180" s="21">
        <v>249.09</v>
      </c>
      <c r="M2180" s="22">
        <v>0.14000000000000001</v>
      </c>
      <c r="N2180" s="21">
        <f t="shared" si="169"/>
        <v>214.2174</v>
      </c>
      <c r="O2180" s="21">
        <v>1499.52</v>
      </c>
      <c r="P2180" s="19" t="s">
        <v>4</v>
      </c>
      <c r="Q2180" s="23">
        <v>3</v>
      </c>
      <c r="R2180" s="45">
        <v>3.9</v>
      </c>
    </row>
    <row r="2181" spans="2:18" x14ac:dyDescent="0.2">
      <c r="B2181" s="25">
        <v>2178</v>
      </c>
      <c r="C2181" s="18">
        <v>46008</v>
      </c>
      <c r="D2181" s="24">
        <f t="shared" si="170"/>
        <v>2025</v>
      </c>
      <c r="E2181" s="24" t="str">
        <f t="shared" si="171"/>
        <v>Q4</v>
      </c>
      <c r="F2181" s="24" t="str">
        <f t="shared" si="172"/>
        <v>Dec</v>
      </c>
      <c r="G2181" s="24">
        <f t="shared" si="173"/>
        <v>12</v>
      </c>
      <c r="H2181" s="19">
        <v>1322</v>
      </c>
      <c r="I2181" s="19" t="s">
        <v>7</v>
      </c>
      <c r="J2181" s="19" t="s">
        <v>1</v>
      </c>
      <c r="K2181" s="20">
        <v>7</v>
      </c>
      <c r="L2181" s="21">
        <v>361.82</v>
      </c>
      <c r="M2181" s="22">
        <v>0.22</v>
      </c>
      <c r="N2181" s="21">
        <f t="shared" ref="N2181:N2195" si="174">L2181-(L2181*M2181)</f>
        <v>282.21960000000001</v>
      </c>
      <c r="O2181" s="21">
        <v>1975.54</v>
      </c>
      <c r="P2181" s="19" t="s">
        <v>6</v>
      </c>
      <c r="Q2181" s="23">
        <v>11</v>
      </c>
      <c r="R2181" s="45">
        <v>2.2000000000000002</v>
      </c>
    </row>
    <row r="2182" spans="2:18" x14ac:dyDescent="0.2">
      <c r="B2182" s="25">
        <v>2179</v>
      </c>
      <c r="C2182" s="18">
        <v>46009</v>
      </c>
      <c r="D2182" s="24">
        <f t="shared" si="170"/>
        <v>2025</v>
      </c>
      <c r="E2182" s="24" t="str">
        <f t="shared" si="171"/>
        <v>Q4</v>
      </c>
      <c r="F2182" s="24" t="str">
        <f t="shared" si="172"/>
        <v>Dec</v>
      </c>
      <c r="G2182" s="24">
        <f t="shared" si="173"/>
        <v>12</v>
      </c>
      <c r="H2182" s="19">
        <v>1634</v>
      </c>
      <c r="I2182" s="19" t="s">
        <v>7</v>
      </c>
      <c r="J2182" s="19" t="s">
        <v>8</v>
      </c>
      <c r="K2182" s="20">
        <v>5</v>
      </c>
      <c r="L2182" s="21">
        <v>302.39</v>
      </c>
      <c r="M2182" s="22">
        <v>0.2</v>
      </c>
      <c r="N2182" s="21">
        <f t="shared" si="174"/>
        <v>241.91199999999998</v>
      </c>
      <c r="O2182" s="21">
        <v>1209.56</v>
      </c>
      <c r="P2182" s="19" t="s">
        <v>4</v>
      </c>
      <c r="Q2182" s="23">
        <v>5</v>
      </c>
      <c r="R2182" s="45">
        <v>2.8</v>
      </c>
    </row>
    <row r="2183" spans="2:18" x14ac:dyDescent="0.2">
      <c r="B2183" s="25">
        <v>2180</v>
      </c>
      <c r="C2183" s="18">
        <v>46010</v>
      </c>
      <c r="D2183" s="24">
        <f t="shared" si="170"/>
        <v>2025</v>
      </c>
      <c r="E2183" s="24" t="str">
        <f t="shared" si="171"/>
        <v>Q4</v>
      </c>
      <c r="F2183" s="24" t="str">
        <f t="shared" si="172"/>
        <v>Dec</v>
      </c>
      <c r="G2183" s="24">
        <f t="shared" si="173"/>
        <v>12</v>
      </c>
      <c r="H2183" s="19">
        <v>1987</v>
      </c>
      <c r="I2183" s="19" t="s">
        <v>3</v>
      </c>
      <c r="J2183" s="19" t="s">
        <v>1</v>
      </c>
      <c r="K2183" s="20">
        <v>3</v>
      </c>
      <c r="L2183" s="21">
        <v>192.54</v>
      </c>
      <c r="M2183" s="22">
        <v>0.15</v>
      </c>
      <c r="N2183" s="21">
        <f t="shared" si="174"/>
        <v>163.65899999999999</v>
      </c>
      <c r="O2183" s="21">
        <v>490.98</v>
      </c>
      <c r="P2183" s="19" t="s">
        <v>6</v>
      </c>
      <c r="Q2183" s="23">
        <v>1</v>
      </c>
      <c r="R2183" s="45">
        <v>3.7</v>
      </c>
    </row>
    <row r="2184" spans="2:18" x14ac:dyDescent="0.2">
      <c r="B2184" s="25">
        <v>2181</v>
      </c>
      <c r="C2184" s="18">
        <v>46011</v>
      </c>
      <c r="D2184" s="24">
        <f t="shared" si="170"/>
        <v>2025</v>
      </c>
      <c r="E2184" s="24" t="str">
        <f t="shared" si="171"/>
        <v>Q4</v>
      </c>
      <c r="F2184" s="24" t="str">
        <f t="shared" si="172"/>
        <v>Dec</v>
      </c>
      <c r="G2184" s="24">
        <f t="shared" si="173"/>
        <v>12</v>
      </c>
      <c r="H2184" s="19">
        <v>1540</v>
      </c>
      <c r="I2184" s="19" t="s">
        <v>10</v>
      </c>
      <c r="J2184" s="19" t="s">
        <v>9</v>
      </c>
      <c r="K2184" s="20">
        <v>1</v>
      </c>
      <c r="L2184" s="21">
        <v>342.05</v>
      </c>
      <c r="M2184" s="22">
        <v>0.21</v>
      </c>
      <c r="N2184" s="21">
        <f t="shared" si="174"/>
        <v>270.21950000000004</v>
      </c>
      <c r="O2184" s="21">
        <v>270.22000000000003</v>
      </c>
      <c r="P2184" s="19" t="s">
        <v>2</v>
      </c>
      <c r="Q2184" s="23">
        <v>11</v>
      </c>
      <c r="R2184" s="45">
        <v>4.9000000000000004</v>
      </c>
    </row>
    <row r="2185" spans="2:18" x14ac:dyDescent="0.2">
      <c r="B2185" s="25">
        <v>2182</v>
      </c>
      <c r="C2185" s="18">
        <v>46012</v>
      </c>
      <c r="D2185" s="24">
        <f t="shared" si="170"/>
        <v>2025</v>
      </c>
      <c r="E2185" s="24" t="str">
        <f t="shared" si="171"/>
        <v>Q4</v>
      </c>
      <c r="F2185" s="24" t="str">
        <f t="shared" si="172"/>
        <v>Dec</v>
      </c>
      <c r="G2185" s="24">
        <f t="shared" si="173"/>
        <v>12</v>
      </c>
      <c r="H2185" s="19">
        <v>1648</v>
      </c>
      <c r="I2185" s="19" t="s">
        <v>7</v>
      </c>
      <c r="J2185" s="19" t="s">
        <v>1</v>
      </c>
      <c r="K2185" s="20">
        <v>2</v>
      </c>
      <c r="L2185" s="21">
        <v>406.66</v>
      </c>
      <c r="M2185" s="22">
        <v>0.33</v>
      </c>
      <c r="N2185" s="21">
        <f t="shared" si="174"/>
        <v>272.46220000000005</v>
      </c>
      <c r="O2185" s="21">
        <v>544.91999999999996</v>
      </c>
      <c r="P2185" s="19" t="s">
        <v>6</v>
      </c>
      <c r="Q2185" s="23">
        <v>3</v>
      </c>
      <c r="R2185" s="45">
        <v>2.4</v>
      </c>
    </row>
    <row r="2186" spans="2:18" x14ac:dyDescent="0.2">
      <c r="B2186" s="25">
        <v>2183</v>
      </c>
      <c r="C2186" s="18">
        <v>46013</v>
      </c>
      <c r="D2186" s="24">
        <f t="shared" si="170"/>
        <v>2025</v>
      </c>
      <c r="E2186" s="24" t="str">
        <f t="shared" si="171"/>
        <v>Q4</v>
      </c>
      <c r="F2186" s="24" t="str">
        <f t="shared" si="172"/>
        <v>Dec</v>
      </c>
      <c r="G2186" s="24">
        <f t="shared" si="173"/>
        <v>12</v>
      </c>
      <c r="H2186" s="19">
        <v>1194</v>
      </c>
      <c r="I2186" s="19" t="s">
        <v>3</v>
      </c>
      <c r="J2186" s="19" t="s">
        <v>5</v>
      </c>
      <c r="K2186" s="20">
        <v>1</v>
      </c>
      <c r="L2186" s="21">
        <v>30.62</v>
      </c>
      <c r="M2186" s="22">
        <v>7.0000000000000007E-2</v>
      </c>
      <c r="N2186" s="21">
        <f t="shared" si="174"/>
        <v>28.476600000000001</v>
      </c>
      <c r="O2186" s="21">
        <v>28.48</v>
      </c>
      <c r="P2186" s="19" t="s">
        <v>2</v>
      </c>
      <c r="Q2186" s="23">
        <v>5</v>
      </c>
      <c r="R2186" s="45">
        <v>2.2000000000000002</v>
      </c>
    </row>
    <row r="2187" spans="2:18" x14ac:dyDescent="0.2">
      <c r="B2187" s="25">
        <v>2184</v>
      </c>
      <c r="C2187" s="18">
        <v>46014</v>
      </c>
      <c r="D2187" s="24">
        <f t="shared" si="170"/>
        <v>2025</v>
      </c>
      <c r="E2187" s="24" t="str">
        <f t="shared" si="171"/>
        <v>Q4</v>
      </c>
      <c r="F2187" s="24" t="str">
        <f t="shared" si="172"/>
        <v>Dec</v>
      </c>
      <c r="G2187" s="24">
        <f t="shared" si="173"/>
        <v>12</v>
      </c>
      <c r="H2187" s="19">
        <v>1920</v>
      </c>
      <c r="I2187" s="19" t="s">
        <v>10</v>
      </c>
      <c r="J2187" s="19" t="s">
        <v>5</v>
      </c>
      <c r="K2187" s="20">
        <v>2</v>
      </c>
      <c r="L2187" s="21">
        <v>287.52999999999997</v>
      </c>
      <c r="M2187" s="22">
        <v>0.32</v>
      </c>
      <c r="N2187" s="21">
        <f t="shared" si="174"/>
        <v>195.5204</v>
      </c>
      <c r="O2187" s="21">
        <v>391.04</v>
      </c>
      <c r="P2187" s="19" t="s">
        <v>4</v>
      </c>
      <c r="Q2187" s="23">
        <v>6</v>
      </c>
      <c r="R2187" s="45">
        <v>2.8</v>
      </c>
    </row>
    <row r="2188" spans="2:18" x14ac:dyDescent="0.2">
      <c r="B2188" s="25">
        <v>2185</v>
      </c>
      <c r="C2188" s="18">
        <v>46015</v>
      </c>
      <c r="D2188" s="24">
        <f t="shared" si="170"/>
        <v>2025</v>
      </c>
      <c r="E2188" s="24" t="str">
        <f t="shared" si="171"/>
        <v>Q4</v>
      </c>
      <c r="F2188" s="24" t="str">
        <f t="shared" si="172"/>
        <v>Dec</v>
      </c>
      <c r="G2188" s="24">
        <f t="shared" si="173"/>
        <v>12</v>
      </c>
      <c r="H2188" s="19">
        <v>1737</v>
      </c>
      <c r="I2188" s="19" t="s">
        <v>3</v>
      </c>
      <c r="J2188" s="19" t="s">
        <v>1</v>
      </c>
      <c r="K2188" s="20">
        <v>7</v>
      </c>
      <c r="L2188" s="21">
        <v>48.74</v>
      </c>
      <c r="M2188" s="22">
        <v>0.02</v>
      </c>
      <c r="N2188" s="21">
        <f t="shared" si="174"/>
        <v>47.7652</v>
      </c>
      <c r="O2188" s="21">
        <v>334.36</v>
      </c>
      <c r="P2188" s="19" t="s">
        <v>2</v>
      </c>
      <c r="Q2188" s="23">
        <v>8</v>
      </c>
      <c r="R2188" s="45">
        <v>3.9</v>
      </c>
    </row>
    <row r="2189" spans="2:18" x14ac:dyDescent="0.2">
      <c r="B2189" s="25">
        <v>2186</v>
      </c>
      <c r="C2189" s="18">
        <v>46016</v>
      </c>
      <c r="D2189" s="24">
        <f t="shared" si="170"/>
        <v>2025</v>
      </c>
      <c r="E2189" s="24" t="str">
        <f t="shared" si="171"/>
        <v>Q4</v>
      </c>
      <c r="F2189" s="24" t="str">
        <f t="shared" si="172"/>
        <v>Dec</v>
      </c>
      <c r="G2189" s="24">
        <f t="shared" si="173"/>
        <v>12</v>
      </c>
      <c r="H2189" s="19">
        <v>1331</v>
      </c>
      <c r="I2189" s="19" t="s">
        <v>0</v>
      </c>
      <c r="J2189" s="19" t="s">
        <v>5</v>
      </c>
      <c r="K2189" s="20">
        <v>5</v>
      </c>
      <c r="L2189" s="21">
        <v>124.05</v>
      </c>
      <c r="M2189" s="22">
        <v>0.11</v>
      </c>
      <c r="N2189" s="21">
        <f t="shared" si="174"/>
        <v>110.4045</v>
      </c>
      <c r="O2189" s="21">
        <v>552.02</v>
      </c>
      <c r="P2189" s="19" t="s">
        <v>6</v>
      </c>
      <c r="Q2189" s="23">
        <v>1</v>
      </c>
      <c r="R2189" s="45">
        <v>4.8</v>
      </c>
    </row>
    <row r="2190" spans="2:18" x14ac:dyDescent="0.2">
      <c r="B2190" s="25">
        <v>2187</v>
      </c>
      <c r="C2190" s="18">
        <v>46017</v>
      </c>
      <c r="D2190" s="24">
        <f t="shared" si="170"/>
        <v>2025</v>
      </c>
      <c r="E2190" s="24" t="str">
        <f t="shared" si="171"/>
        <v>Q4</v>
      </c>
      <c r="F2190" s="24" t="str">
        <f t="shared" si="172"/>
        <v>Dec</v>
      </c>
      <c r="G2190" s="24">
        <f t="shared" si="173"/>
        <v>12</v>
      </c>
      <c r="H2190" s="19">
        <v>1169</v>
      </c>
      <c r="I2190" s="19" t="s">
        <v>0</v>
      </c>
      <c r="J2190" s="19" t="s">
        <v>5</v>
      </c>
      <c r="K2190" s="20">
        <v>5</v>
      </c>
      <c r="L2190" s="21">
        <v>342.9</v>
      </c>
      <c r="M2190" s="22">
        <v>0.1</v>
      </c>
      <c r="N2190" s="21">
        <f t="shared" si="174"/>
        <v>308.60999999999996</v>
      </c>
      <c r="O2190" s="21">
        <v>1543.05</v>
      </c>
      <c r="P2190" s="19" t="s">
        <v>4</v>
      </c>
      <c r="Q2190" s="23">
        <v>3</v>
      </c>
      <c r="R2190" s="45">
        <v>3.1</v>
      </c>
    </row>
    <row r="2191" spans="2:18" x14ac:dyDescent="0.2">
      <c r="B2191" s="25">
        <v>2188</v>
      </c>
      <c r="C2191" s="18">
        <v>46018</v>
      </c>
      <c r="D2191" s="24">
        <f t="shared" si="170"/>
        <v>2025</v>
      </c>
      <c r="E2191" s="24" t="str">
        <f t="shared" si="171"/>
        <v>Q4</v>
      </c>
      <c r="F2191" s="24" t="str">
        <f t="shared" si="172"/>
        <v>Dec</v>
      </c>
      <c r="G2191" s="24">
        <f t="shared" si="173"/>
        <v>12</v>
      </c>
      <c r="H2191" s="19">
        <v>1520</v>
      </c>
      <c r="I2191" s="19" t="s">
        <v>7</v>
      </c>
      <c r="J2191" s="19" t="s">
        <v>9</v>
      </c>
      <c r="K2191" s="20">
        <v>1</v>
      </c>
      <c r="L2191" s="21">
        <v>521.72</v>
      </c>
      <c r="M2191" s="22">
        <v>0.22</v>
      </c>
      <c r="N2191" s="21">
        <f t="shared" si="174"/>
        <v>406.94159999999999</v>
      </c>
      <c r="O2191" s="21">
        <v>406.94</v>
      </c>
      <c r="P2191" s="19" t="s">
        <v>6</v>
      </c>
      <c r="Q2191" s="23">
        <v>1</v>
      </c>
      <c r="R2191" s="45">
        <v>4.2</v>
      </c>
    </row>
    <row r="2192" spans="2:18" x14ac:dyDescent="0.2">
      <c r="B2192" s="25">
        <v>2189</v>
      </c>
      <c r="C2192" s="18">
        <v>46019</v>
      </c>
      <c r="D2192" s="24">
        <f t="shared" si="170"/>
        <v>2025</v>
      </c>
      <c r="E2192" s="24" t="str">
        <f t="shared" si="171"/>
        <v>Q4</v>
      </c>
      <c r="F2192" s="24" t="str">
        <f t="shared" si="172"/>
        <v>Dec</v>
      </c>
      <c r="G2192" s="24">
        <f t="shared" si="173"/>
        <v>12</v>
      </c>
      <c r="H2192" s="19">
        <v>1462</v>
      </c>
      <c r="I2192" s="19" t="s">
        <v>10</v>
      </c>
      <c r="J2192" s="19" t="s">
        <v>8</v>
      </c>
      <c r="K2192" s="20">
        <v>1</v>
      </c>
      <c r="L2192" s="21">
        <v>531.44000000000005</v>
      </c>
      <c r="M2192" s="22">
        <v>0.05</v>
      </c>
      <c r="N2192" s="21">
        <f t="shared" si="174"/>
        <v>504.86800000000005</v>
      </c>
      <c r="O2192" s="21">
        <v>504.87</v>
      </c>
      <c r="P2192" s="19" t="s">
        <v>2</v>
      </c>
      <c r="Q2192" s="23">
        <v>5</v>
      </c>
      <c r="R2192" s="45">
        <v>2.9</v>
      </c>
    </row>
    <row r="2193" spans="2:18" x14ac:dyDescent="0.2">
      <c r="B2193" s="25">
        <v>2190</v>
      </c>
      <c r="C2193" s="18">
        <v>46020</v>
      </c>
      <c r="D2193" s="24">
        <f t="shared" si="170"/>
        <v>2025</v>
      </c>
      <c r="E2193" s="24" t="str">
        <f t="shared" si="171"/>
        <v>Q4</v>
      </c>
      <c r="F2193" s="24" t="str">
        <f t="shared" si="172"/>
        <v>Dec</v>
      </c>
      <c r="G2193" s="24">
        <f t="shared" si="173"/>
        <v>12</v>
      </c>
      <c r="H2193" s="19">
        <v>1039</v>
      </c>
      <c r="I2193" s="19" t="s">
        <v>3</v>
      </c>
      <c r="J2193" s="19" t="s">
        <v>5</v>
      </c>
      <c r="K2193" s="20">
        <v>2</v>
      </c>
      <c r="L2193" s="21">
        <v>55.92</v>
      </c>
      <c r="M2193" s="22">
        <v>0.31</v>
      </c>
      <c r="N2193" s="21">
        <f t="shared" si="174"/>
        <v>38.584800000000001</v>
      </c>
      <c r="O2193" s="21">
        <v>77.17</v>
      </c>
      <c r="P2193" s="19" t="s">
        <v>4</v>
      </c>
      <c r="Q2193" s="23">
        <v>8</v>
      </c>
      <c r="R2193" s="45">
        <v>1.2</v>
      </c>
    </row>
    <row r="2194" spans="2:18" x14ac:dyDescent="0.2">
      <c r="B2194" s="25">
        <v>2191</v>
      </c>
      <c r="C2194" s="18">
        <v>46021</v>
      </c>
      <c r="D2194" s="24">
        <f t="shared" si="170"/>
        <v>2025</v>
      </c>
      <c r="E2194" s="24" t="str">
        <f t="shared" si="171"/>
        <v>Q4</v>
      </c>
      <c r="F2194" s="24" t="str">
        <f t="shared" si="172"/>
        <v>Dec</v>
      </c>
      <c r="G2194" s="24">
        <f t="shared" si="173"/>
        <v>12</v>
      </c>
      <c r="H2194" s="19">
        <v>1536</v>
      </c>
      <c r="I2194" s="19" t="s">
        <v>0</v>
      </c>
      <c r="J2194" s="19" t="s">
        <v>8</v>
      </c>
      <c r="K2194" s="20">
        <v>2</v>
      </c>
      <c r="L2194" s="21">
        <v>260.18</v>
      </c>
      <c r="M2194" s="22">
        <v>0.28999999999999998</v>
      </c>
      <c r="N2194" s="21">
        <f t="shared" si="174"/>
        <v>184.7278</v>
      </c>
      <c r="O2194" s="21">
        <v>369.46</v>
      </c>
      <c r="P2194" s="19" t="s">
        <v>6</v>
      </c>
      <c r="Q2194" s="23">
        <v>4</v>
      </c>
      <c r="R2194" s="45">
        <v>4.5999999999999996</v>
      </c>
    </row>
    <row r="2195" spans="2:18" x14ac:dyDescent="0.2">
      <c r="B2195" s="26">
        <v>2192</v>
      </c>
      <c r="C2195" s="27">
        <v>46022</v>
      </c>
      <c r="D2195" s="33">
        <f t="shared" si="170"/>
        <v>2025</v>
      </c>
      <c r="E2195" s="33" t="str">
        <f t="shared" si="171"/>
        <v>Q4</v>
      </c>
      <c r="F2195" s="33" t="str">
        <f t="shared" si="172"/>
        <v>Dec</v>
      </c>
      <c r="G2195" s="33">
        <f t="shared" si="173"/>
        <v>12</v>
      </c>
      <c r="H2195" s="28">
        <v>1260</v>
      </c>
      <c r="I2195" s="28" t="s">
        <v>3</v>
      </c>
      <c r="J2195" s="28" t="s">
        <v>1</v>
      </c>
      <c r="K2195" s="29">
        <v>3</v>
      </c>
      <c r="L2195" s="30">
        <v>356.06</v>
      </c>
      <c r="M2195" s="31">
        <v>0.23</v>
      </c>
      <c r="N2195" s="30">
        <f t="shared" si="174"/>
        <v>274.1662</v>
      </c>
      <c r="O2195" s="30">
        <v>822.5</v>
      </c>
      <c r="P2195" s="28" t="s">
        <v>2</v>
      </c>
      <c r="Q2195" s="32">
        <v>11</v>
      </c>
      <c r="R2195" s="46">
        <v>2.2000000000000002</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24EA58BF-E4BE-499B-AF7F-D891F35FBCE8}">
  <ds:schemaRefs/>
</ds:datastoreItem>
</file>

<file path=customXml/itemProps2.xml><?xml version="1.0" encoding="utf-8"?>
<ds:datastoreItem xmlns:ds="http://schemas.openxmlformats.org/officeDocument/2006/customXml" ds:itemID="{854BAF1A-B085-414E-BA90-1280843AB5BE}">
  <ds:schemaRefs/>
</ds:datastoreItem>
</file>

<file path=customXml/itemProps3.xml><?xml version="1.0" encoding="utf-8"?>
<ds:datastoreItem xmlns:ds="http://schemas.openxmlformats.org/officeDocument/2006/customXml" ds:itemID="{B3B3F217-CC23-4B22-B6D5-FA160E8F8818}">
  <ds:schemaRefs/>
</ds:datastoreItem>
</file>

<file path=customXml/itemProps4.xml><?xml version="1.0" encoding="utf-8"?>
<ds:datastoreItem xmlns:ds="http://schemas.openxmlformats.org/officeDocument/2006/customXml" ds:itemID="{4F1F520C-187E-4943-A3F1-6051F5B6BD41}">
  <ds:schemaRefs/>
</ds:datastoreItem>
</file>

<file path=customXml/itemProps5.xml><?xml version="1.0" encoding="utf-8"?>
<ds:datastoreItem xmlns:ds="http://schemas.openxmlformats.org/officeDocument/2006/customXml" ds:itemID="{29DE7C83-0060-4B1B-834A-F22B97CE2611}">
  <ds:schemaRefs/>
</ds:datastoreItem>
</file>

<file path=customXml/itemProps6.xml><?xml version="1.0" encoding="utf-8"?>
<ds:datastoreItem xmlns:ds="http://schemas.openxmlformats.org/officeDocument/2006/customXml" ds:itemID="{4EAF338A-5D83-4AA0-AD3D-ECAB1955ACC4}">
  <ds:schemaRefs/>
</ds:datastoreItem>
</file>

<file path=customXml/itemProps7.xml><?xml version="1.0" encoding="utf-8"?>
<ds:datastoreItem xmlns:ds="http://schemas.openxmlformats.org/officeDocument/2006/customXml" ds:itemID="{1901B37B-1AB2-40A0-ACD0-F23A93402885}">
  <ds:schemaRefs/>
</ds:datastoreItem>
</file>

<file path=customXml/itemProps8.xml><?xml version="1.0" encoding="utf-8"?>
<ds:datastoreItem xmlns:ds="http://schemas.openxmlformats.org/officeDocument/2006/customXml" ds:itemID="{21AAC9EE-DB9B-41E8-A065-8188EFE3A529}">
  <ds:schemaRefs/>
</ds:datastoreItem>
</file>

<file path=customXml/itemProps9.xml><?xml version="1.0" encoding="utf-8"?>
<ds:datastoreItem xmlns:ds="http://schemas.openxmlformats.org/officeDocument/2006/customXml" ds:itemID="{49354A25-5DEF-4BEA-A04A-C934706234D2}">
  <ds:schemaRefs/>
</ds:datastoreItem>
</file>

<file path=customXml/itemProps10.xml><?xml version="1.0" encoding="utf-8"?>
<ds:datastoreItem xmlns:ds="http://schemas.openxmlformats.org/officeDocument/2006/customXml" ds:itemID="{CA3F9BB4-935B-4B9A-9C26-8C19489BFDF6}">
  <ds:schemaRefs/>
</ds:datastoreItem>
</file>

<file path=customXml/itemProps11.xml><?xml version="1.0" encoding="utf-8"?>
<ds:datastoreItem xmlns:ds="http://schemas.openxmlformats.org/officeDocument/2006/customXml" ds:itemID="{EAC35E6B-9B0E-4ACC-BCF6-92FEC7C4EF2B}">
  <ds:schemaRefs/>
</ds:datastoreItem>
</file>

<file path=customXml/itemProps12.xml><?xml version="1.0" encoding="utf-8"?>
<ds:datastoreItem xmlns:ds="http://schemas.openxmlformats.org/officeDocument/2006/customXml" ds:itemID="{6FF1AE2B-3C8B-41E7-B427-2C9D1A7CFCBA}">
  <ds:schemaRefs/>
</ds:datastoreItem>
</file>

<file path=customXml/itemProps13.xml><?xml version="1.0" encoding="utf-8"?>
<ds:datastoreItem xmlns:ds="http://schemas.openxmlformats.org/officeDocument/2006/customXml" ds:itemID="{A9B4EEE5-AFF8-4302-90F9-7E18B6120DB6}">
  <ds:schemaRefs/>
</ds:datastoreItem>
</file>

<file path=customXml/itemProps14.xml><?xml version="1.0" encoding="utf-8"?>
<ds:datastoreItem xmlns:ds="http://schemas.openxmlformats.org/officeDocument/2006/customXml" ds:itemID="{0228ECE7-C2CE-4E50-9E86-257179F4B311}">
  <ds:schemaRefs/>
</ds:datastoreItem>
</file>

<file path=customXml/itemProps15.xml><?xml version="1.0" encoding="utf-8"?>
<ds:datastoreItem xmlns:ds="http://schemas.openxmlformats.org/officeDocument/2006/customXml" ds:itemID="{CF19FFAB-0DF7-447A-BEE3-92B3197633F2}">
  <ds:schemaRefs/>
</ds:datastoreItem>
</file>

<file path=customXml/itemProps16.xml><?xml version="1.0" encoding="utf-8"?>
<ds:datastoreItem xmlns:ds="http://schemas.openxmlformats.org/officeDocument/2006/customXml" ds:itemID="{4C020F9E-43ED-4E09-A367-84A172886F8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Dashboard_1</vt:lpstr>
      <vt:lpstr>Pivot_1</vt:lpstr>
      <vt:lpstr>Data_1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Rifa Fitriani</cp:lastModifiedBy>
  <dcterms:created xsi:type="dcterms:W3CDTF">2026-08-27T13:50:00Z</dcterms:created>
  <dcterms:modified xsi:type="dcterms:W3CDTF">2026-09-01T06:43:42Z</dcterms:modified>
</cp:coreProperties>
</file>